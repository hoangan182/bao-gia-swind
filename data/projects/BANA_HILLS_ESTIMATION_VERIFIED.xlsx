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ONG_HOP_BAO_GIA" sheetId="1" state="visible" r:id="rId1"/>
    <sheet xmlns:r="http://schemas.openxmlformats.org/officeDocument/2006/relationships" name="01_BOC_TACH_ONG" sheetId="2" state="visible" r:id="rId2"/>
    <sheet xmlns:r="http://schemas.openxmlformats.org/officeDocument/2006/relationships" name="02_BOC_TACH_CUA" sheetId="3" state="visible" r:id="rId3"/>
    <sheet xmlns:r="http://schemas.openxmlformats.org/officeDocument/2006/relationships" name="03_BOC_TACH_VAN" sheetId="4" state="visible" r:id="rId4"/>
    <sheet xmlns:r="http://schemas.openxmlformats.org/officeDocument/2006/relationships" name="05_DANH_MUC_KY_THUAT_GOC" sheetId="5" state="visible" r:id="rId5"/>
    <sheet xmlns:r="http://schemas.openxmlformats.org/officeDocument/2006/relationships" name="06_BANG_GIA_VAT_TU_AP_DU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28" customHeight="1">
      <c r="A1" s="1" t="inlineStr">
        <is>
          <t>STT</t>
        </is>
      </c>
      <c r="B1" s="1" t="inlineStr">
        <is>
          <t>ITEM_ID</t>
        </is>
      </c>
      <c r="C1" s="1" t="inlineStr">
        <is>
          <t>PHÂN NHÓM</t>
        </is>
      </c>
      <c r="D1" s="1" t="inlineStr">
        <is>
          <t>TÊN SẢN PHẨM</t>
        </is>
      </c>
      <c r="E1" s="1" t="inlineStr">
        <is>
          <t>QUY CÁCH (WxH)</t>
        </is>
      </c>
      <c r="F1" s="1" t="inlineStr">
        <is>
          <t>ĐVT</t>
        </is>
      </c>
      <c r="G1" s="1" t="inlineStr">
        <is>
          <t>SỐ LƯỢNG</t>
        </is>
      </c>
      <c r="H1" s="1" t="inlineStr">
        <is>
          <t>CP VẬT TƯ ỐNG</t>
        </is>
      </c>
      <c r="I1" s="1" t="inlineStr">
        <is>
          <t>CP VẬT TƯ CỬA</t>
        </is>
      </c>
      <c r="J1" s="1" t="inlineStr">
        <is>
          <t>CP VẬT TƯ VAN</t>
        </is>
      </c>
      <c r="K1" s="1" t="inlineStr">
        <is>
          <t>TỔNG CP VẬT TƯ</t>
        </is>
      </c>
      <c r="L1" s="1" t="inlineStr">
        <is>
          <t>NHÂN CÔNG (25%)</t>
        </is>
      </c>
      <c r="M1" s="1" t="inlineStr">
        <is>
          <t>CP XƯỞNG (10%)</t>
        </is>
      </c>
      <c r="N1" s="1" t="inlineStr">
        <is>
          <t>TỔNG GIÁ VỐN</t>
        </is>
      </c>
      <c r="O1" s="1" t="inlineStr">
        <is>
          <t>GIÁ VỐN / ĐVT</t>
        </is>
      </c>
      <c r="P1" s="1" t="inlineStr">
        <is>
          <t>MARGIN (%)</t>
        </is>
      </c>
      <c r="Q1" s="1" t="inlineStr">
        <is>
          <t>ĐƠN GIÁ BÁN</t>
        </is>
      </c>
      <c r="R1" s="1" t="inlineStr">
        <is>
          <t>THÀNH TIỀN (VNĐ)</t>
        </is>
      </c>
    </row>
    <row r="2">
      <c r="A2" t="n">
        <v>1</v>
      </c>
      <c r="B2" t="inlineStr">
        <is>
          <t>SW-DUCT-001</t>
        </is>
      </c>
      <c r="C2" t="inlineStr">
        <is>
          <t>ỐNG GIÓ</t>
        </is>
      </c>
      <c r="D2" t="inlineStr">
        <is>
          <t>Tole tráng kẽm dày 0.58mm (dùng cho ống gió có a, b &lt;400mm)</t>
        </is>
      </c>
      <c r="E2" t="inlineStr">
        <is>
          <t>0.58mm</t>
        </is>
      </c>
      <c r="F2" t="inlineStr">
        <is>
          <t>m2</t>
        </is>
      </c>
      <c r="G2" s="2" t="n">
        <v>5757.003</v>
      </c>
      <c r="H2" s="2">
        <f>SUMIF('01_BOC_TACH_ONG'!B:B, B2, '01_BOC_TACH_ONG'!K:K)</f>
        <v/>
      </c>
      <c r="I2" s="2">
        <f>SUMIF('02_BOC_TACH_CUA'!B:B, B2, '02_BOC_TACH_CUA'!K:K)</f>
        <v/>
      </c>
      <c r="J2" s="2">
        <f>SUMIF('03_BOC_TACH_VAN'!B:B, B2, '03_BOC_TACH_VAN'!K:K)</f>
        <v/>
      </c>
      <c r="K2" s="2">
        <f>SUM(H2:J2)</f>
        <v/>
      </c>
      <c r="L2" s="2">
        <f>K2*0.25</f>
        <v/>
      </c>
      <c r="M2" s="2">
        <f>K2*0.10</f>
        <v/>
      </c>
      <c r="N2" s="2">
        <f>K2+L2+M2</f>
        <v/>
      </c>
      <c r="O2" s="2">
        <f>IF(G2&gt;0, N2/G2, 0)</f>
        <v/>
      </c>
      <c r="P2" s="3" t="n">
        <v>0.18</v>
      </c>
      <c r="Q2" s="2">
        <f>O2*(1+P2)</f>
        <v/>
      </c>
      <c r="R2" s="2">
        <f>G2*Q2</f>
        <v/>
      </c>
    </row>
    <row r="3">
      <c r="A3" t="n">
        <v>2</v>
      </c>
      <c r="B3" t="inlineStr">
        <is>
          <t>SW-DUCT-002</t>
        </is>
      </c>
      <c r="C3" t="inlineStr">
        <is>
          <t>ỐNG GIÓ</t>
        </is>
      </c>
      <c r="D3" t="inlineStr">
        <is>
          <t>Tole tráng kẽm dày 0.75mm  (dùng cho ống gió có 600&lt;a, b&lt;=1000mm)</t>
        </is>
      </c>
      <c r="E3" t="inlineStr">
        <is>
          <t>0.75mm</t>
        </is>
      </c>
      <c r="F3" t="inlineStr">
        <is>
          <t>m2</t>
        </is>
      </c>
      <c r="G3" s="2" t="n">
        <v>2103.60675</v>
      </c>
      <c r="H3" s="2">
        <f>SUMIF('01_BOC_TACH_ONG'!B:B, B3, '01_BOC_TACH_ONG'!K:K)</f>
        <v/>
      </c>
      <c r="I3" s="2">
        <f>SUMIF('02_BOC_TACH_CUA'!B:B, B3, '02_BOC_TACH_CUA'!K:K)</f>
        <v/>
      </c>
      <c r="J3" s="2">
        <f>SUMIF('03_BOC_TACH_VAN'!B:B, B3, '03_BOC_TACH_VAN'!K:K)</f>
        <v/>
      </c>
      <c r="K3" s="2">
        <f>SUM(H3:J3)</f>
        <v/>
      </c>
      <c r="L3" s="2">
        <f>K3*0.25</f>
        <v/>
      </c>
      <c r="M3" s="2">
        <f>K3*0.10</f>
        <v/>
      </c>
      <c r="N3" s="2">
        <f>K3+L3+M3</f>
        <v/>
      </c>
      <c r="O3" s="2">
        <f>IF(G3&gt;0, N3/G3, 0)</f>
        <v/>
      </c>
      <c r="P3" s="3" t="n">
        <v>0.18</v>
      </c>
      <c r="Q3" s="2">
        <f>O3*(1+P3)</f>
        <v/>
      </c>
      <c r="R3" s="2">
        <f>G3*Q3</f>
        <v/>
      </c>
    </row>
    <row r="4">
      <c r="A4" t="n">
        <v>3</v>
      </c>
      <c r="B4" t="inlineStr">
        <is>
          <t>SW-DUCT-003</t>
        </is>
      </c>
      <c r="C4" t="inlineStr">
        <is>
          <t>ỐNG GIÓ</t>
        </is>
      </c>
      <c r="D4" t="inlineStr">
        <is>
          <t>Tole tráng kẽm dày 0.95mm (dùng cho ống gió có 1000&lt;a, b&lt;=2000mm)</t>
        </is>
      </c>
      <c r="E4" t="inlineStr">
        <is>
          <t>0.95mm</t>
        </is>
      </c>
      <c r="F4" t="inlineStr">
        <is>
          <t>m2</t>
        </is>
      </c>
      <c r="G4" s="2" t="n">
        <v>1568.0175</v>
      </c>
      <c r="H4" s="2">
        <f>SUMIF('01_BOC_TACH_ONG'!B:B, B4, '01_BOC_TACH_ONG'!K:K)</f>
        <v/>
      </c>
      <c r="I4" s="2">
        <f>SUMIF('02_BOC_TACH_CUA'!B:B, B4, '02_BOC_TACH_CUA'!K:K)</f>
        <v/>
      </c>
      <c r="J4" s="2">
        <f>SUMIF('03_BOC_TACH_VAN'!B:B, B4, '03_BOC_TACH_VAN'!K:K)</f>
        <v/>
      </c>
      <c r="K4" s="2">
        <f>SUM(H4:J4)</f>
        <v/>
      </c>
      <c r="L4" s="2">
        <f>K4*0.25</f>
        <v/>
      </c>
      <c r="M4" s="2">
        <f>K4*0.10</f>
        <v/>
      </c>
      <c r="N4" s="2">
        <f>K4+L4+M4</f>
        <v/>
      </c>
      <c r="O4" s="2">
        <f>IF(G4&gt;0, N4/G4, 0)</f>
        <v/>
      </c>
      <c r="P4" s="3" t="n">
        <v>0.18</v>
      </c>
      <c r="Q4" s="2">
        <f>O4*(1+P4)</f>
        <v/>
      </c>
      <c r="R4" s="2">
        <f>G4*Q4</f>
        <v/>
      </c>
    </row>
    <row r="5">
      <c r="A5" t="n">
        <v>4</v>
      </c>
      <c r="B5" t="inlineStr">
        <is>
          <t>SW-DUCT-004</t>
        </is>
      </c>
      <c r="C5" t="inlineStr">
        <is>
          <t>ỐNG GIÓ</t>
        </is>
      </c>
      <c r="D5" t="inlineStr">
        <is>
          <t>Tole tráng kẽm dày 0.58mm (dùng cho ống gió có a, b &lt;400mm)</t>
        </is>
      </c>
      <c r="E5" t="inlineStr">
        <is>
          <t>0.58mm</t>
        </is>
      </c>
      <c r="F5" t="inlineStr">
        <is>
          <t>m2</t>
        </is>
      </c>
      <c r="G5" s="2" t="n">
        <v>3836.0875</v>
      </c>
      <c r="H5" s="2">
        <f>SUMIF('01_BOC_TACH_ONG'!B:B, B5, '01_BOC_TACH_ONG'!K:K)</f>
        <v/>
      </c>
      <c r="I5" s="2">
        <f>SUMIF('02_BOC_TACH_CUA'!B:B, B5, '02_BOC_TACH_CUA'!K:K)</f>
        <v/>
      </c>
      <c r="J5" s="2">
        <f>SUMIF('03_BOC_TACH_VAN'!B:B, B5, '03_BOC_TACH_VAN'!K:K)</f>
        <v/>
      </c>
      <c r="K5" s="2">
        <f>SUM(H5:J5)</f>
        <v/>
      </c>
      <c r="L5" s="2">
        <f>K5*0.25</f>
        <v/>
      </c>
      <c r="M5" s="2">
        <f>K5*0.10</f>
        <v/>
      </c>
      <c r="N5" s="2">
        <f>K5+L5+M5</f>
        <v/>
      </c>
      <c r="O5" s="2">
        <f>IF(G5&gt;0, N5/G5, 0)</f>
        <v/>
      </c>
      <c r="P5" s="3" t="n">
        <v>0.18</v>
      </c>
      <c r="Q5" s="2">
        <f>O5*(1+P5)</f>
        <v/>
      </c>
      <c r="R5" s="2">
        <f>G5*Q5</f>
        <v/>
      </c>
    </row>
    <row r="6">
      <c r="A6" t="n">
        <v>5</v>
      </c>
      <c r="B6" t="inlineStr">
        <is>
          <t>SW-DUCT-005</t>
        </is>
      </c>
      <c r="C6" t="inlineStr">
        <is>
          <t>ỐNG GIÓ</t>
        </is>
      </c>
      <c r="D6" t="inlineStr">
        <is>
          <t>Tole tráng kẽm dày 0.75mm  (dùng cho ống gió có 600&lt;a, b&lt;=1000mm)</t>
        </is>
      </c>
      <c r="E6" t="inlineStr">
        <is>
          <t>0.75mm</t>
        </is>
      </c>
      <c r="F6" t="inlineStr">
        <is>
          <t>m2</t>
        </is>
      </c>
      <c r="G6" s="2" t="n">
        <v>347.93</v>
      </c>
      <c r="H6" s="2">
        <f>SUMIF('01_BOC_TACH_ONG'!B:B, B6, '01_BOC_TACH_ONG'!K:K)</f>
        <v/>
      </c>
      <c r="I6" s="2">
        <f>SUMIF('02_BOC_TACH_CUA'!B:B, B6, '02_BOC_TACH_CUA'!K:K)</f>
        <v/>
      </c>
      <c r="J6" s="2">
        <f>SUMIF('03_BOC_TACH_VAN'!B:B, B6, '03_BOC_TACH_VAN'!K:K)</f>
        <v/>
      </c>
      <c r="K6" s="2">
        <f>SUM(H6:J6)</f>
        <v/>
      </c>
      <c r="L6" s="2">
        <f>K6*0.25</f>
        <v/>
      </c>
      <c r="M6" s="2">
        <f>K6*0.10</f>
        <v/>
      </c>
      <c r="N6" s="2">
        <f>K6+L6+M6</f>
        <v/>
      </c>
      <c r="O6" s="2">
        <f>IF(G6&gt;0, N6/G6, 0)</f>
        <v/>
      </c>
      <c r="P6" s="3" t="n">
        <v>0.18</v>
      </c>
      <c r="Q6" s="2">
        <f>O6*(1+P6)</f>
        <v/>
      </c>
      <c r="R6" s="2">
        <f>G6*Q6</f>
        <v/>
      </c>
    </row>
    <row r="7">
      <c r="A7" t="n">
        <v>6</v>
      </c>
      <c r="B7" t="inlineStr">
        <is>
          <t>SW-DUCT-006</t>
        </is>
      </c>
      <c r="C7" t="inlineStr">
        <is>
          <t>ỐNG GIÓ</t>
        </is>
      </c>
      <c r="D7" t="inlineStr">
        <is>
          <t>Thép không gỉ dày 1.15 mm cho hút, thải khói bếp (inox 304)</t>
        </is>
      </c>
      <c r="E7" t="inlineStr">
        <is>
          <t>1.15mm</t>
        </is>
      </c>
      <c r="F7" t="inlineStr">
        <is>
          <t>m2</t>
        </is>
      </c>
      <c r="G7" s="2" t="n">
        <v>189.595</v>
      </c>
      <c r="H7" s="2">
        <f>SUMIF('01_BOC_TACH_ONG'!B:B, B7, '01_BOC_TACH_ONG'!K:K)</f>
        <v/>
      </c>
      <c r="I7" s="2">
        <f>SUMIF('02_BOC_TACH_CUA'!B:B, B7, '02_BOC_TACH_CUA'!K:K)</f>
        <v/>
      </c>
      <c r="J7" s="2">
        <f>SUMIF('03_BOC_TACH_VAN'!B:B, B7, '03_BOC_TACH_VAN'!K:K)</f>
        <v/>
      </c>
      <c r="K7" s="2">
        <f>SUM(H7:J7)</f>
        <v/>
      </c>
      <c r="L7" s="2">
        <f>K7*0.25</f>
        <v/>
      </c>
      <c r="M7" s="2">
        <f>K7*0.10</f>
        <v/>
      </c>
      <c r="N7" s="2">
        <f>K7+L7+M7</f>
        <v/>
      </c>
      <c r="O7" s="2">
        <f>IF(G7&gt;0, N7/G7, 0)</f>
        <v/>
      </c>
      <c r="P7" s="3" t="n">
        <v>0.18</v>
      </c>
      <c r="Q7" s="2">
        <f>O7*(1+P7)</f>
        <v/>
      </c>
      <c r="R7" s="2">
        <f>G7*Q7</f>
        <v/>
      </c>
    </row>
    <row r="8">
      <c r="A8" t="n">
        <v>7</v>
      </c>
      <c r="B8" t="inlineStr">
        <is>
          <t>SW-DUCT-007</t>
        </is>
      </c>
      <c r="C8" t="inlineStr">
        <is>
          <t>ỐNG GIÓ</t>
        </is>
      </c>
      <c r="D8" t="inlineStr">
        <is>
          <t>Tole tráng kẽm dày 0.58mm (dùng cho ống gió có a, b &lt;400mm)</t>
        </is>
      </c>
      <c r="E8" t="inlineStr">
        <is>
          <t>0.58mm</t>
        </is>
      </c>
      <c r="F8" t="inlineStr">
        <is>
          <t>m2</t>
        </is>
      </c>
      <c r="G8" s="2" t="n">
        <v>2180.83775</v>
      </c>
      <c r="H8" s="2">
        <f>SUMIF('01_BOC_TACH_ONG'!B:B, B8, '01_BOC_TACH_ONG'!K:K)</f>
        <v/>
      </c>
      <c r="I8" s="2">
        <f>SUMIF('02_BOC_TACH_CUA'!B:B, B8, '02_BOC_TACH_CUA'!K:K)</f>
        <v/>
      </c>
      <c r="J8" s="2">
        <f>SUMIF('03_BOC_TACH_VAN'!B:B, B8, '03_BOC_TACH_VAN'!K:K)</f>
        <v/>
      </c>
      <c r="K8" s="2">
        <f>SUM(H8:J8)</f>
        <v/>
      </c>
      <c r="L8" s="2">
        <f>K8*0.25</f>
        <v/>
      </c>
      <c r="M8" s="2">
        <f>K8*0.10</f>
        <v/>
      </c>
      <c r="N8" s="2">
        <f>K8+L8+M8</f>
        <v/>
      </c>
      <c r="O8" s="2">
        <f>IF(G8&gt;0, N8/G8, 0)</f>
        <v/>
      </c>
      <c r="P8" s="3" t="n">
        <v>0.18</v>
      </c>
      <c r="Q8" s="2">
        <f>O8*(1+P8)</f>
        <v/>
      </c>
      <c r="R8" s="2">
        <f>G8*Q8</f>
        <v/>
      </c>
    </row>
    <row r="9">
      <c r="A9" t="n">
        <v>8</v>
      </c>
      <c r="B9" t="inlineStr">
        <is>
          <t>SW-DUCT-008</t>
        </is>
      </c>
      <c r="C9" t="inlineStr">
        <is>
          <t>ỐNG GIÓ</t>
        </is>
      </c>
      <c r="D9" t="inlineStr">
        <is>
          <t>Tole tráng kẽm dày 0.75mm  (dùng cho ống gió có 600&lt;a, b&lt;=1000mm)</t>
        </is>
      </c>
      <c r="E9" t="inlineStr">
        <is>
          <t>0.75mm</t>
        </is>
      </c>
      <c r="F9" t="inlineStr">
        <is>
          <t>m2</t>
        </is>
      </c>
      <c r="G9" s="2" t="n">
        <v>1705.355</v>
      </c>
      <c r="H9" s="2">
        <f>SUMIF('01_BOC_TACH_ONG'!B:B, B9, '01_BOC_TACH_ONG'!K:K)</f>
        <v/>
      </c>
      <c r="I9" s="2">
        <f>SUMIF('02_BOC_TACH_CUA'!B:B, B9, '02_BOC_TACH_CUA'!K:K)</f>
        <v/>
      </c>
      <c r="J9" s="2">
        <f>SUMIF('03_BOC_TACH_VAN'!B:B, B9, '03_BOC_TACH_VAN'!K:K)</f>
        <v/>
      </c>
      <c r="K9" s="2">
        <f>SUM(H9:J9)</f>
        <v/>
      </c>
      <c r="L9" s="2">
        <f>K9*0.25</f>
        <v/>
      </c>
      <c r="M9" s="2">
        <f>K9*0.10</f>
        <v/>
      </c>
      <c r="N9" s="2">
        <f>K9+L9+M9</f>
        <v/>
      </c>
      <c r="O9" s="2">
        <f>IF(G9&gt;0, N9/G9, 0)</f>
        <v/>
      </c>
      <c r="P9" s="3" t="n">
        <v>0.18</v>
      </c>
      <c r="Q9" s="2">
        <f>O9*(1+P9)</f>
        <v/>
      </c>
      <c r="R9" s="2">
        <f>G9*Q9</f>
        <v/>
      </c>
    </row>
    <row r="10">
      <c r="A10" t="n">
        <v>9</v>
      </c>
      <c r="B10" t="inlineStr">
        <is>
          <t>SW-DUCT-009</t>
        </is>
      </c>
      <c r="C10" t="inlineStr">
        <is>
          <t>ỐNG GIÓ</t>
        </is>
      </c>
      <c r="D10" t="inlineStr">
        <is>
          <t>Tole tráng kẽm dày 1.15mm  (dùng cho ống gió có a, b&gt;2000 mm)</t>
        </is>
      </c>
      <c r="E10" t="inlineStr">
        <is>
          <t>1.15mm</t>
        </is>
      </c>
      <c r="F10" t="inlineStr">
        <is>
          <t>m2</t>
        </is>
      </c>
      <c r="G10" s="2" t="n">
        <v>1058.41</v>
      </c>
      <c r="H10" s="2">
        <f>SUMIF('01_BOC_TACH_ONG'!B:B, B10, '01_BOC_TACH_ONG'!K:K)</f>
        <v/>
      </c>
      <c r="I10" s="2">
        <f>SUMIF('02_BOC_TACH_CUA'!B:B, B10, '02_BOC_TACH_CUA'!K:K)</f>
        <v/>
      </c>
      <c r="J10" s="2">
        <f>SUMIF('03_BOC_TACH_VAN'!B:B, B10, '03_BOC_TACH_VAN'!K:K)</f>
        <v/>
      </c>
      <c r="K10" s="2">
        <f>SUM(H10:J10)</f>
        <v/>
      </c>
      <c r="L10" s="2">
        <f>K10*0.25</f>
        <v/>
      </c>
      <c r="M10" s="2">
        <f>K10*0.10</f>
        <v/>
      </c>
      <c r="N10" s="2">
        <f>K10+L10+M10</f>
        <v/>
      </c>
      <c r="O10" s="2">
        <f>IF(G10&gt;0, N10/G10, 0)</f>
        <v/>
      </c>
      <c r="P10" s="3" t="n">
        <v>0.18</v>
      </c>
      <c r="Q10" s="2">
        <f>O10*(1+P10)</f>
        <v/>
      </c>
      <c r="R10" s="2">
        <f>G10*Q10</f>
        <v/>
      </c>
    </row>
    <row r="11">
      <c r="A11" t="n">
        <v>10</v>
      </c>
      <c r="B11" t="inlineStr">
        <is>
          <t>SW-DUCT-010</t>
        </is>
      </c>
      <c r="C11" t="inlineStr">
        <is>
          <t>ỐNG GIÓ</t>
        </is>
      </c>
      <c r="D11" t="inlineStr">
        <is>
          <t>Tole tráng kẽm dày 0.58mm (dùng cho ống gió có a, b &lt;400mm)</t>
        </is>
      </c>
      <c r="E11" t="inlineStr">
        <is>
          <t>0.58mm</t>
        </is>
      </c>
      <c r="F11" t="inlineStr">
        <is>
          <t>m2</t>
        </is>
      </c>
      <c r="G11" s="2" t="n">
        <v>434.5</v>
      </c>
      <c r="H11" s="2">
        <f>SUMIF('01_BOC_TACH_ONG'!B:B, B11, '01_BOC_TACH_ONG'!K:K)</f>
        <v/>
      </c>
      <c r="I11" s="2">
        <f>SUMIF('02_BOC_TACH_CUA'!B:B, B11, '02_BOC_TACH_CUA'!K:K)</f>
        <v/>
      </c>
      <c r="J11" s="2">
        <f>SUMIF('03_BOC_TACH_VAN'!B:B, B11, '03_BOC_TACH_VAN'!K:K)</f>
        <v/>
      </c>
      <c r="K11" s="2">
        <f>SUM(H11:J11)</f>
        <v/>
      </c>
      <c r="L11" s="2">
        <f>K11*0.25</f>
        <v/>
      </c>
      <c r="M11" s="2">
        <f>K11*0.10</f>
        <v/>
      </c>
      <c r="N11" s="2">
        <f>K11+L11+M11</f>
        <v/>
      </c>
      <c r="O11" s="2">
        <f>IF(G11&gt;0, N11/G11, 0)</f>
        <v/>
      </c>
      <c r="P11" s="3" t="n">
        <v>0.18</v>
      </c>
      <c r="Q11" s="2">
        <f>O11*(1+P11)</f>
        <v/>
      </c>
      <c r="R11" s="2">
        <f>G11*Q11</f>
        <v/>
      </c>
    </row>
    <row r="12">
      <c r="A12" t="n">
        <v>11</v>
      </c>
      <c r="B12" t="inlineStr">
        <is>
          <t>SW-DUCT-011</t>
        </is>
      </c>
      <c r="C12" t="inlineStr">
        <is>
          <t>ỐNG GIÓ</t>
        </is>
      </c>
      <c r="D12" t="inlineStr">
        <is>
          <t>Tole tráng kẽm dày 0.75mm  (dùng cho ống gió có 600&lt;a, b&lt;=1000mm)</t>
        </is>
      </c>
      <c r="E12" t="inlineStr">
        <is>
          <t>0.75mm</t>
        </is>
      </c>
      <c r="F12" t="inlineStr">
        <is>
          <t>m2</t>
        </is>
      </c>
      <c r="G12" s="2" t="n">
        <v>682.1799999999999</v>
      </c>
      <c r="H12" s="2">
        <f>SUMIF('01_BOC_TACH_ONG'!B:B, B12, '01_BOC_TACH_ONG'!K:K)</f>
        <v/>
      </c>
      <c r="I12" s="2">
        <f>SUMIF('02_BOC_TACH_CUA'!B:B, B12, '02_BOC_TACH_CUA'!K:K)</f>
        <v/>
      </c>
      <c r="J12" s="2">
        <f>SUMIF('03_BOC_TACH_VAN'!B:B, B12, '03_BOC_TACH_VAN'!K:K)</f>
        <v/>
      </c>
      <c r="K12" s="2">
        <f>SUM(H12:J12)</f>
        <v/>
      </c>
      <c r="L12" s="2">
        <f>K12*0.25</f>
        <v/>
      </c>
      <c r="M12" s="2">
        <f>K12*0.10</f>
        <v/>
      </c>
      <c r="N12" s="2">
        <f>K12+L12+M12</f>
        <v/>
      </c>
      <c r="O12" s="2">
        <f>IF(G12&gt;0, N12/G12, 0)</f>
        <v/>
      </c>
      <c r="P12" s="3" t="n">
        <v>0.18</v>
      </c>
      <c r="Q12" s="2">
        <f>O12*(1+P12)</f>
        <v/>
      </c>
      <c r="R12" s="2">
        <f>G12*Q12</f>
        <v/>
      </c>
    </row>
    <row r="13">
      <c r="A13" t="n">
        <v>12</v>
      </c>
      <c r="B13" t="inlineStr">
        <is>
          <t>SW-DUCT-012</t>
        </is>
      </c>
      <c r="C13" t="inlineStr">
        <is>
          <t>ỐNG GIÓ</t>
        </is>
      </c>
      <c r="D13" t="inlineStr">
        <is>
          <t>Ống gió chống cháy cho ống gió hút khói, tăng áp và phụ kiện EI60 kết nối nẹp TDC cấu tạo Tôn Hoa Sen mạ kẽm Z275 dày 0.75mm + 1 Tấm KHS.HF.Mpro14 dày 14mm.</t>
        </is>
      </c>
      <c r="E13" t="inlineStr">
        <is>
          <t>0.75mm</t>
        </is>
      </c>
      <c r="F13" t="inlineStr">
        <is>
          <t>m2</t>
        </is>
      </c>
      <c r="G13" s="2" t="n">
        <v>339.41</v>
      </c>
      <c r="H13" s="2">
        <f>SUMIF('01_BOC_TACH_ONG'!B:B, B13, '01_BOC_TACH_ONG'!K:K)</f>
        <v/>
      </c>
      <c r="I13" s="2">
        <f>SUMIF('02_BOC_TACH_CUA'!B:B, B13, '02_BOC_TACH_CUA'!K:K)</f>
        <v/>
      </c>
      <c r="J13" s="2">
        <f>SUMIF('03_BOC_TACH_VAN'!B:B, B13, '03_BOC_TACH_VAN'!K:K)</f>
        <v/>
      </c>
      <c r="K13" s="2">
        <f>SUM(H13:J13)</f>
        <v/>
      </c>
      <c r="L13" s="2">
        <f>K13*0.25</f>
        <v/>
      </c>
      <c r="M13" s="2">
        <f>K13*0.10</f>
        <v/>
      </c>
      <c r="N13" s="2">
        <f>K13+L13+M13</f>
        <v/>
      </c>
      <c r="O13" s="2">
        <f>IF(G13&gt;0, N13/G13, 0)</f>
        <v/>
      </c>
      <c r="P13" s="3" t="n">
        <v>0.18</v>
      </c>
      <c r="Q13" s="2">
        <f>O13*(1+P13)</f>
        <v/>
      </c>
      <c r="R13" s="2">
        <f>G13*Q13</f>
        <v/>
      </c>
    </row>
    <row r="14">
      <c r="A14" t="n">
        <v>13</v>
      </c>
      <c r="B14" t="inlineStr">
        <is>
          <t>SW-DUCT-013</t>
        </is>
      </c>
      <c r="C14" t="inlineStr">
        <is>
          <t>ỐNG GIÓ</t>
        </is>
      </c>
      <c r="D14" t="inlineStr">
        <is>
          <t>Ống gió chống cháy cho ống gió hút khói, tăng áp và phụ kiện EI60 kết nối nẹp TDC cấu tạo Tôn Hoa Sen mạ kẽm Z275 dày 0.75mm + 1 Tấm KHS.HF.Mpro14 dày 14mm.</t>
        </is>
      </c>
      <c r="E14" t="inlineStr">
        <is>
          <t>0.75mm</t>
        </is>
      </c>
      <c r="F14" t="inlineStr">
        <is>
          <t>m2</t>
        </is>
      </c>
      <c r="G14" s="2" t="n">
        <v>147.84</v>
      </c>
      <c r="H14" s="2">
        <f>SUMIF('01_BOC_TACH_ONG'!B:B, B14, '01_BOC_TACH_ONG'!K:K)</f>
        <v/>
      </c>
      <c r="I14" s="2">
        <f>SUMIF('02_BOC_TACH_CUA'!B:B, B14, '02_BOC_TACH_CUA'!K:K)</f>
        <v/>
      </c>
      <c r="J14" s="2">
        <f>SUMIF('03_BOC_TACH_VAN'!B:B, B14, '03_BOC_TACH_VAN'!K:K)</f>
        <v/>
      </c>
      <c r="K14" s="2">
        <f>SUM(H14:J14)</f>
        <v/>
      </c>
      <c r="L14" s="2">
        <f>K14*0.25</f>
        <v/>
      </c>
      <c r="M14" s="2">
        <f>K14*0.10</f>
        <v/>
      </c>
      <c r="N14" s="2">
        <f>K14+L14+M14</f>
        <v/>
      </c>
      <c r="O14" s="2">
        <f>IF(G14&gt;0, N14/G14, 0)</f>
        <v/>
      </c>
      <c r="P14" s="3" t="n">
        <v>0.18</v>
      </c>
      <c r="Q14" s="2">
        <f>O14*(1+P14)</f>
        <v/>
      </c>
      <c r="R14" s="2">
        <f>G14*Q14</f>
        <v/>
      </c>
    </row>
    <row r="15">
      <c r="A15" t="n">
        <v>14</v>
      </c>
      <c r="B15" t="inlineStr">
        <is>
          <t>SW-DUCT-014</t>
        </is>
      </c>
      <c r="C15" t="inlineStr">
        <is>
          <t>ỐNG GIÓ</t>
        </is>
      </c>
      <c r="D15" t="inlineStr">
        <is>
          <t>Ống gió chống cháy cho ống gió hút khói, tăng áp và phụ kiện EI120 kết nối nẹp TDC cấu tạo Tôn Hoa Sen mạ kẽm Z275 dày 0.75mm + 2 Tấm KHS.HF.Mpro14 dày 14mm.</t>
        </is>
      </c>
      <c r="E15" t="inlineStr">
        <is>
          <t>0.75mm</t>
        </is>
      </c>
      <c r="F15" t="inlineStr">
        <is>
          <t>m2</t>
        </is>
      </c>
      <c r="G15" s="2" t="n">
        <v>25.98</v>
      </c>
      <c r="H15" s="2">
        <f>SUMIF('01_BOC_TACH_ONG'!B:B, B15, '01_BOC_TACH_ONG'!K:K)</f>
        <v/>
      </c>
      <c r="I15" s="2">
        <f>SUMIF('02_BOC_TACH_CUA'!B:B, B15, '02_BOC_TACH_CUA'!K:K)</f>
        <v/>
      </c>
      <c r="J15" s="2">
        <f>SUMIF('03_BOC_TACH_VAN'!B:B, B15, '03_BOC_TACH_VAN'!K:K)</f>
        <v/>
      </c>
      <c r="K15" s="2">
        <f>SUM(H15:J15)</f>
        <v/>
      </c>
      <c r="L15" s="2">
        <f>K15*0.25</f>
        <v/>
      </c>
      <c r="M15" s="2">
        <f>K15*0.10</f>
        <v/>
      </c>
      <c r="N15" s="2">
        <f>K15+L15+M15</f>
        <v/>
      </c>
      <c r="O15" s="2">
        <f>IF(G15&gt;0, N15/G15, 0)</f>
        <v/>
      </c>
      <c r="P15" s="3" t="n">
        <v>0.18</v>
      </c>
      <c r="Q15" s="2">
        <f>O15*(1+P15)</f>
        <v/>
      </c>
      <c r="R15" s="2">
        <f>G15*Q15</f>
        <v/>
      </c>
    </row>
    <row r="16">
      <c r="A16" t="n">
        <v>15</v>
      </c>
      <c r="B16" t="inlineStr">
        <is>
          <t>SW-DUCT-015</t>
        </is>
      </c>
      <c r="C16" t="inlineStr">
        <is>
          <t>ỐNG GIÓ</t>
        </is>
      </c>
      <c r="D16" t="inlineStr">
        <is>
          <t>Tole tráng kẽm dày 0.58mm (dùng cho ống gió có a, b &lt;400mm)</t>
        </is>
      </c>
      <c r="E16" t="inlineStr">
        <is>
          <t>0.58mm</t>
        </is>
      </c>
      <c r="F16" t="inlineStr">
        <is>
          <t>m2</t>
        </is>
      </c>
      <c r="G16" s="2" t="n">
        <v>1081.915</v>
      </c>
      <c r="H16" s="2">
        <f>SUMIF('01_BOC_TACH_ONG'!B:B, B16, '01_BOC_TACH_ONG'!K:K)</f>
        <v/>
      </c>
      <c r="I16" s="2">
        <f>SUMIF('02_BOC_TACH_CUA'!B:B, B16, '02_BOC_TACH_CUA'!K:K)</f>
        <v/>
      </c>
      <c r="J16" s="2">
        <f>SUMIF('03_BOC_TACH_VAN'!B:B, B16, '03_BOC_TACH_VAN'!K:K)</f>
        <v/>
      </c>
      <c r="K16" s="2">
        <f>SUM(H16:J16)</f>
        <v/>
      </c>
      <c r="L16" s="2">
        <f>K16*0.25</f>
        <v/>
      </c>
      <c r="M16" s="2">
        <f>K16*0.10</f>
        <v/>
      </c>
      <c r="N16" s="2">
        <f>K16+L16+M16</f>
        <v/>
      </c>
      <c r="O16" s="2">
        <f>IF(G16&gt;0, N16/G16, 0)</f>
        <v/>
      </c>
      <c r="P16" s="3" t="n">
        <v>0.18</v>
      </c>
      <c r="Q16" s="2">
        <f>O16*(1+P16)</f>
        <v/>
      </c>
      <c r="R16" s="2">
        <f>G16*Q16</f>
        <v/>
      </c>
    </row>
    <row r="17">
      <c r="A17" t="n">
        <v>16</v>
      </c>
      <c r="B17" t="inlineStr">
        <is>
          <t>SW-DUCT-016</t>
        </is>
      </c>
      <c r="C17" t="inlineStr">
        <is>
          <t>ỐNG GIÓ</t>
        </is>
      </c>
      <c r="D17" t="inlineStr">
        <is>
          <t>Tole tráng kẽm dày 0.75mm  (dùng cho ống gió có 600&lt;a, b&lt;=1000mm)</t>
        </is>
      </c>
      <c r="E17" t="inlineStr">
        <is>
          <t>0.75mm</t>
        </is>
      </c>
      <c r="F17" t="inlineStr">
        <is>
          <t>m2</t>
        </is>
      </c>
      <c r="G17" s="2" t="n">
        <v>1083.83</v>
      </c>
      <c r="H17" s="2">
        <f>SUMIF('01_BOC_TACH_ONG'!B:B, B17, '01_BOC_TACH_ONG'!K:K)</f>
        <v/>
      </c>
      <c r="I17" s="2">
        <f>SUMIF('02_BOC_TACH_CUA'!B:B, B17, '02_BOC_TACH_CUA'!K:K)</f>
        <v/>
      </c>
      <c r="J17" s="2">
        <f>SUMIF('03_BOC_TACH_VAN'!B:B, B17, '03_BOC_TACH_VAN'!K:K)</f>
        <v/>
      </c>
      <c r="K17" s="2">
        <f>SUM(H17:J17)</f>
        <v/>
      </c>
      <c r="L17" s="2">
        <f>K17*0.25</f>
        <v/>
      </c>
      <c r="M17" s="2">
        <f>K17*0.10</f>
        <v/>
      </c>
      <c r="N17" s="2">
        <f>K17+L17+M17</f>
        <v/>
      </c>
      <c r="O17" s="2">
        <f>IF(G17&gt;0, N17/G17, 0)</f>
        <v/>
      </c>
      <c r="P17" s="3" t="n">
        <v>0.18</v>
      </c>
      <c r="Q17" s="2">
        <f>O17*(1+P17)</f>
        <v/>
      </c>
      <c r="R17" s="2">
        <f>G17*Q17</f>
        <v/>
      </c>
    </row>
    <row r="18">
      <c r="A18" t="n">
        <v>17</v>
      </c>
      <c r="B18" t="inlineStr">
        <is>
          <t>SW-DUCT-017</t>
        </is>
      </c>
      <c r="C18" t="inlineStr">
        <is>
          <t>ỐNG GIÓ</t>
        </is>
      </c>
      <c r="D18" t="inlineStr">
        <is>
          <t>Ống gió chống cháy cho ống gió hút khói, tăng áp và phụ kiện EI60 kết nối nẹp TDC cấu tạo Tôn Hoa Sen mạ kẽm Z275 dày 0.75mm + 1 Tấm KHS.HF.Mpro14 dày 14mm.</t>
        </is>
      </c>
      <c r="E18" t="inlineStr">
        <is>
          <t>0.75mm</t>
        </is>
      </c>
      <c r="F18" t="inlineStr">
        <is>
          <t>m2</t>
        </is>
      </c>
      <c r="G18" s="2" t="n">
        <v>105.83</v>
      </c>
      <c r="H18" s="2">
        <f>SUMIF('01_BOC_TACH_ONG'!B:B, B18, '01_BOC_TACH_ONG'!K:K)</f>
        <v/>
      </c>
      <c r="I18" s="2">
        <f>SUMIF('02_BOC_TACH_CUA'!B:B, B18, '02_BOC_TACH_CUA'!K:K)</f>
        <v/>
      </c>
      <c r="J18" s="2">
        <f>SUMIF('03_BOC_TACH_VAN'!B:B, B18, '03_BOC_TACH_VAN'!K:K)</f>
        <v/>
      </c>
      <c r="K18" s="2">
        <f>SUM(H18:J18)</f>
        <v/>
      </c>
      <c r="L18" s="2">
        <f>K18*0.25</f>
        <v/>
      </c>
      <c r="M18" s="2">
        <f>K18*0.10</f>
        <v/>
      </c>
      <c r="N18" s="2">
        <f>K18+L18+M18</f>
        <v/>
      </c>
      <c r="O18" s="2">
        <f>IF(G18&gt;0, N18/G18, 0)</f>
        <v/>
      </c>
      <c r="P18" s="3" t="n">
        <v>0.18</v>
      </c>
      <c r="Q18" s="2">
        <f>O18*(1+P18)</f>
        <v/>
      </c>
      <c r="R18" s="2">
        <f>G18*Q18</f>
        <v/>
      </c>
    </row>
    <row r="19">
      <c r="A19" t="n">
        <v>18</v>
      </c>
      <c r="B19" t="inlineStr">
        <is>
          <t>SW-DUCT-018</t>
        </is>
      </c>
      <c r="C19" t="inlineStr">
        <is>
          <t>ỐNG GIÓ</t>
        </is>
      </c>
      <c r="D19" t="inlineStr">
        <is>
          <t>Tole tráng kẽm dày 0.58mm (dùng cho ống gió có a, b &lt;400mm)</t>
        </is>
      </c>
      <c r="E19" t="inlineStr">
        <is>
          <t>0.58mm</t>
        </is>
      </c>
      <c r="F19" t="inlineStr">
        <is>
          <t>m2</t>
        </is>
      </c>
      <c r="G19" s="2" t="n">
        <v>113.0325</v>
      </c>
      <c r="H19" s="2">
        <f>SUMIF('01_BOC_TACH_ONG'!B:B, B19, '01_BOC_TACH_ONG'!K:K)</f>
        <v/>
      </c>
      <c r="I19" s="2">
        <f>SUMIF('02_BOC_TACH_CUA'!B:B, B19, '02_BOC_TACH_CUA'!K:K)</f>
        <v/>
      </c>
      <c r="J19" s="2">
        <f>SUMIF('03_BOC_TACH_VAN'!B:B, B19, '03_BOC_TACH_VAN'!K:K)</f>
        <v/>
      </c>
      <c r="K19" s="2">
        <f>SUM(H19:J19)</f>
        <v/>
      </c>
      <c r="L19" s="2">
        <f>K19*0.25</f>
        <v/>
      </c>
      <c r="M19" s="2">
        <f>K19*0.10</f>
        <v/>
      </c>
      <c r="N19" s="2">
        <f>K19+L19+M19</f>
        <v/>
      </c>
      <c r="O19" s="2">
        <f>IF(G19&gt;0, N19/G19, 0)</f>
        <v/>
      </c>
      <c r="P19" s="3" t="n">
        <v>0.18</v>
      </c>
      <c r="Q19" s="2">
        <f>O19*(1+P19)</f>
        <v/>
      </c>
      <c r="R19" s="2">
        <f>G19*Q19</f>
        <v/>
      </c>
    </row>
    <row r="20">
      <c r="A20" t="n">
        <v>19</v>
      </c>
      <c r="B20" t="inlineStr">
        <is>
          <t>SW-DUCT-019</t>
        </is>
      </c>
      <c r="C20" t="inlineStr">
        <is>
          <t>ỐNG GIÓ</t>
        </is>
      </c>
      <c r="D20" t="inlineStr">
        <is>
          <t>Tole tráng kẽm dày 0.75mm  (dùng cho ống gió có 600&lt;a, b&lt;=1000mm)</t>
        </is>
      </c>
      <c r="E20" t="inlineStr">
        <is>
          <t>0.75mm</t>
        </is>
      </c>
      <c r="F20" t="inlineStr">
        <is>
          <t>m2</t>
        </is>
      </c>
      <c r="G20" s="2" t="n">
        <v>201.6</v>
      </c>
      <c r="H20" s="2">
        <f>SUMIF('01_BOC_TACH_ONG'!B:B, B20, '01_BOC_TACH_ONG'!K:K)</f>
        <v/>
      </c>
      <c r="I20" s="2">
        <f>SUMIF('02_BOC_TACH_CUA'!B:B, B20, '02_BOC_TACH_CUA'!K:K)</f>
        <v/>
      </c>
      <c r="J20" s="2">
        <f>SUMIF('03_BOC_TACH_VAN'!B:B, B20, '03_BOC_TACH_VAN'!K:K)</f>
        <v/>
      </c>
      <c r="K20" s="2">
        <f>SUM(H20:J20)</f>
        <v/>
      </c>
      <c r="L20" s="2">
        <f>K20*0.25</f>
        <v/>
      </c>
      <c r="M20" s="2">
        <f>K20*0.10</f>
        <v/>
      </c>
      <c r="N20" s="2">
        <f>K20+L20+M20</f>
        <v/>
      </c>
      <c r="O20" s="2">
        <f>IF(G20&gt;0, N20/G20, 0)</f>
        <v/>
      </c>
      <c r="P20" s="3" t="n">
        <v>0.18</v>
      </c>
      <c r="Q20" s="2">
        <f>O20*(1+P20)</f>
        <v/>
      </c>
      <c r="R20" s="2">
        <f>G20*Q20</f>
        <v/>
      </c>
    </row>
    <row r="21">
      <c r="A21" t="n">
        <v>20</v>
      </c>
      <c r="B21" t="inlineStr">
        <is>
          <t>SW-DUCT-020</t>
        </is>
      </c>
      <c r="C21" t="inlineStr">
        <is>
          <t>ỐNG GIÓ</t>
        </is>
      </c>
      <c r="D21" t="inlineStr">
        <is>
          <t>Ống gió chống cháy cho ống gió hút khói, tăng áp và phụ kiện EI60 kết nối nẹp TDC cấu tạo Tôn Hoa Sen mạ kẽm Z275 dày 0.75mm + 1 Tấm KHS.HF.Mpro14 dày 14mm.</t>
        </is>
      </c>
      <c r="E21" t="inlineStr">
        <is>
          <t>0.75mm</t>
        </is>
      </c>
      <c r="F21" t="inlineStr">
        <is>
          <t>m2</t>
        </is>
      </c>
      <c r="G21" s="2" t="n">
        <v>12.19</v>
      </c>
      <c r="H21" s="2">
        <f>SUMIF('01_BOC_TACH_ONG'!B:B, B21, '01_BOC_TACH_ONG'!K:K)</f>
        <v/>
      </c>
      <c r="I21" s="2">
        <f>SUMIF('02_BOC_TACH_CUA'!B:B, B21, '02_BOC_TACH_CUA'!K:K)</f>
        <v/>
      </c>
      <c r="J21" s="2">
        <f>SUMIF('03_BOC_TACH_VAN'!B:B, B21, '03_BOC_TACH_VAN'!K:K)</f>
        <v/>
      </c>
      <c r="K21" s="2">
        <f>SUM(H21:J21)</f>
        <v/>
      </c>
      <c r="L21" s="2">
        <f>K21*0.25</f>
        <v/>
      </c>
      <c r="M21" s="2">
        <f>K21*0.10</f>
        <v/>
      </c>
      <c r="N21" s="2">
        <f>K21+L21+M21</f>
        <v/>
      </c>
      <c r="O21" s="2">
        <f>IF(G21&gt;0, N21/G21, 0)</f>
        <v/>
      </c>
      <c r="P21" s="3" t="n">
        <v>0.18</v>
      </c>
      <c r="Q21" s="2">
        <f>O21*(1+P21)</f>
        <v/>
      </c>
      <c r="R21" s="2">
        <f>G21*Q21</f>
        <v/>
      </c>
    </row>
    <row r="22">
      <c r="A22" t="n">
        <v>21</v>
      </c>
      <c r="B22" t="inlineStr">
        <is>
          <t>SW-DUCT-021</t>
        </is>
      </c>
      <c r="C22" t="inlineStr">
        <is>
          <t>ỐNG GIÓ</t>
        </is>
      </c>
      <c r="D22" t="inlineStr">
        <is>
          <t>Tole tráng kẽm dày 0.58mm (dùng cho ống gió có a, b &lt;400mm)</t>
        </is>
      </c>
      <c r="E22" t="inlineStr">
        <is>
          <t>0.58mm</t>
        </is>
      </c>
      <c r="F22" t="inlineStr">
        <is>
          <t>m2</t>
        </is>
      </c>
      <c r="G22" s="2" t="n">
        <v>4115.21</v>
      </c>
      <c r="H22" s="2">
        <f>SUMIF('01_BOC_TACH_ONG'!B:B, B22, '01_BOC_TACH_ONG'!K:K)</f>
        <v/>
      </c>
      <c r="I22" s="2">
        <f>SUMIF('02_BOC_TACH_CUA'!B:B, B22, '02_BOC_TACH_CUA'!K:K)</f>
        <v/>
      </c>
      <c r="J22" s="2">
        <f>SUMIF('03_BOC_TACH_VAN'!B:B, B22, '03_BOC_TACH_VAN'!K:K)</f>
        <v/>
      </c>
      <c r="K22" s="2">
        <f>SUM(H22:J22)</f>
        <v/>
      </c>
      <c r="L22" s="2">
        <f>K22*0.25</f>
        <v/>
      </c>
      <c r="M22" s="2">
        <f>K22*0.10</f>
        <v/>
      </c>
      <c r="N22" s="2">
        <f>K22+L22+M22</f>
        <v/>
      </c>
      <c r="O22" s="2">
        <f>IF(G22&gt;0, N22/G22, 0)</f>
        <v/>
      </c>
      <c r="P22" s="3" t="n">
        <v>0.18</v>
      </c>
      <c r="Q22" s="2">
        <f>O22*(1+P22)</f>
        <v/>
      </c>
      <c r="R22" s="2">
        <f>G22*Q22</f>
        <v/>
      </c>
    </row>
    <row r="23">
      <c r="A23" t="n">
        <v>22</v>
      </c>
      <c r="B23" t="inlineStr">
        <is>
          <t>SW-DAMPER-022</t>
        </is>
      </c>
      <c r="C23" t="inlineStr">
        <is>
          <t>VAN GIÓ</t>
        </is>
      </c>
      <c r="D23" t="inlineStr">
        <is>
          <t>Van điều chỉnh lưu lượng VCD - Kích thước 100x100</t>
        </is>
      </c>
      <c r="E23" t="inlineStr">
        <is>
          <t>100x100</t>
        </is>
      </c>
      <c r="F23" t="inlineStr">
        <is>
          <t>Cái</t>
        </is>
      </c>
      <c r="G23" s="2" t="n">
        <v>111</v>
      </c>
      <c r="H23" s="2">
        <f>SUMIF('01_BOC_TACH_ONG'!B:B, B23, '01_BOC_TACH_ONG'!K:K)</f>
        <v/>
      </c>
      <c r="I23" s="2">
        <f>SUMIF('02_BOC_TACH_CUA'!B:B, B23, '02_BOC_TACH_CUA'!K:K)</f>
        <v/>
      </c>
      <c r="J23" s="2">
        <f>SUMIF('03_BOC_TACH_VAN'!B:B, B23, '03_BOC_TACH_VAN'!K:K)</f>
        <v/>
      </c>
      <c r="K23" s="2">
        <f>SUM(H23:J23)</f>
        <v/>
      </c>
      <c r="L23" s="2">
        <f>K23*0.25</f>
        <v/>
      </c>
      <c r="M23" s="2">
        <f>K23*0.10</f>
        <v/>
      </c>
      <c r="N23" s="2">
        <f>K23+L23+M23</f>
        <v/>
      </c>
      <c r="O23" s="2">
        <f>IF(G23&gt;0, N23/G23, 0)</f>
        <v/>
      </c>
      <c r="P23" s="3" t="n">
        <v>0.18</v>
      </c>
      <c r="Q23" s="2">
        <f>O23*(1+P23)</f>
        <v/>
      </c>
      <c r="R23" s="2">
        <f>G23*Q23</f>
        <v/>
      </c>
    </row>
    <row r="24">
      <c r="A24" t="n">
        <v>23</v>
      </c>
      <c r="B24" t="inlineStr">
        <is>
          <t>SW-DAMPER-023</t>
        </is>
      </c>
      <c r="C24" t="inlineStr">
        <is>
          <t>VAN GIÓ</t>
        </is>
      </c>
      <c r="D24" t="inlineStr">
        <is>
          <t>Van điều chỉnh lưu lượng VCD - Kích thước 150x100</t>
        </is>
      </c>
      <c r="E24" t="inlineStr">
        <is>
          <t>150x100</t>
        </is>
      </c>
      <c r="F24" t="inlineStr">
        <is>
          <t>Cái</t>
        </is>
      </c>
      <c r="G24" s="2" t="n">
        <v>23</v>
      </c>
      <c r="H24" s="2">
        <f>SUMIF('01_BOC_TACH_ONG'!B:B, B24, '01_BOC_TACH_ONG'!K:K)</f>
        <v/>
      </c>
      <c r="I24" s="2">
        <f>SUMIF('02_BOC_TACH_CUA'!B:B, B24, '02_BOC_TACH_CUA'!K:K)</f>
        <v/>
      </c>
      <c r="J24" s="2">
        <f>SUMIF('03_BOC_TACH_VAN'!B:B, B24, '03_BOC_TACH_VAN'!K:K)</f>
        <v/>
      </c>
      <c r="K24" s="2">
        <f>SUM(H24:J24)</f>
        <v/>
      </c>
      <c r="L24" s="2">
        <f>K24*0.25</f>
        <v/>
      </c>
      <c r="M24" s="2">
        <f>K24*0.10</f>
        <v/>
      </c>
      <c r="N24" s="2">
        <f>K24+L24+M24</f>
        <v/>
      </c>
      <c r="O24" s="2">
        <f>IF(G24&gt;0, N24/G24, 0)</f>
        <v/>
      </c>
      <c r="P24" s="3" t="n">
        <v>0.18</v>
      </c>
      <c r="Q24" s="2">
        <f>O24*(1+P24)</f>
        <v/>
      </c>
      <c r="R24" s="2">
        <f>G24*Q24</f>
        <v/>
      </c>
    </row>
    <row r="25">
      <c r="A25" t="n">
        <v>24</v>
      </c>
      <c r="B25" t="inlineStr">
        <is>
          <t>SW-DAMPER-024</t>
        </is>
      </c>
      <c r="C25" t="inlineStr">
        <is>
          <t>VAN GIÓ</t>
        </is>
      </c>
      <c r="D25" t="inlineStr">
        <is>
          <t>Van điều chỉnh lưu lượng VCD - Kích thước 150x150</t>
        </is>
      </c>
      <c r="E25" t="inlineStr">
        <is>
          <t>150x150</t>
        </is>
      </c>
      <c r="F25" t="inlineStr">
        <is>
          <t>Cái</t>
        </is>
      </c>
      <c r="G25" s="2" t="n">
        <v>23</v>
      </c>
      <c r="H25" s="2">
        <f>SUMIF('01_BOC_TACH_ONG'!B:B, B25, '01_BOC_TACH_ONG'!K:K)</f>
        <v/>
      </c>
      <c r="I25" s="2">
        <f>SUMIF('02_BOC_TACH_CUA'!B:B, B25, '02_BOC_TACH_CUA'!K:K)</f>
        <v/>
      </c>
      <c r="J25" s="2">
        <f>SUMIF('03_BOC_TACH_VAN'!B:B, B25, '03_BOC_TACH_VAN'!K:K)</f>
        <v/>
      </c>
      <c r="K25" s="2">
        <f>SUM(H25:J25)</f>
        <v/>
      </c>
      <c r="L25" s="2">
        <f>K25*0.25</f>
        <v/>
      </c>
      <c r="M25" s="2">
        <f>K25*0.10</f>
        <v/>
      </c>
      <c r="N25" s="2">
        <f>K25+L25+M25</f>
        <v/>
      </c>
      <c r="O25" s="2">
        <f>IF(G25&gt;0, N25/G25, 0)</f>
        <v/>
      </c>
      <c r="P25" s="3" t="n">
        <v>0.18</v>
      </c>
      <c r="Q25" s="2">
        <f>O25*(1+P25)</f>
        <v/>
      </c>
      <c r="R25" s="2">
        <f>G25*Q25</f>
        <v/>
      </c>
    </row>
    <row r="26">
      <c r="A26" t="n">
        <v>25</v>
      </c>
      <c r="B26" t="inlineStr">
        <is>
          <t>SW-DAMPER-025</t>
        </is>
      </c>
      <c r="C26" t="inlineStr">
        <is>
          <t>VAN GIÓ</t>
        </is>
      </c>
      <c r="D26" t="inlineStr">
        <is>
          <t>Van điều chỉnh lưu lượng VCD - Kích thước 200x150</t>
        </is>
      </c>
      <c r="E26" t="inlineStr">
        <is>
          <t>200x150</t>
        </is>
      </c>
      <c r="F26" t="inlineStr">
        <is>
          <t>Cái</t>
        </is>
      </c>
      <c r="G26" s="2" t="n">
        <v>1</v>
      </c>
      <c r="H26" s="2">
        <f>SUMIF('01_BOC_TACH_ONG'!B:B, B26, '01_BOC_TACH_ONG'!K:K)</f>
        <v/>
      </c>
      <c r="I26" s="2">
        <f>SUMIF('02_BOC_TACH_CUA'!B:B, B26, '02_BOC_TACH_CUA'!K:K)</f>
        <v/>
      </c>
      <c r="J26" s="2">
        <f>SUMIF('03_BOC_TACH_VAN'!B:B, B26, '03_BOC_TACH_VAN'!K:K)</f>
        <v/>
      </c>
      <c r="K26" s="2">
        <f>SUM(H26:J26)</f>
        <v/>
      </c>
      <c r="L26" s="2">
        <f>K26*0.25</f>
        <v/>
      </c>
      <c r="M26" s="2">
        <f>K26*0.10</f>
        <v/>
      </c>
      <c r="N26" s="2">
        <f>K26+L26+M26</f>
        <v/>
      </c>
      <c r="O26" s="2">
        <f>IF(G26&gt;0, N26/G26, 0)</f>
        <v/>
      </c>
      <c r="P26" s="3" t="n">
        <v>0.18</v>
      </c>
      <c r="Q26" s="2">
        <f>O26*(1+P26)</f>
        <v/>
      </c>
      <c r="R26" s="2">
        <f>G26*Q26</f>
        <v/>
      </c>
    </row>
    <row r="27">
      <c r="A27" t="n">
        <v>26</v>
      </c>
      <c r="B27" t="inlineStr">
        <is>
          <t>SW-DAMPER-026</t>
        </is>
      </c>
      <c r="C27" t="inlineStr">
        <is>
          <t>VAN GIÓ</t>
        </is>
      </c>
      <c r="D27" t="inlineStr">
        <is>
          <t>Van điều chỉnh lưu lượng VCD - Kích thước 300x250</t>
        </is>
      </c>
      <c r="E27" t="inlineStr">
        <is>
          <t>300x250</t>
        </is>
      </c>
      <c r="F27" t="inlineStr">
        <is>
          <t>Cái</t>
        </is>
      </c>
      <c r="G27" s="2" t="n">
        <v>1</v>
      </c>
      <c r="H27" s="2">
        <f>SUMIF('01_BOC_TACH_ONG'!B:B, B27, '01_BOC_TACH_ONG'!K:K)</f>
        <v/>
      </c>
      <c r="I27" s="2">
        <f>SUMIF('02_BOC_TACH_CUA'!B:B, B27, '02_BOC_TACH_CUA'!K:K)</f>
        <v/>
      </c>
      <c r="J27" s="2">
        <f>SUMIF('03_BOC_TACH_VAN'!B:B, B27, '03_BOC_TACH_VAN'!K:K)</f>
        <v/>
      </c>
      <c r="K27" s="2">
        <f>SUM(H27:J27)</f>
        <v/>
      </c>
      <c r="L27" s="2">
        <f>K27*0.25</f>
        <v/>
      </c>
      <c r="M27" s="2">
        <f>K27*0.10</f>
        <v/>
      </c>
      <c r="N27" s="2">
        <f>K27+L27+M27</f>
        <v/>
      </c>
      <c r="O27" s="2">
        <f>IF(G27&gt;0, N27/G27, 0)</f>
        <v/>
      </c>
      <c r="P27" s="3" t="n">
        <v>0.18</v>
      </c>
      <c r="Q27" s="2">
        <f>O27*(1+P27)</f>
        <v/>
      </c>
      <c r="R27" s="2">
        <f>G27*Q27</f>
        <v/>
      </c>
    </row>
    <row r="28">
      <c r="A28" t="n">
        <v>27</v>
      </c>
      <c r="B28" t="inlineStr">
        <is>
          <t>SW-DAMPER-027</t>
        </is>
      </c>
      <c r="C28" t="inlineStr">
        <is>
          <t>VAN GIÓ</t>
        </is>
      </c>
      <c r="D28" t="inlineStr">
        <is>
          <t>Van điều chỉnh lưu lượng VCD - Kích thước 350x250</t>
        </is>
      </c>
      <c r="E28" t="inlineStr">
        <is>
          <t>350x250</t>
        </is>
      </c>
      <c r="F28" t="inlineStr">
        <is>
          <t>Cái</t>
        </is>
      </c>
      <c r="G28" s="2" t="n">
        <v>1</v>
      </c>
      <c r="H28" s="2">
        <f>SUMIF('01_BOC_TACH_ONG'!B:B, B28, '01_BOC_TACH_ONG'!K:K)</f>
        <v/>
      </c>
      <c r="I28" s="2">
        <f>SUMIF('02_BOC_TACH_CUA'!B:B, B28, '02_BOC_TACH_CUA'!K:K)</f>
        <v/>
      </c>
      <c r="J28" s="2">
        <f>SUMIF('03_BOC_TACH_VAN'!B:B, B28, '03_BOC_TACH_VAN'!K:K)</f>
        <v/>
      </c>
      <c r="K28" s="2">
        <f>SUM(H28:J28)</f>
        <v/>
      </c>
      <c r="L28" s="2">
        <f>K28*0.25</f>
        <v/>
      </c>
      <c r="M28" s="2">
        <f>K28*0.10</f>
        <v/>
      </c>
      <c r="N28" s="2">
        <f>K28+L28+M28</f>
        <v/>
      </c>
      <c r="O28" s="2">
        <f>IF(G28&gt;0, N28/G28, 0)</f>
        <v/>
      </c>
      <c r="P28" s="3" t="n">
        <v>0.18</v>
      </c>
      <c r="Q28" s="2">
        <f>O28*(1+P28)</f>
        <v/>
      </c>
      <c r="R28" s="2">
        <f>G28*Q28</f>
        <v/>
      </c>
    </row>
    <row r="29">
      <c r="A29" t="n">
        <v>28</v>
      </c>
      <c r="B29" t="inlineStr">
        <is>
          <t>SW-DAMPER-028</t>
        </is>
      </c>
      <c r="C29" t="inlineStr">
        <is>
          <t>VAN GIÓ</t>
        </is>
      </c>
      <c r="D29" t="inlineStr">
        <is>
          <t>Van điều chỉnh lưu lượng VCD - Kích thước 400x200</t>
        </is>
      </c>
      <c r="E29" t="inlineStr">
        <is>
          <t>400x200</t>
        </is>
      </c>
      <c r="F29" t="inlineStr">
        <is>
          <t>Cái</t>
        </is>
      </c>
      <c r="G29" s="2" t="n">
        <v>6</v>
      </c>
      <c r="H29" s="2">
        <f>SUMIF('01_BOC_TACH_ONG'!B:B, B29, '01_BOC_TACH_ONG'!K:K)</f>
        <v/>
      </c>
      <c r="I29" s="2">
        <f>SUMIF('02_BOC_TACH_CUA'!B:B, B29, '02_BOC_TACH_CUA'!K:K)</f>
        <v/>
      </c>
      <c r="J29" s="2">
        <f>SUMIF('03_BOC_TACH_VAN'!B:B, B29, '03_BOC_TACH_VAN'!K:K)</f>
        <v/>
      </c>
      <c r="K29" s="2">
        <f>SUM(H29:J29)</f>
        <v/>
      </c>
      <c r="L29" s="2">
        <f>K29*0.25</f>
        <v/>
      </c>
      <c r="M29" s="2">
        <f>K29*0.10</f>
        <v/>
      </c>
      <c r="N29" s="2">
        <f>K29+L29+M29</f>
        <v/>
      </c>
      <c r="O29" s="2">
        <f>IF(G29&gt;0, N29/G29, 0)</f>
        <v/>
      </c>
      <c r="P29" s="3" t="n">
        <v>0.18</v>
      </c>
      <c r="Q29" s="2">
        <f>O29*(1+P29)</f>
        <v/>
      </c>
      <c r="R29" s="2">
        <f>G29*Q29</f>
        <v/>
      </c>
    </row>
    <row r="30">
      <c r="A30" t="n">
        <v>29</v>
      </c>
      <c r="B30" t="inlineStr">
        <is>
          <t>SW-DAMPER-029</t>
        </is>
      </c>
      <c r="C30" t="inlineStr">
        <is>
          <t>VAN GIÓ</t>
        </is>
      </c>
      <c r="D30" t="inlineStr">
        <is>
          <t>Van điều chỉnh lưu lượng VCD - Kích thước 400x250</t>
        </is>
      </c>
      <c r="E30" t="inlineStr">
        <is>
          <t>400x250</t>
        </is>
      </c>
      <c r="F30" t="inlineStr">
        <is>
          <t>Cái</t>
        </is>
      </c>
      <c r="G30" s="2" t="n">
        <v>3</v>
      </c>
      <c r="H30" s="2">
        <f>SUMIF('01_BOC_TACH_ONG'!B:B, B30, '01_BOC_TACH_ONG'!K:K)</f>
        <v/>
      </c>
      <c r="I30" s="2">
        <f>SUMIF('02_BOC_TACH_CUA'!B:B, B30, '02_BOC_TACH_CUA'!K:K)</f>
        <v/>
      </c>
      <c r="J30" s="2">
        <f>SUMIF('03_BOC_TACH_VAN'!B:B, B30, '03_BOC_TACH_VAN'!K:K)</f>
        <v/>
      </c>
      <c r="K30" s="2">
        <f>SUM(H30:J30)</f>
        <v/>
      </c>
      <c r="L30" s="2">
        <f>K30*0.25</f>
        <v/>
      </c>
      <c r="M30" s="2">
        <f>K30*0.10</f>
        <v/>
      </c>
      <c r="N30" s="2">
        <f>K30+L30+M30</f>
        <v/>
      </c>
      <c r="O30" s="2">
        <f>IF(G30&gt;0, N30/G30, 0)</f>
        <v/>
      </c>
      <c r="P30" s="3" t="n">
        <v>0.18</v>
      </c>
      <c r="Q30" s="2">
        <f>O30*(1+P30)</f>
        <v/>
      </c>
      <c r="R30" s="2">
        <f>G30*Q30</f>
        <v/>
      </c>
    </row>
    <row r="31">
      <c r="A31" t="n">
        <v>30</v>
      </c>
      <c r="B31" t="inlineStr">
        <is>
          <t>SW-DAMPER-030</t>
        </is>
      </c>
      <c r="C31" t="inlineStr">
        <is>
          <t>VAN GIÓ</t>
        </is>
      </c>
      <c r="D31" t="inlineStr">
        <is>
          <t>Van điều chỉnh lưu lượng VCD - Kích thước 400x300</t>
        </is>
      </c>
      <c r="E31" t="inlineStr">
        <is>
          <t>400x300</t>
        </is>
      </c>
      <c r="F31" t="inlineStr">
        <is>
          <t>Cái</t>
        </is>
      </c>
      <c r="G31" s="2" t="n">
        <v>4</v>
      </c>
      <c r="H31" s="2">
        <f>SUMIF('01_BOC_TACH_ONG'!B:B, B31, '01_BOC_TACH_ONG'!K:K)</f>
        <v/>
      </c>
      <c r="I31" s="2">
        <f>SUMIF('02_BOC_TACH_CUA'!B:B, B31, '02_BOC_TACH_CUA'!K:K)</f>
        <v/>
      </c>
      <c r="J31" s="2">
        <f>SUMIF('03_BOC_TACH_VAN'!B:B, B31, '03_BOC_TACH_VAN'!K:K)</f>
        <v/>
      </c>
      <c r="K31" s="2">
        <f>SUM(H31:J31)</f>
        <v/>
      </c>
      <c r="L31" s="2">
        <f>K31*0.25</f>
        <v/>
      </c>
      <c r="M31" s="2">
        <f>K31*0.10</f>
        <v/>
      </c>
      <c r="N31" s="2">
        <f>K31+L31+M31</f>
        <v/>
      </c>
      <c r="O31" s="2">
        <f>IF(G31&gt;0, N31/G31, 0)</f>
        <v/>
      </c>
      <c r="P31" s="3" t="n">
        <v>0.18</v>
      </c>
      <c r="Q31" s="2">
        <f>O31*(1+P31)</f>
        <v/>
      </c>
      <c r="R31" s="2">
        <f>G31*Q31</f>
        <v/>
      </c>
    </row>
    <row r="32">
      <c r="A32" t="n">
        <v>31</v>
      </c>
      <c r="B32" t="inlineStr">
        <is>
          <t>SW-DAMPER-031</t>
        </is>
      </c>
      <c r="C32" t="inlineStr">
        <is>
          <t>VAN GIÓ</t>
        </is>
      </c>
      <c r="D32" t="inlineStr">
        <is>
          <t>Van điều chỉnh lưu lượng VCD - Kích thước 450x250</t>
        </is>
      </c>
      <c r="E32" t="inlineStr">
        <is>
          <t>450x250</t>
        </is>
      </c>
      <c r="F32" t="inlineStr">
        <is>
          <t>Cái</t>
        </is>
      </c>
      <c r="G32" s="2" t="n">
        <v>2</v>
      </c>
      <c r="H32" s="2">
        <f>SUMIF('01_BOC_TACH_ONG'!B:B, B32, '01_BOC_TACH_ONG'!K:K)</f>
        <v/>
      </c>
      <c r="I32" s="2">
        <f>SUMIF('02_BOC_TACH_CUA'!B:B, B32, '02_BOC_TACH_CUA'!K:K)</f>
        <v/>
      </c>
      <c r="J32" s="2">
        <f>SUMIF('03_BOC_TACH_VAN'!B:B, B32, '03_BOC_TACH_VAN'!K:K)</f>
        <v/>
      </c>
      <c r="K32" s="2">
        <f>SUM(H32:J32)</f>
        <v/>
      </c>
      <c r="L32" s="2">
        <f>K32*0.25</f>
        <v/>
      </c>
      <c r="M32" s="2">
        <f>K32*0.10</f>
        <v/>
      </c>
      <c r="N32" s="2">
        <f>K32+L32+M32</f>
        <v/>
      </c>
      <c r="O32" s="2">
        <f>IF(G32&gt;0, N32/G32, 0)</f>
        <v/>
      </c>
      <c r="P32" s="3" t="n">
        <v>0.18</v>
      </c>
      <c r="Q32" s="2">
        <f>O32*(1+P32)</f>
        <v/>
      </c>
      <c r="R32" s="2">
        <f>G32*Q32</f>
        <v/>
      </c>
    </row>
    <row r="33">
      <c r="A33" t="n">
        <v>32</v>
      </c>
      <c r="B33" t="inlineStr">
        <is>
          <t>SW-DAMPER-032</t>
        </is>
      </c>
      <c r="C33" t="inlineStr">
        <is>
          <t>VAN GIÓ</t>
        </is>
      </c>
      <c r="D33" t="inlineStr">
        <is>
          <t>Van điều chỉnh lưu lượng VCD - Kích thước 500x300</t>
        </is>
      </c>
      <c r="E33" t="inlineStr">
        <is>
          <t>500x300</t>
        </is>
      </c>
      <c r="F33" t="inlineStr">
        <is>
          <t>Cái</t>
        </is>
      </c>
      <c r="G33" s="2" t="n">
        <v>2</v>
      </c>
      <c r="H33" s="2">
        <f>SUMIF('01_BOC_TACH_ONG'!B:B, B33, '01_BOC_TACH_ONG'!K:K)</f>
        <v/>
      </c>
      <c r="I33" s="2">
        <f>SUMIF('02_BOC_TACH_CUA'!B:B, B33, '02_BOC_TACH_CUA'!K:K)</f>
        <v/>
      </c>
      <c r="J33" s="2">
        <f>SUMIF('03_BOC_TACH_VAN'!B:B, B33, '03_BOC_TACH_VAN'!K:K)</f>
        <v/>
      </c>
      <c r="K33" s="2">
        <f>SUM(H33:J33)</f>
        <v/>
      </c>
      <c r="L33" s="2">
        <f>K33*0.25</f>
        <v/>
      </c>
      <c r="M33" s="2">
        <f>K33*0.10</f>
        <v/>
      </c>
      <c r="N33" s="2">
        <f>K33+L33+M33</f>
        <v/>
      </c>
      <c r="O33" s="2">
        <f>IF(G33&gt;0, N33/G33, 0)</f>
        <v/>
      </c>
      <c r="P33" s="3" t="n">
        <v>0.18</v>
      </c>
      <c r="Q33" s="2">
        <f>O33*(1+P33)</f>
        <v/>
      </c>
      <c r="R33" s="2">
        <f>G33*Q33</f>
        <v/>
      </c>
    </row>
    <row r="34">
      <c r="A34" t="n">
        <v>33</v>
      </c>
      <c r="B34" t="inlineStr">
        <is>
          <t>SW-DAMPER-033</t>
        </is>
      </c>
      <c r="C34" t="inlineStr">
        <is>
          <t>VAN GIÓ</t>
        </is>
      </c>
      <c r="D34" t="inlineStr">
        <is>
          <t>Van điều chỉnh lưu lượng VCD - Kích thước 500x250</t>
        </is>
      </c>
      <c r="E34" t="inlineStr">
        <is>
          <t>500x250</t>
        </is>
      </c>
      <c r="F34" t="inlineStr">
        <is>
          <t>Cái</t>
        </is>
      </c>
      <c r="G34" s="2" t="n">
        <v>1</v>
      </c>
      <c r="H34" s="2">
        <f>SUMIF('01_BOC_TACH_ONG'!B:B, B34, '01_BOC_TACH_ONG'!K:K)</f>
        <v/>
      </c>
      <c r="I34" s="2">
        <f>SUMIF('02_BOC_TACH_CUA'!B:B, B34, '02_BOC_TACH_CUA'!K:K)</f>
        <v/>
      </c>
      <c r="J34" s="2">
        <f>SUMIF('03_BOC_TACH_VAN'!B:B, B34, '03_BOC_TACH_VAN'!K:K)</f>
        <v/>
      </c>
      <c r="K34" s="2">
        <f>SUM(H34:J34)</f>
        <v/>
      </c>
      <c r="L34" s="2">
        <f>K34*0.25</f>
        <v/>
      </c>
      <c r="M34" s="2">
        <f>K34*0.10</f>
        <v/>
      </c>
      <c r="N34" s="2">
        <f>K34+L34+M34</f>
        <v/>
      </c>
      <c r="O34" s="2">
        <f>IF(G34&gt;0, N34/G34, 0)</f>
        <v/>
      </c>
      <c r="P34" s="3" t="n">
        <v>0.18</v>
      </c>
      <c r="Q34" s="2">
        <f>O34*(1+P34)</f>
        <v/>
      </c>
      <c r="R34" s="2">
        <f>G34*Q34</f>
        <v/>
      </c>
    </row>
    <row r="35">
      <c r="A35" t="n">
        <v>34</v>
      </c>
      <c r="B35" t="inlineStr">
        <is>
          <t>SW-DAMPER-034</t>
        </is>
      </c>
      <c r="C35" t="inlineStr">
        <is>
          <t>VAN GIÓ</t>
        </is>
      </c>
      <c r="D35" t="inlineStr">
        <is>
          <t>Van điều chỉnh lưu lượng VCD - Kích thước 550x250</t>
        </is>
      </c>
      <c r="E35" t="inlineStr">
        <is>
          <t>550x250</t>
        </is>
      </c>
      <c r="F35" t="inlineStr">
        <is>
          <t>Cái</t>
        </is>
      </c>
      <c r="G35" s="2" t="n">
        <v>1</v>
      </c>
      <c r="H35" s="2">
        <f>SUMIF('01_BOC_TACH_ONG'!B:B, B35, '01_BOC_TACH_ONG'!K:K)</f>
        <v/>
      </c>
      <c r="I35" s="2">
        <f>SUMIF('02_BOC_TACH_CUA'!B:B, B35, '02_BOC_TACH_CUA'!K:K)</f>
        <v/>
      </c>
      <c r="J35" s="2">
        <f>SUMIF('03_BOC_TACH_VAN'!B:B, B35, '03_BOC_TACH_VAN'!K:K)</f>
        <v/>
      </c>
      <c r="K35" s="2">
        <f>SUM(H35:J35)</f>
        <v/>
      </c>
      <c r="L35" s="2">
        <f>K35*0.25</f>
        <v/>
      </c>
      <c r="M35" s="2">
        <f>K35*0.10</f>
        <v/>
      </c>
      <c r="N35" s="2">
        <f>K35+L35+M35</f>
        <v/>
      </c>
      <c r="O35" s="2">
        <f>IF(G35&gt;0, N35/G35, 0)</f>
        <v/>
      </c>
      <c r="P35" s="3" t="n">
        <v>0.18</v>
      </c>
      <c r="Q35" s="2">
        <f>O35*(1+P35)</f>
        <v/>
      </c>
      <c r="R35" s="2">
        <f>G35*Q35</f>
        <v/>
      </c>
    </row>
    <row r="36">
      <c r="A36" t="n">
        <v>35</v>
      </c>
      <c r="B36" t="inlineStr">
        <is>
          <t>SW-DAMPER-035</t>
        </is>
      </c>
      <c r="C36" t="inlineStr">
        <is>
          <t>VAN GIÓ</t>
        </is>
      </c>
      <c r="D36" t="inlineStr">
        <is>
          <t>Van điều chỉnh lưu lượng VCD - Kích thước 600x300</t>
        </is>
      </c>
      <c r="E36" t="inlineStr">
        <is>
          <t>600x300</t>
        </is>
      </c>
      <c r="F36" t="inlineStr">
        <is>
          <t>Cái</t>
        </is>
      </c>
      <c r="G36" s="2" t="n">
        <v>3</v>
      </c>
      <c r="H36" s="2">
        <f>SUMIF('01_BOC_TACH_ONG'!B:B, B36, '01_BOC_TACH_ONG'!K:K)</f>
        <v/>
      </c>
      <c r="I36" s="2">
        <f>SUMIF('02_BOC_TACH_CUA'!B:B, B36, '02_BOC_TACH_CUA'!K:K)</f>
        <v/>
      </c>
      <c r="J36" s="2">
        <f>SUMIF('03_BOC_TACH_VAN'!B:B, B36, '03_BOC_TACH_VAN'!K:K)</f>
        <v/>
      </c>
      <c r="K36" s="2">
        <f>SUM(H36:J36)</f>
        <v/>
      </c>
      <c r="L36" s="2">
        <f>K36*0.25</f>
        <v/>
      </c>
      <c r="M36" s="2">
        <f>K36*0.10</f>
        <v/>
      </c>
      <c r="N36" s="2">
        <f>K36+L36+M36</f>
        <v/>
      </c>
      <c r="O36" s="2">
        <f>IF(G36&gt;0, N36/G36, 0)</f>
        <v/>
      </c>
      <c r="P36" s="3" t="n">
        <v>0.18</v>
      </c>
      <c r="Q36" s="2">
        <f>O36*(1+P36)</f>
        <v/>
      </c>
      <c r="R36" s="2">
        <f>G36*Q36</f>
        <v/>
      </c>
    </row>
    <row r="37">
      <c r="A37" t="n">
        <v>36</v>
      </c>
      <c r="B37" t="inlineStr">
        <is>
          <t>SW-DAMPER-036</t>
        </is>
      </c>
      <c r="C37" t="inlineStr">
        <is>
          <t>VAN GIÓ</t>
        </is>
      </c>
      <c r="D37" t="inlineStr">
        <is>
          <t>Van điều chỉnh lưu lượng VCD - Kích thước 650x250</t>
        </is>
      </c>
      <c r="E37" t="inlineStr">
        <is>
          <t>650x250</t>
        </is>
      </c>
      <c r="F37" t="inlineStr">
        <is>
          <t>Cái</t>
        </is>
      </c>
      <c r="G37" s="2" t="n">
        <v>1</v>
      </c>
      <c r="H37" s="2">
        <f>SUMIF('01_BOC_TACH_ONG'!B:B, B37, '01_BOC_TACH_ONG'!K:K)</f>
        <v/>
      </c>
      <c r="I37" s="2">
        <f>SUMIF('02_BOC_TACH_CUA'!B:B, B37, '02_BOC_TACH_CUA'!K:K)</f>
        <v/>
      </c>
      <c r="J37" s="2">
        <f>SUMIF('03_BOC_TACH_VAN'!B:B, B37, '03_BOC_TACH_VAN'!K:K)</f>
        <v/>
      </c>
      <c r="K37" s="2">
        <f>SUM(H37:J37)</f>
        <v/>
      </c>
      <c r="L37" s="2">
        <f>K37*0.25</f>
        <v/>
      </c>
      <c r="M37" s="2">
        <f>K37*0.10</f>
        <v/>
      </c>
      <c r="N37" s="2">
        <f>K37+L37+M37</f>
        <v/>
      </c>
      <c r="O37" s="2">
        <f>IF(G37&gt;0, N37/G37, 0)</f>
        <v/>
      </c>
      <c r="P37" s="3" t="n">
        <v>0.18</v>
      </c>
      <c r="Q37" s="2">
        <f>O37*(1+P37)</f>
        <v/>
      </c>
      <c r="R37" s="2">
        <f>G37*Q37</f>
        <v/>
      </c>
    </row>
    <row r="38">
      <c r="A38" t="n">
        <v>37</v>
      </c>
      <c r="B38" t="inlineStr">
        <is>
          <t>SW-DAMPER-037</t>
        </is>
      </c>
      <c r="C38" t="inlineStr">
        <is>
          <t>VAN GIÓ</t>
        </is>
      </c>
      <c r="D38" t="inlineStr">
        <is>
          <t>Van điều chỉnh lưu lượng VCD - Kích thước 650x300</t>
        </is>
      </c>
      <c r="E38" t="inlineStr">
        <is>
          <t>650x300</t>
        </is>
      </c>
      <c r="F38" t="inlineStr">
        <is>
          <t>Cái</t>
        </is>
      </c>
      <c r="G38" s="2" t="n">
        <v>1</v>
      </c>
      <c r="H38" s="2">
        <f>SUMIF('01_BOC_TACH_ONG'!B:B, B38, '01_BOC_TACH_ONG'!K:K)</f>
        <v/>
      </c>
      <c r="I38" s="2">
        <f>SUMIF('02_BOC_TACH_CUA'!B:B, B38, '02_BOC_TACH_CUA'!K:K)</f>
        <v/>
      </c>
      <c r="J38" s="2">
        <f>SUMIF('03_BOC_TACH_VAN'!B:B, B38, '03_BOC_TACH_VAN'!K:K)</f>
        <v/>
      </c>
      <c r="K38" s="2">
        <f>SUM(H38:J38)</f>
        <v/>
      </c>
      <c r="L38" s="2">
        <f>K38*0.25</f>
        <v/>
      </c>
      <c r="M38" s="2">
        <f>K38*0.10</f>
        <v/>
      </c>
      <c r="N38" s="2">
        <f>K38+L38+M38</f>
        <v/>
      </c>
      <c r="O38" s="2">
        <f>IF(G38&gt;0, N38/G38, 0)</f>
        <v/>
      </c>
      <c r="P38" s="3" t="n">
        <v>0.18</v>
      </c>
      <c r="Q38" s="2">
        <f>O38*(1+P38)</f>
        <v/>
      </c>
      <c r="R38" s="2">
        <f>G38*Q38</f>
        <v/>
      </c>
    </row>
    <row r="39">
      <c r="A39" t="n">
        <v>38</v>
      </c>
      <c r="B39" t="inlineStr">
        <is>
          <t>SW-DAMPER-038</t>
        </is>
      </c>
      <c r="C39" t="inlineStr">
        <is>
          <t>VAN GIÓ</t>
        </is>
      </c>
      <c r="D39" t="inlineStr">
        <is>
          <t>Van điều chỉnh lưu lượng VCD - Kích thước 650x350</t>
        </is>
      </c>
      <c r="E39" t="inlineStr">
        <is>
          <t>650x350</t>
        </is>
      </c>
      <c r="F39" t="inlineStr">
        <is>
          <t>Cái</t>
        </is>
      </c>
      <c r="G39" s="2" t="n">
        <v>1</v>
      </c>
      <c r="H39" s="2">
        <f>SUMIF('01_BOC_TACH_ONG'!B:B, B39, '01_BOC_TACH_ONG'!K:K)</f>
        <v/>
      </c>
      <c r="I39" s="2">
        <f>SUMIF('02_BOC_TACH_CUA'!B:B, B39, '02_BOC_TACH_CUA'!K:K)</f>
        <v/>
      </c>
      <c r="J39" s="2">
        <f>SUMIF('03_BOC_TACH_VAN'!B:B, B39, '03_BOC_TACH_VAN'!K:K)</f>
        <v/>
      </c>
      <c r="K39" s="2">
        <f>SUM(H39:J39)</f>
        <v/>
      </c>
      <c r="L39" s="2">
        <f>K39*0.25</f>
        <v/>
      </c>
      <c r="M39" s="2">
        <f>K39*0.10</f>
        <v/>
      </c>
      <c r="N39" s="2">
        <f>K39+L39+M39</f>
        <v/>
      </c>
      <c r="O39" s="2">
        <f>IF(G39&gt;0, N39/G39, 0)</f>
        <v/>
      </c>
      <c r="P39" s="3" t="n">
        <v>0.18</v>
      </c>
      <c r="Q39" s="2">
        <f>O39*(1+P39)</f>
        <v/>
      </c>
      <c r="R39" s="2">
        <f>G39*Q39</f>
        <v/>
      </c>
    </row>
    <row r="40">
      <c r="A40" t="n">
        <v>39</v>
      </c>
      <c r="B40" t="inlineStr">
        <is>
          <t>SW-DAMPER-039</t>
        </is>
      </c>
      <c r="C40" t="inlineStr">
        <is>
          <t>VAN GIÓ</t>
        </is>
      </c>
      <c r="D40" t="inlineStr">
        <is>
          <t>Van điều chỉnh lưu lượng VCD - Kích thước 800x600</t>
        </is>
      </c>
      <c r="E40" t="inlineStr">
        <is>
          <t>800x600</t>
        </is>
      </c>
      <c r="F40" t="inlineStr">
        <is>
          <t>Cái</t>
        </is>
      </c>
      <c r="G40" s="2" t="n">
        <v>1</v>
      </c>
      <c r="H40" s="2">
        <f>SUMIF('01_BOC_TACH_ONG'!B:B, B40, '01_BOC_TACH_ONG'!K:K)</f>
        <v/>
      </c>
      <c r="I40" s="2">
        <f>SUMIF('02_BOC_TACH_CUA'!B:B, B40, '02_BOC_TACH_CUA'!K:K)</f>
        <v/>
      </c>
      <c r="J40" s="2">
        <f>SUMIF('03_BOC_TACH_VAN'!B:B, B40, '03_BOC_TACH_VAN'!K:K)</f>
        <v/>
      </c>
      <c r="K40" s="2">
        <f>SUM(H40:J40)</f>
        <v/>
      </c>
      <c r="L40" s="2">
        <f>K40*0.25</f>
        <v/>
      </c>
      <c r="M40" s="2">
        <f>K40*0.10</f>
        <v/>
      </c>
      <c r="N40" s="2">
        <f>K40+L40+M40</f>
        <v/>
      </c>
      <c r="O40" s="2">
        <f>IF(G40&gt;0, N40/G40, 0)</f>
        <v/>
      </c>
      <c r="P40" s="3" t="n">
        <v>0.18</v>
      </c>
      <c r="Q40" s="2">
        <f>O40*(1+P40)</f>
        <v/>
      </c>
      <c r="R40" s="2">
        <f>G40*Q40</f>
        <v/>
      </c>
    </row>
    <row r="41">
      <c r="A41" t="n">
        <v>40</v>
      </c>
      <c r="B41" t="inlineStr">
        <is>
          <t>SW-DAMPER-040</t>
        </is>
      </c>
      <c r="C41" t="inlineStr">
        <is>
          <t>VAN GIÓ</t>
        </is>
      </c>
      <c r="D41" t="inlineStr">
        <is>
          <t>Van điều chỉnh lưu lượng VCD - Kích thước 900x300</t>
        </is>
      </c>
      <c r="E41" t="inlineStr">
        <is>
          <t>900x300</t>
        </is>
      </c>
      <c r="F41" t="inlineStr">
        <is>
          <t>Cái</t>
        </is>
      </c>
      <c r="G41" s="2" t="n">
        <v>1</v>
      </c>
      <c r="H41" s="2">
        <f>SUMIF('01_BOC_TACH_ONG'!B:B, B41, '01_BOC_TACH_ONG'!K:K)</f>
        <v/>
      </c>
      <c r="I41" s="2">
        <f>SUMIF('02_BOC_TACH_CUA'!B:B, B41, '02_BOC_TACH_CUA'!K:K)</f>
        <v/>
      </c>
      <c r="J41" s="2">
        <f>SUMIF('03_BOC_TACH_VAN'!B:B, B41, '03_BOC_TACH_VAN'!K:K)</f>
        <v/>
      </c>
      <c r="K41" s="2">
        <f>SUM(H41:J41)</f>
        <v/>
      </c>
      <c r="L41" s="2">
        <f>K41*0.25</f>
        <v/>
      </c>
      <c r="M41" s="2">
        <f>K41*0.10</f>
        <v/>
      </c>
      <c r="N41" s="2">
        <f>K41+L41+M41</f>
        <v/>
      </c>
      <c r="O41" s="2">
        <f>IF(G41&gt;0, N41/G41, 0)</f>
        <v/>
      </c>
      <c r="P41" s="3" t="n">
        <v>0.18</v>
      </c>
      <c r="Q41" s="2">
        <f>O41*(1+P41)</f>
        <v/>
      </c>
      <c r="R41" s="2">
        <f>G41*Q41</f>
        <v/>
      </c>
    </row>
    <row r="42">
      <c r="A42" t="n">
        <v>41</v>
      </c>
      <c r="B42" t="inlineStr">
        <is>
          <t>SW-DAMPER-041</t>
        </is>
      </c>
      <c r="C42" t="inlineStr">
        <is>
          <t>VAN GIÓ</t>
        </is>
      </c>
      <c r="D42" t="inlineStr">
        <is>
          <t>Van điều chỉnh lưu lượng VCD - Kích thước 900x500</t>
        </is>
      </c>
      <c r="E42" t="inlineStr">
        <is>
          <t>900x500</t>
        </is>
      </c>
      <c r="F42" t="inlineStr">
        <is>
          <t>Cái</t>
        </is>
      </c>
      <c r="G42" s="2" t="n">
        <v>1</v>
      </c>
      <c r="H42" s="2">
        <f>SUMIF('01_BOC_TACH_ONG'!B:B, B42, '01_BOC_TACH_ONG'!K:K)</f>
        <v/>
      </c>
      <c r="I42" s="2">
        <f>SUMIF('02_BOC_TACH_CUA'!B:B, B42, '02_BOC_TACH_CUA'!K:K)</f>
        <v/>
      </c>
      <c r="J42" s="2">
        <f>SUMIF('03_BOC_TACH_VAN'!B:B, B42, '03_BOC_TACH_VAN'!K:K)</f>
        <v/>
      </c>
      <c r="K42" s="2">
        <f>SUM(H42:J42)</f>
        <v/>
      </c>
      <c r="L42" s="2">
        <f>K42*0.25</f>
        <v/>
      </c>
      <c r="M42" s="2">
        <f>K42*0.10</f>
        <v/>
      </c>
      <c r="N42" s="2">
        <f>K42+L42+M42</f>
        <v/>
      </c>
      <c r="O42" s="2">
        <f>IF(G42&gt;0, N42/G42, 0)</f>
        <v/>
      </c>
      <c r="P42" s="3" t="n">
        <v>0.18</v>
      </c>
      <c r="Q42" s="2">
        <f>O42*(1+P42)</f>
        <v/>
      </c>
      <c r="R42" s="2">
        <f>G42*Q42</f>
        <v/>
      </c>
    </row>
    <row r="43">
      <c r="A43" t="n">
        <v>42</v>
      </c>
      <c r="B43" t="inlineStr">
        <is>
          <t>SW-DAMPER-042</t>
        </is>
      </c>
      <c r="C43" t="inlineStr">
        <is>
          <t>VAN GIÓ</t>
        </is>
      </c>
      <c r="D43" t="inlineStr">
        <is>
          <t>Van điều chỉnh lưu lượng VCD - Kích thước 900x900</t>
        </is>
      </c>
      <c r="E43" t="inlineStr">
        <is>
          <t>900x900</t>
        </is>
      </c>
      <c r="F43" t="inlineStr">
        <is>
          <t>Cái</t>
        </is>
      </c>
      <c r="G43" s="2" t="n">
        <v>1</v>
      </c>
      <c r="H43" s="2">
        <f>SUMIF('01_BOC_TACH_ONG'!B:B, B43, '01_BOC_TACH_ONG'!K:K)</f>
        <v/>
      </c>
      <c r="I43" s="2">
        <f>SUMIF('02_BOC_TACH_CUA'!B:B, B43, '02_BOC_TACH_CUA'!K:K)</f>
        <v/>
      </c>
      <c r="J43" s="2">
        <f>SUMIF('03_BOC_TACH_VAN'!B:B, B43, '03_BOC_TACH_VAN'!K:K)</f>
        <v/>
      </c>
      <c r="K43" s="2">
        <f>SUM(H43:J43)</f>
        <v/>
      </c>
      <c r="L43" s="2">
        <f>K43*0.25</f>
        <v/>
      </c>
      <c r="M43" s="2">
        <f>K43*0.10</f>
        <v/>
      </c>
      <c r="N43" s="2">
        <f>K43+L43+M43</f>
        <v/>
      </c>
      <c r="O43" s="2">
        <f>IF(G43&gt;0, N43/G43, 0)</f>
        <v/>
      </c>
      <c r="P43" s="3" t="n">
        <v>0.18</v>
      </c>
      <c r="Q43" s="2">
        <f>O43*(1+P43)</f>
        <v/>
      </c>
      <c r="R43" s="2">
        <f>G43*Q43</f>
        <v/>
      </c>
    </row>
    <row r="44">
      <c r="A44" t="n">
        <v>43</v>
      </c>
      <c r="B44" t="inlineStr">
        <is>
          <t>SW-DAMPER-043</t>
        </is>
      </c>
      <c r="C44" t="inlineStr">
        <is>
          <t>VAN GIÓ</t>
        </is>
      </c>
      <c r="D44" t="inlineStr">
        <is>
          <t>Van điều chỉnh lưu lượng VCD - Kích thước 950x500</t>
        </is>
      </c>
      <c r="E44" t="inlineStr">
        <is>
          <t>950x500</t>
        </is>
      </c>
      <c r="F44" t="inlineStr">
        <is>
          <t>Cái</t>
        </is>
      </c>
      <c r="G44" s="2" t="n">
        <v>1</v>
      </c>
      <c r="H44" s="2">
        <f>SUMIF('01_BOC_TACH_ONG'!B:B, B44, '01_BOC_TACH_ONG'!K:K)</f>
        <v/>
      </c>
      <c r="I44" s="2">
        <f>SUMIF('02_BOC_TACH_CUA'!B:B, B44, '02_BOC_TACH_CUA'!K:K)</f>
        <v/>
      </c>
      <c r="J44" s="2">
        <f>SUMIF('03_BOC_TACH_VAN'!B:B, B44, '03_BOC_TACH_VAN'!K:K)</f>
        <v/>
      </c>
      <c r="K44" s="2">
        <f>SUM(H44:J44)</f>
        <v/>
      </c>
      <c r="L44" s="2">
        <f>K44*0.25</f>
        <v/>
      </c>
      <c r="M44" s="2">
        <f>K44*0.10</f>
        <v/>
      </c>
      <c r="N44" s="2">
        <f>K44+L44+M44</f>
        <v/>
      </c>
      <c r="O44" s="2">
        <f>IF(G44&gt;0, N44/G44, 0)</f>
        <v/>
      </c>
      <c r="P44" s="3" t="n">
        <v>0.18</v>
      </c>
      <c r="Q44" s="2">
        <f>O44*(1+P44)</f>
        <v/>
      </c>
      <c r="R44" s="2">
        <f>G44*Q44</f>
        <v/>
      </c>
    </row>
    <row r="45">
      <c r="A45" t="n">
        <v>44</v>
      </c>
      <c r="B45" t="inlineStr">
        <is>
          <t>SW-DAMPER-044</t>
        </is>
      </c>
      <c r="C45" t="inlineStr">
        <is>
          <t>VAN GIÓ</t>
        </is>
      </c>
      <c r="D45" t="inlineStr">
        <is>
          <t>Van điều chỉnh lưu lượng VCD - Kích thước 1000x1000</t>
        </is>
      </c>
      <c r="E45" t="inlineStr">
        <is>
          <t>1000x1000</t>
        </is>
      </c>
      <c r="F45" t="inlineStr">
        <is>
          <t>Cái</t>
        </is>
      </c>
      <c r="G45" s="2" t="n">
        <v>1</v>
      </c>
      <c r="H45" s="2">
        <f>SUMIF('01_BOC_TACH_ONG'!B:B, B45, '01_BOC_TACH_ONG'!K:K)</f>
        <v/>
      </c>
      <c r="I45" s="2">
        <f>SUMIF('02_BOC_TACH_CUA'!B:B, B45, '02_BOC_TACH_CUA'!K:K)</f>
        <v/>
      </c>
      <c r="J45" s="2">
        <f>SUMIF('03_BOC_TACH_VAN'!B:B, B45, '03_BOC_TACH_VAN'!K:K)</f>
        <v/>
      </c>
      <c r="K45" s="2">
        <f>SUM(H45:J45)</f>
        <v/>
      </c>
      <c r="L45" s="2">
        <f>K45*0.25</f>
        <v/>
      </c>
      <c r="M45" s="2">
        <f>K45*0.10</f>
        <v/>
      </c>
      <c r="N45" s="2">
        <f>K45+L45+M45</f>
        <v/>
      </c>
      <c r="O45" s="2">
        <f>IF(G45&gt;0, N45/G45, 0)</f>
        <v/>
      </c>
      <c r="P45" s="3" t="n">
        <v>0.18</v>
      </c>
      <c r="Q45" s="2">
        <f>O45*(1+P45)</f>
        <v/>
      </c>
      <c r="R45" s="2">
        <f>G45*Q45</f>
        <v/>
      </c>
    </row>
    <row r="46">
      <c r="A46" t="n">
        <v>45</v>
      </c>
      <c r="B46" t="inlineStr">
        <is>
          <t>SW-DAMPER-045</t>
        </is>
      </c>
      <c r="C46" t="inlineStr">
        <is>
          <t>VAN GIÓ</t>
        </is>
      </c>
      <c r="D46" t="inlineStr">
        <is>
          <t>Van chặn lửa FD EI45 - Kích thước 100x100</t>
        </is>
      </c>
      <c r="E46" t="inlineStr">
        <is>
          <t>150x150</t>
        </is>
      </c>
      <c r="F46" t="inlineStr">
        <is>
          <t>Cái</t>
        </is>
      </c>
      <c r="G46" s="2" t="n">
        <v>93</v>
      </c>
      <c r="H46" s="2">
        <f>SUMIF('01_BOC_TACH_ONG'!B:B, B46, '01_BOC_TACH_ONG'!K:K)</f>
        <v/>
      </c>
      <c r="I46" s="2">
        <f>SUMIF('02_BOC_TACH_CUA'!B:B, B46, '02_BOC_TACH_CUA'!K:K)</f>
        <v/>
      </c>
      <c r="J46" s="2">
        <f>SUMIF('03_BOC_TACH_VAN'!B:B, B46, '03_BOC_TACH_VAN'!K:K)</f>
        <v/>
      </c>
      <c r="K46" s="2">
        <f>SUM(H46:J46)</f>
        <v/>
      </c>
      <c r="L46" s="2">
        <f>K46*0.25</f>
        <v/>
      </c>
      <c r="M46" s="2">
        <f>K46*0.10</f>
        <v/>
      </c>
      <c r="N46" s="2">
        <f>K46+L46+M46</f>
        <v/>
      </c>
      <c r="O46" s="2">
        <f>IF(G46&gt;0, N46/G46, 0)</f>
        <v/>
      </c>
      <c r="P46" s="3" t="n">
        <v>0.18</v>
      </c>
      <c r="Q46" s="2">
        <f>O46*(1+P46)</f>
        <v/>
      </c>
      <c r="R46" s="2">
        <f>G46*Q46</f>
        <v/>
      </c>
    </row>
    <row r="47">
      <c r="A47" t="n">
        <v>46</v>
      </c>
      <c r="B47" t="inlineStr">
        <is>
          <t>SW-DAMPER-046</t>
        </is>
      </c>
      <c r="C47" t="inlineStr">
        <is>
          <t>VAN GIÓ</t>
        </is>
      </c>
      <c r="D47" t="inlineStr">
        <is>
          <t>Van chặn lửa FD EI45 - Kích thước 150x100</t>
        </is>
      </c>
      <c r="E47" t="inlineStr">
        <is>
          <t>150x150</t>
        </is>
      </c>
      <c r="F47" t="inlineStr">
        <is>
          <t>Cái</t>
        </is>
      </c>
      <c r="G47" s="2" t="n">
        <v>52</v>
      </c>
      <c r="H47" s="2">
        <f>SUMIF('01_BOC_TACH_ONG'!B:B, B47, '01_BOC_TACH_ONG'!K:K)</f>
        <v/>
      </c>
      <c r="I47" s="2">
        <f>SUMIF('02_BOC_TACH_CUA'!B:B, B47, '02_BOC_TACH_CUA'!K:K)</f>
        <v/>
      </c>
      <c r="J47" s="2">
        <f>SUMIF('03_BOC_TACH_VAN'!B:B, B47, '03_BOC_TACH_VAN'!K:K)</f>
        <v/>
      </c>
      <c r="K47" s="2">
        <f>SUM(H47:J47)</f>
        <v/>
      </c>
      <c r="L47" s="2">
        <f>K47*0.25</f>
        <v/>
      </c>
      <c r="M47" s="2">
        <f>K47*0.10</f>
        <v/>
      </c>
      <c r="N47" s="2">
        <f>K47+L47+M47</f>
        <v/>
      </c>
      <c r="O47" s="2">
        <f>IF(G47&gt;0, N47/G47, 0)</f>
        <v/>
      </c>
      <c r="P47" s="3" t="n">
        <v>0.18</v>
      </c>
      <c r="Q47" s="2">
        <f>O47*(1+P47)</f>
        <v/>
      </c>
      <c r="R47" s="2">
        <f>G47*Q47</f>
        <v/>
      </c>
    </row>
    <row r="48">
      <c r="A48" t="n">
        <v>47</v>
      </c>
      <c r="B48" t="inlineStr">
        <is>
          <t>SW-DAMPER-047</t>
        </is>
      </c>
      <c r="C48" t="inlineStr">
        <is>
          <t>VAN GIÓ</t>
        </is>
      </c>
      <c r="D48" t="inlineStr">
        <is>
          <t>Van chặn lửa FD EI45 - Kích thước 150x150</t>
        </is>
      </c>
      <c r="E48" t="inlineStr">
        <is>
          <t>150x150</t>
        </is>
      </c>
      <c r="F48" t="inlineStr">
        <is>
          <t>Cái</t>
        </is>
      </c>
      <c r="G48" s="2" t="n">
        <v>24</v>
      </c>
      <c r="H48" s="2">
        <f>SUMIF('01_BOC_TACH_ONG'!B:B, B48, '01_BOC_TACH_ONG'!K:K)</f>
        <v/>
      </c>
      <c r="I48" s="2">
        <f>SUMIF('02_BOC_TACH_CUA'!B:B, B48, '02_BOC_TACH_CUA'!K:K)</f>
        <v/>
      </c>
      <c r="J48" s="2">
        <f>SUMIF('03_BOC_TACH_VAN'!B:B, B48, '03_BOC_TACH_VAN'!K:K)</f>
        <v/>
      </c>
      <c r="K48" s="2">
        <f>SUM(H48:J48)</f>
        <v/>
      </c>
      <c r="L48" s="2">
        <f>K48*0.25</f>
        <v/>
      </c>
      <c r="M48" s="2">
        <f>K48*0.10</f>
        <v/>
      </c>
      <c r="N48" s="2">
        <f>K48+L48+M48</f>
        <v/>
      </c>
      <c r="O48" s="2">
        <f>IF(G48&gt;0, N48/G48, 0)</f>
        <v/>
      </c>
      <c r="P48" s="3" t="n">
        <v>0.18</v>
      </c>
      <c r="Q48" s="2">
        <f>O48*(1+P48)</f>
        <v/>
      </c>
      <c r="R48" s="2">
        <f>G48*Q48</f>
        <v/>
      </c>
    </row>
    <row r="49">
      <c r="A49" t="n">
        <v>48</v>
      </c>
      <c r="B49" t="inlineStr">
        <is>
          <t>SW-DAMPER-048</t>
        </is>
      </c>
      <c r="C49" t="inlineStr">
        <is>
          <t>VAN GIÓ</t>
        </is>
      </c>
      <c r="D49" t="inlineStr">
        <is>
          <t>Van chặn lửa FD EI45 - Kích thước 300x250</t>
        </is>
      </c>
      <c r="E49" t="inlineStr">
        <is>
          <t>300x250</t>
        </is>
      </c>
      <c r="F49" t="inlineStr">
        <is>
          <t>Cái</t>
        </is>
      </c>
      <c r="G49" s="2" t="n">
        <v>2</v>
      </c>
      <c r="H49" s="2">
        <f>SUMIF('01_BOC_TACH_ONG'!B:B, B49, '01_BOC_TACH_ONG'!K:K)</f>
        <v/>
      </c>
      <c r="I49" s="2">
        <f>SUMIF('02_BOC_TACH_CUA'!B:B, B49, '02_BOC_TACH_CUA'!K:K)</f>
        <v/>
      </c>
      <c r="J49" s="2">
        <f>SUMIF('03_BOC_TACH_VAN'!B:B, B49, '03_BOC_TACH_VAN'!K:K)</f>
        <v/>
      </c>
      <c r="K49" s="2">
        <f>SUM(H49:J49)</f>
        <v/>
      </c>
      <c r="L49" s="2">
        <f>K49*0.25</f>
        <v/>
      </c>
      <c r="M49" s="2">
        <f>K49*0.10</f>
        <v/>
      </c>
      <c r="N49" s="2">
        <f>K49+L49+M49</f>
        <v/>
      </c>
      <c r="O49" s="2">
        <f>IF(G49&gt;0, N49/G49, 0)</f>
        <v/>
      </c>
      <c r="P49" s="3" t="n">
        <v>0.18</v>
      </c>
      <c r="Q49" s="2">
        <f>O49*(1+P49)</f>
        <v/>
      </c>
      <c r="R49" s="2">
        <f>G49*Q49</f>
        <v/>
      </c>
    </row>
    <row r="50">
      <c r="A50" t="n">
        <v>49</v>
      </c>
      <c r="B50" t="inlineStr">
        <is>
          <t>SW-DAMPER-049</t>
        </is>
      </c>
      <c r="C50" t="inlineStr">
        <is>
          <t>VAN GIÓ</t>
        </is>
      </c>
      <c r="D50" t="inlineStr">
        <is>
          <t>Van chặn lửa FD EI45 - Kích thước 300x300</t>
        </is>
      </c>
      <c r="E50" t="inlineStr">
        <is>
          <t>300x300</t>
        </is>
      </c>
      <c r="F50" t="inlineStr">
        <is>
          <t>Cái</t>
        </is>
      </c>
      <c r="G50" s="2" t="n">
        <v>3</v>
      </c>
      <c r="H50" s="2">
        <f>SUMIF('01_BOC_TACH_ONG'!B:B, B50, '01_BOC_TACH_ONG'!K:K)</f>
        <v/>
      </c>
      <c r="I50" s="2">
        <f>SUMIF('02_BOC_TACH_CUA'!B:B, B50, '02_BOC_TACH_CUA'!K:K)</f>
        <v/>
      </c>
      <c r="J50" s="2">
        <f>SUMIF('03_BOC_TACH_VAN'!B:B, B50, '03_BOC_TACH_VAN'!K:K)</f>
        <v/>
      </c>
      <c r="K50" s="2">
        <f>SUM(H50:J50)</f>
        <v/>
      </c>
      <c r="L50" s="2">
        <f>K50*0.25</f>
        <v/>
      </c>
      <c r="M50" s="2">
        <f>K50*0.10</f>
        <v/>
      </c>
      <c r="N50" s="2">
        <f>K50+L50+M50</f>
        <v/>
      </c>
      <c r="O50" s="2">
        <f>IF(G50&gt;0, N50/G50, 0)</f>
        <v/>
      </c>
      <c r="P50" s="3" t="n">
        <v>0.18</v>
      </c>
      <c r="Q50" s="2">
        <f>O50*(1+P50)</f>
        <v/>
      </c>
      <c r="R50" s="2">
        <f>G50*Q50</f>
        <v/>
      </c>
    </row>
    <row r="51">
      <c r="A51" t="n">
        <v>50</v>
      </c>
      <c r="B51" t="inlineStr">
        <is>
          <t>SW-DAMPER-050</t>
        </is>
      </c>
      <c r="C51" t="inlineStr">
        <is>
          <t>VAN GIÓ</t>
        </is>
      </c>
      <c r="D51" t="inlineStr">
        <is>
          <t>Van chặn lửa FD EI45 - Kích thước 350x250</t>
        </is>
      </c>
      <c r="E51" t="inlineStr">
        <is>
          <t>350x250</t>
        </is>
      </c>
      <c r="F51" t="inlineStr">
        <is>
          <t>Cái</t>
        </is>
      </c>
      <c r="G51" s="2" t="n">
        <v>3</v>
      </c>
      <c r="H51" s="2">
        <f>SUMIF('01_BOC_TACH_ONG'!B:B, B51, '01_BOC_TACH_ONG'!K:K)</f>
        <v/>
      </c>
      <c r="I51" s="2">
        <f>SUMIF('02_BOC_TACH_CUA'!B:B, B51, '02_BOC_TACH_CUA'!K:K)</f>
        <v/>
      </c>
      <c r="J51" s="2">
        <f>SUMIF('03_BOC_TACH_VAN'!B:B, B51, '03_BOC_TACH_VAN'!K:K)</f>
        <v/>
      </c>
      <c r="K51" s="2">
        <f>SUM(H51:J51)</f>
        <v/>
      </c>
      <c r="L51" s="2">
        <f>K51*0.25</f>
        <v/>
      </c>
      <c r="M51" s="2">
        <f>K51*0.10</f>
        <v/>
      </c>
      <c r="N51" s="2">
        <f>K51+L51+M51</f>
        <v/>
      </c>
      <c r="O51" s="2">
        <f>IF(G51&gt;0, N51/G51, 0)</f>
        <v/>
      </c>
      <c r="P51" s="3" t="n">
        <v>0.18</v>
      </c>
      <c r="Q51" s="2">
        <f>O51*(1+P51)</f>
        <v/>
      </c>
      <c r="R51" s="2">
        <f>G51*Q51</f>
        <v/>
      </c>
    </row>
    <row r="52">
      <c r="A52" t="n">
        <v>51</v>
      </c>
      <c r="B52" t="inlineStr">
        <is>
          <t>SW-DAMPER-051</t>
        </is>
      </c>
      <c r="C52" t="inlineStr">
        <is>
          <t>VAN GIÓ</t>
        </is>
      </c>
      <c r="D52" t="inlineStr">
        <is>
          <t>Van chặn lửa FD EI45 - Kích thước 400x200</t>
        </is>
      </c>
      <c r="E52" t="inlineStr">
        <is>
          <t>400x200</t>
        </is>
      </c>
      <c r="F52" t="inlineStr">
        <is>
          <t>Cái</t>
        </is>
      </c>
      <c r="G52" s="2" t="n">
        <v>2</v>
      </c>
      <c r="H52" s="2">
        <f>SUMIF('01_BOC_TACH_ONG'!B:B, B52, '01_BOC_TACH_ONG'!K:K)</f>
        <v/>
      </c>
      <c r="I52" s="2">
        <f>SUMIF('02_BOC_TACH_CUA'!B:B, B52, '02_BOC_TACH_CUA'!K:K)</f>
        <v/>
      </c>
      <c r="J52" s="2">
        <f>SUMIF('03_BOC_TACH_VAN'!B:B, B52, '03_BOC_TACH_VAN'!K:K)</f>
        <v/>
      </c>
      <c r="K52" s="2">
        <f>SUM(H52:J52)</f>
        <v/>
      </c>
      <c r="L52" s="2">
        <f>K52*0.25</f>
        <v/>
      </c>
      <c r="M52" s="2">
        <f>K52*0.10</f>
        <v/>
      </c>
      <c r="N52" s="2">
        <f>K52+L52+M52</f>
        <v/>
      </c>
      <c r="O52" s="2">
        <f>IF(G52&gt;0, N52/G52, 0)</f>
        <v/>
      </c>
      <c r="P52" s="3" t="n">
        <v>0.18</v>
      </c>
      <c r="Q52" s="2">
        <f>O52*(1+P52)</f>
        <v/>
      </c>
      <c r="R52" s="2">
        <f>G52*Q52</f>
        <v/>
      </c>
    </row>
    <row r="53">
      <c r="A53" t="n">
        <v>52</v>
      </c>
      <c r="B53" t="inlineStr">
        <is>
          <t>SW-DAMPER-052</t>
        </is>
      </c>
      <c r="C53" t="inlineStr">
        <is>
          <t>VAN GIÓ</t>
        </is>
      </c>
      <c r="D53" t="inlineStr">
        <is>
          <t>Van chặn lửa FD EI45 - Kích thước 400x300</t>
        </is>
      </c>
      <c r="E53" t="inlineStr">
        <is>
          <t>400x300</t>
        </is>
      </c>
      <c r="F53" t="inlineStr">
        <is>
          <t>Cái</t>
        </is>
      </c>
      <c r="G53" s="2" t="n">
        <v>3</v>
      </c>
      <c r="H53" s="2">
        <f>SUMIF('01_BOC_TACH_ONG'!B:B, B53, '01_BOC_TACH_ONG'!K:K)</f>
        <v/>
      </c>
      <c r="I53" s="2">
        <f>SUMIF('02_BOC_TACH_CUA'!B:B, B53, '02_BOC_TACH_CUA'!K:K)</f>
        <v/>
      </c>
      <c r="J53" s="2">
        <f>SUMIF('03_BOC_TACH_VAN'!B:B, B53, '03_BOC_TACH_VAN'!K:K)</f>
        <v/>
      </c>
      <c r="K53" s="2">
        <f>SUM(H53:J53)</f>
        <v/>
      </c>
      <c r="L53" s="2">
        <f>K53*0.25</f>
        <v/>
      </c>
      <c r="M53" s="2">
        <f>K53*0.10</f>
        <v/>
      </c>
      <c r="N53" s="2">
        <f>K53+L53+M53</f>
        <v/>
      </c>
      <c r="O53" s="2">
        <f>IF(G53&gt;0, N53/G53, 0)</f>
        <v/>
      </c>
      <c r="P53" s="3" t="n">
        <v>0.18</v>
      </c>
      <c r="Q53" s="2">
        <f>O53*(1+P53)</f>
        <v/>
      </c>
      <c r="R53" s="2">
        <f>G53*Q53</f>
        <v/>
      </c>
    </row>
    <row r="54">
      <c r="A54" t="n">
        <v>53</v>
      </c>
      <c r="B54" t="inlineStr">
        <is>
          <t>SW-DAMPER-053</t>
        </is>
      </c>
      <c r="C54" t="inlineStr">
        <is>
          <t>VAN GIÓ</t>
        </is>
      </c>
      <c r="D54" t="inlineStr">
        <is>
          <t>Van chặn lửa FD EI45 - Kích thước 400x350</t>
        </is>
      </c>
      <c r="E54" t="inlineStr">
        <is>
          <t>400x350</t>
        </is>
      </c>
      <c r="F54" t="inlineStr">
        <is>
          <t>Cái</t>
        </is>
      </c>
      <c r="G54" s="2" t="n">
        <v>1</v>
      </c>
      <c r="H54" s="2">
        <f>SUMIF('01_BOC_TACH_ONG'!B:B, B54, '01_BOC_TACH_ONG'!K:K)</f>
        <v/>
      </c>
      <c r="I54" s="2">
        <f>SUMIF('02_BOC_TACH_CUA'!B:B, B54, '02_BOC_TACH_CUA'!K:K)</f>
        <v/>
      </c>
      <c r="J54" s="2">
        <f>SUMIF('03_BOC_TACH_VAN'!B:B, B54, '03_BOC_TACH_VAN'!K:K)</f>
        <v/>
      </c>
      <c r="K54" s="2">
        <f>SUM(H54:J54)</f>
        <v/>
      </c>
      <c r="L54" s="2">
        <f>K54*0.25</f>
        <v/>
      </c>
      <c r="M54" s="2">
        <f>K54*0.10</f>
        <v/>
      </c>
      <c r="N54" s="2">
        <f>K54+L54+M54</f>
        <v/>
      </c>
      <c r="O54" s="2">
        <f>IF(G54&gt;0, N54/G54, 0)</f>
        <v/>
      </c>
      <c r="P54" s="3" t="n">
        <v>0.18</v>
      </c>
      <c r="Q54" s="2">
        <f>O54*(1+P54)</f>
        <v/>
      </c>
      <c r="R54" s="2">
        <f>G54*Q54</f>
        <v/>
      </c>
    </row>
    <row r="55">
      <c r="A55" t="n">
        <v>54</v>
      </c>
      <c r="B55" t="inlineStr">
        <is>
          <t>SW-DAMPER-054</t>
        </is>
      </c>
      <c r="C55" t="inlineStr">
        <is>
          <t>VAN GIÓ</t>
        </is>
      </c>
      <c r="D55" t="inlineStr">
        <is>
          <t>Van chặn lửa FD EI45 - Kích thước 450x250</t>
        </is>
      </c>
      <c r="E55" t="inlineStr">
        <is>
          <t>450x250</t>
        </is>
      </c>
      <c r="F55" t="inlineStr">
        <is>
          <t>Cái</t>
        </is>
      </c>
      <c r="G55" s="2" t="n">
        <v>4</v>
      </c>
      <c r="H55" s="2">
        <f>SUMIF('01_BOC_TACH_ONG'!B:B, B55, '01_BOC_TACH_ONG'!K:K)</f>
        <v/>
      </c>
      <c r="I55" s="2">
        <f>SUMIF('02_BOC_TACH_CUA'!B:B, B55, '02_BOC_TACH_CUA'!K:K)</f>
        <v/>
      </c>
      <c r="J55" s="2">
        <f>SUMIF('03_BOC_TACH_VAN'!B:B, B55, '03_BOC_TACH_VAN'!K:K)</f>
        <v/>
      </c>
      <c r="K55" s="2">
        <f>SUM(H55:J55)</f>
        <v/>
      </c>
      <c r="L55" s="2">
        <f>K55*0.25</f>
        <v/>
      </c>
      <c r="M55" s="2">
        <f>K55*0.10</f>
        <v/>
      </c>
      <c r="N55" s="2">
        <f>K55+L55+M55</f>
        <v/>
      </c>
      <c r="O55" s="2">
        <f>IF(G55&gt;0, N55/G55, 0)</f>
        <v/>
      </c>
      <c r="P55" s="3" t="n">
        <v>0.18</v>
      </c>
      <c r="Q55" s="2">
        <f>O55*(1+P55)</f>
        <v/>
      </c>
      <c r="R55" s="2">
        <f>G55*Q55</f>
        <v/>
      </c>
    </row>
    <row r="56">
      <c r="A56" t="n">
        <v>55</v>
      </c>
      <c r="B56" t="inlineStr">
        <is>
          <t>SW-DAMPER-055</t>
        </is>
      </c>
      <c r="C56" t="inlineStr">
        <is>
          <t>VAN GIÓ</t>
        </is>
      </c>
      <c r="D56" t="inlineStr">
        <is>
          <t>Van chặn lửa FD EI45 - Kích thước 550x250</t>
        </is>
      </c>
      <c r="E56" t="inlineStr">
        <is>
          <t>550x250</t>
        </is>
      </c>
      <c r="F56" t="inlineStr">
        <is>
          <t>Cái</t>
        </is>
      </c>
      <c r="G56" s="2" t="n">
        <v>3</v>
      </c>
      <c r="H56" s="2">
        <f>SUMIF('01_BOC_TACH_ONG'!B:B, B56, '01_BOC_TACH_ONG'!K:K)</f>
        <v/>
      </c>
      <c r="I56" s="2">
        <f>SUMIF('02_BOC_TACH_CUA'!B:B, B56, '02_BOC_TACH_CUA'!K:K)</f>
        <v/>
      </c>
      <c r="J56" s="2">
        <f>SUMIF('03_BOC_TACH_VAN'!B:B, B56, '03_BOC_TACH_VAN'!K:K)</f>
        <v/>
      </c>
      <c r="K56" s="2">
        <f>SUM(H56:J56)</f>
        <v/>
      </c>
      <c r="L56" s="2">
        <f>K56*0.25</f>
        <v/>
      </c>
      <c r="M56" s="2">
        <f>K56*0.10</f>
        <v/>
      </c>
      <c r="N56" s="2">
        <f>K56+L56+M56</f>
        <v/>
      </c>
      <c r="O56" s="2">
        <f>IF(G56&gt;0, N56/G56, 0)</f>
        <v/>
      </c>
      <c r="P56" s="3" t="n">
        <v>0.18</v>
      </c>
      <c r="Q56" s="2">
        <f>O56*(1+P56)</f>
        <v/>
      </c>
      <c r="R56" s="2">
        <f>G56*Q56</f>
        <v/>
      </c>
    </row>
    <row r="57">
      <c r="A57" t="n">
        <v>56</v>
      </c>
      <c r="B57" t="inlineStr">
        <is>
          <t>SW-DAMPER-056</t>
        </is>
      </c>
      <c r="C57" t="inlineStr">
        <is>
          <t>VAN GIÓ</t>
        </is>
      </c>
      <c r="D57" t="inlineStr">
        <is>
          <t>Van chặn lửa FD EI45 - Kích thước 550x350</t>
        </is>
      </c>
      <c r="E57" t="inlineStr">
        <is>
          <t>550x350</t>
        </is>
      </c>
      <c r="F57" t="inlineStr">
        <is>
          <t>Cái</t>
        </is>
      </c>
      <c r="G57" s="2" t="n">
        <v>1</v>
      </c>
      <c r="H57" s="2">
        <f>SUMIF('01_BOC_TACH_ONG'!B:B, B57, '01_BOC_TACH_ONG'!K:K)</f>
        <v/>
      </c>
      <c r="I57" s="2">
        <f>SUMIF('02_BOC_TACH_CUA'!B:B, B57, '02_BOC_TACH_CUA'!K:K)</f>
        <v/>
      </c>
      <c r="J57" s="2">
        <f>SUMIF('03_BOC_TACH_VAN'!B:B, B57, '03_BOC_TACH_VAN'!K:K)</f>
        <v/>
      </c>
      <c r="K57" s="2">
        <f>SUM(H57:J57)</f>
        <v/>
      </c>
      <c r="L57" s="2">
        <f>K57*0.25</f>
        <v/>
      </c>
      <c r="M57" s="2">
        <f>K57*0.10</f>
        <v/>
      </c>
      <c r="N57" s="2">
        <f>K57+L57+M57</f>
        <v/>
      </c>
      <c r="O57" s="2">
        <f>IF(G57&gt;0, N57/G57, 0)</f>
        <v/>
      </c>
      <c r="P57" s="3" t="n">
        <v>0.18</v>
      </c>
      <c r="Q57" s="2">
        <f>O57*(1+P57)</f>
        <v/>
      </c>
      <c r="R57" s="2">
        <f>G57*Q57</f>
        <v/>
      </c>
    </row>
    <row r="58">
      <c r="A58" t="n">
        <v>57</v>
      </c>
      <c r="B58" t="inlineStr">
        <is>
          <t>SW-DAMPER-057</t>
        </is>
      </c>
      <c r="C58" t="inlineStr">
        <is>
          <t>VAN GIÓ</t>
        </is>
      </c>
      <c r="D58" t="inlineStr">
        <is>
          <t>Van chặn lửa FD EI45 - Kích thước 600x300</t>
        </is>
      </c>
      <c r="E58" t="inlineStr">
        <is>
          <t>600x300</t>
        </is>
      </c>
      <c r="F58" t="inlineStr">
        <is>
          <t>Cái</t>
        </is>
      </c>
      <c r="G58" s="2" t="n">
        <v>7</v>
      </c>
      <c r="H58" s="2">
        <f>SUMIF('01_BOC_TACH_ONG'!B:B, B58, '01_BOC_TACH_ONG'!K:K)</f>
        <v/>
      </c>
      <c r="I58" s="2">
        <f>SUMIF('02_BOC_TACH_CUA'!B:B, B58, '02_BOC_TACH_CUA'!K:K)</f>
        <v/>
      </c>
      <c r="J58" s="2">
        <f>SUMIF('03_BOC_TACH_VAN'!B:B, B58, '03_BOC_TACH_VAN'!K:K)</f>
        <v/>
      </c>
      <c r="K58" s="2">
        <f>SUM(H58:J58)</f>
        <v/>
      </c>
      <c r="L58" s="2">
        <f>K58*0.25</f>
        <v/>
      </c>
      <c r="M58" s="2">
        <f>K58*0.10</f>
        <v/>
      </c>
      <c r="N58" s="2">
        <f>K58+L58+M58</f>
        <v/>
      </c>
      <c r="O58" s="2">
        <f>IF(G58&gt;0, N58/G58, 0)</f>
        <v/>
      </c>
      <c r="P58" s="3" t="n">
        <v>0.18</v>
      </c>
      <c r="Q58" s="2">
        <f>O58*(1+P58)</f>
        <v/>
      </c>
      <c r="R58" s="2">
        <f>G58*Q58</f>
        <v/>
      </c>
    </row>
    <row r="59">
      <c r="A59" t="n">
        <v>58</v>
      </c>
      <c r="B59" t="inlineStr">
        <is>
          <t>SW-DAMPER-058</t>
        </is>
      </c>
      <c r="C59" t="inlineStr">
        <is>
          <t>VAN GIÓ</t>
        </is>
      </c>
      <c r="D59" t="inlineStr">
        <is>
          <t>Van chặn lửa FD EI45 - Kích thước 600x450</t>
        </is>
      </c>
      <c r="E59" t="inlineStr">
        <is>
          <t>600x450</t>
        </is>
      </c>
      <c r="F59" t="inlineStr">
        <is>
          <t>Cái</t>
        </is>
      </c>
      <c r="G59" s="2" t="n">
        <v>4</v>
      </c>
      <c r="H59" s="2">
        <f>SUMIF('01_BOC_TACH_ONG'!B:B, B59, '01_BOC_TACH_ONG'!K:K)</f>
        <v/>
      </c>
      <c r="I59" s="2">
        <f>SUMIF('02_BOC_TACH_CUA'!B:B, B59, '02_BOC_TACH_CUA'!K:K)</f>
        <v/>
      </c>
      <c r="J59" s="2">
        <f>SUMIF('03_BOC_TACH_VAN'!B:B, B59, '03_BOC_TACH_VAN'!K:K)</f>
        <v/>
      </c>
      <c r="K59" s="2">
        <f>SUM(H59:J59)</f>
        <v/>
      </c>
      <c r="L59" s="2">
        <f>K59*0.25</f>
        <v/>
      </c>
      <c r="M59" s="2">
        <f>K59*0.10</f>
        <v/>
      </c>
      <c r="N59" s="2">
        <f>K59+L59+M59</f>
        <v/>
      </c>
      <c r="O59" s="2">
        <f>IF(G59&gt;0, N59/G59, 0)</f>
        <v/>
      </c>
      <c r="P59" s="3" t="n">
        <v>0.18</v>
      </c>
      <c r="Q59" s="2">
        <f>O59*(1+P59)</f>
        <v/>
      </c>
      <c r="R59" s="2">
        <f>G59*Q59</f>
        <v/>
      </c>
    </row>
    <row r="60">
      <c r="A60" t="n">
        <v>59</v>
      </c>
      <c r="B60" t="inlineStr">
        <is>
          <t>SW-DAMPER-059</t>
        </is>
      </c>
      <c r="C60" t="inlineStr">
        <is>
          <t>VAN GIÓ</t>
        </is>
      </c>
      <c r="D60" t="inlineStr">
        <is>
          <t>Van chặn lửa FD EI45 - Kích thước 650x250</t>
        </is>
      </c>
      <c r="E60" t="inlineStr">
        <is>
          <t>650x250</t>
        </is>
      </c>
      <c r="F60" t="inlineStr">
        <is>
          <t>Cái</t>
        </is>
      </c>
      <c r="G60" s="2" t="n">
        <v>3</v>
      </c>
      <c r="H60" s="2">
        <f>SUMIF('01_BOC_TACH_ONG'!B:B, B60, '01_BOC_TACH_ONG'!K:K)</f>
        <v/>
      </c>
      <c r="I60" s="2">
        <f>SUMIF('02_BOC_TACH_CUA'!B:B, B60, '02_BOC_TACH_CUA'!K:K)</f>
        <v/>
      </c>
      <c r="J60" s="2">
        <f>SUMIF('03_BOC_TACH_VAN'!B:B, B60, '03_BOC_TACH_VAN'!K:K)</f>
        <v/>
      </c>
      <c r="K60" s="2">
        <f>SUM(H60:J60)</f>
        <v/>
      </c>
      <c r="L60" s="2">
        <f>K60*0.25</f>
        <v/>
      </c>
      <c r="M60" s="2">
        <f>K60*0.10</f>
        <v/>
      </c>
      <c r="N60" s="2">
        <f>K60+L60+M60</f>
        <v/>
      </c>
      <c r="O60" s="2">
        <f>IF(G60&gt;0, N60/G60, 0)</f>
        <v/>
      </c>
      <c r="P60" s="3" t="n">
        <v>0.18</v>
      </c>
      <c r="Q60" s="2">
        <f>O60*(1+P60)</f>
        <v/>
      </c>
      <c r="R60" s="2">
        <f>G60*Q60</f>
        <v/>
      </c>
    </row>
    <row r="61">
      <c r="A61" t="n">
        <v>60</v>
      </c>
      <c r="B61" t="inlineStr">
        <is>
          <t>SW-DAMPER-060</t>
        </is>
      </c>
      <c r="C61" t="inlineStr">
        <is>
          <t>VAN GIÓ</t>
        </is>
      </c>
      <c r="D61" t="inlineStr">
        <is>
          <t>Van chặn lửa FD EI45 - Kích thước 650x300</t>
        </is>
      </c>
      <c r="E61" t="inlineStr">
        <is>
          <t>650x300</t>
        </is>
      </c>
      <c r="F61" t="inlineStr">
        <is>
          <t>Cái</t>
        </is>
      </c>
      <c r="G61" s="2" t="n">
        <v>2</v>
      </c>
      <c r="H61" s="2">
        <f>SUMIF('01_BOC_TACH_ONG'!B:B, B61, '01_BOC_TACH_ONG'!K:K)</f>
        <v/>
      </c>
      <c r="I61" s="2">
        <f>SUMIF('02_BOC_TACH_CUA'!B:B, B61, '02_BOC_TACH_CUA'!K:K)</f>
        <v/>
      </c>
      <c r="J61" s="2">
        <f>SUMIF('03_BOC_TACH_VAN'!B:B, B61, '03_BOC_TACH_VAN'!K:K)</f>
        <v/>
      </c>
      <c r="K61" s="2">
        <f>SUM(H61:J61)</f>
        <v/>
      </c>
      <c r="L61" s="2">
        <f>K61*0.25</f>
        <v/>
      </c>
      <c r="M61" s="2">
        <f>K61*0.10</f>
        <v/>
      </c>
      <c r="N61" s="2">
        <f>K61+L61+M61</f>
        <v/>
      </c>
      <c r="O61" s="2">
        <f>IF(G61&gt;0, N61/G61, 0)</f>
        <v/>
      </c>
      <c r="P61" s="3" t="n">
        <v>0.18</v>
      </c>
      <c r="Q61" s="2">
        <f>O61*(1+P61)</f>
        <v/>
      </c>
      <c r="R61" s="2">
        <f>G61*Q61</f>
        <v/>
      </c>
    </row>
    <row r="62">
      <c r="A62" t="n">
        <v>61</v>
      </c>
      <c r="B62" t="inlineStr">
        <is>
          <t>SW-DAMPER-061</t>
        </is>
      </c>
      <c r="C62" t="inlineStr">
        <is>
          <t>VAN GIÓ</t>
        </is>
      </c>
      <c r="D62" t="inlineStr">
        <is>
          <t>Van chặn lửa FD EI45 - Kích thước 650x350</t>
        </is>
      </c>
      <c r="E62" t="inlineStr">
        <is>
          <t>650x350</t>
        </is>
      </c>
      <c r="F62" t="inlineStr">
        <is>
          <t>Cái</t>
        </is>
      </c>
      <c r="G62" s="2" t="n">
        <v>1</v>
      </c>
      <c r="H62" s="2">
        <f>SUMIF('01_BOC_TACH_ONG'!B:B, B62, '01_BOC_TACH_ONG'!K:K)</f>
        <v/>
      </c>
      <c r="I62" s="2">
        <f>SUMIF('02_BOC_TACH_CUA'!B:B, B62, '02_BOC_TACH_CUA'!K:K)</f>
        <v/>
      </c>
      <c r="J62" s="2">
        <f>SUMIF('03_BOC_TACH_VAN'!B:B, B62, '03_BOC_TACH_VAN'!K:K)</f>
        <v/>
      </c>
      <c r="K62" s="2">
        <f>SUM(H62:J62)</f>
        <v/>
      </c>
      <c r="L62" s="2">
        <f>K62*0.25</f>
        <v/>
      </c>
      <c r="M62" s="2">
        <f>K62*0.10</f>
        <v/>
      </c>
      <c r="N62" s="2">
        <f>K62+L62+M62</f>
        <v/>
      </c>
      <c r="O62" s="2">
        <f>IF(G62&gt;0, N62/G62, 0)</f>
        <v/>
      </c>
      <c r="P62" s="3" t="n">
        <v>0.18</v>
      </c>
      <c r="Q62" s="2">
        <f>O62*(1+P62)</f>
        <v/>
      </c>
      <c r="R62" s="2">
        <f>G62*Q62</f>
        <v/>
      </c>
    </row>
    <row r="63">
      <c r="A63" t="n">
        <v>62</v>
      </c>
      <c r="B63" t="inlineStr">
        <is>
          <t>SW-DAMPER-062</t>
        </is>
      </c>
      <c r="C63" t="inlineStr">
        <is>
          <t>VAN GIÓ</t>
        </is>
      </c>
      <c r="D63" t="inlineStr">
        <is>
          <t>Van chặn lửa FD EI45 - Kích thước 650x400</t>
        </is>
      </c>
      <c r="E63" t="inlineStr">
        <is>
          <t>650x400</t>
        </is>
      </c>
      <c r="F63" t="inlineStr">
        <is>
          <t>Cái</t>
        </is>
      </c>
      <c r="G63" s="2" t="n">
        <v>2</v>
      </c>
      <c r="H63" s="2">
        <f>SUMIF('01_BOC_TACH_ONG'!B:B, B63, '01_BOC_TACH_ONG'!K:K)</f>
        <v/>
      </c>
      <c r="I63" s="2">
        <f>SUMIF('02_BOC_TACH_CUA'!B:B, B63, '02_BOC_TACH_CUA'!K:K)</f>
        <v/>
      </c>
      <c r="J63" s="2">
        <f>SUMIF('03_BOC_TACH_VAN'!B:B, B63, '03_BOC_TACH_VAN'!K:K)</f>
        <v/>
      </c>
      <c r="K63" s="2">
        <f>SUM(H63:J63)</f>
        <v/>
      </c>
      <c r="L63" s="2">
        <f>K63*0.25</f>
        <v/>
      </c>
      <c r="M63" s="2">
        <f>K63*0.10</f>
        <v/>
      </c>
      <c r="N63" s="2">
        <f>K63+L63+M63</f>
        <v/>
      </c>
      <c r="O63" s="2">
        <f>IF(G63&gt;0, N63/G63, 0)</f>
        <v/>
      </c>
      <c r="P63" s="3" t="n">
        <v>0.18</v>
      </c>
      <c r="Q63" s="2">
        <f>O63*(1+P63)</f>
        <v/>
      </c>
      <c r="R63" s="2">
        <f>G63*Q63</f>
        <v/>
      </c>
    </row>
    <row r="64">
      <c r="A64" t="n">
        <v>63</v>
      </c>
      <c r="B64" t="inlineStr">
        <is>
          <t>SW-DAMPER-063</t>
        </is>
      </c>
      <c r="C64" t="inlineStr">
        <is>
          <t>VAN GIÓ</t>
        </is>
      </c>
      <c r="D64" t="inlineStr">
        <is>
          <t>Van chặn lửa FD EI45 - Kích thước 700x350</t>
        </is>
      </c>
      <c r="E64" t="inlineStr">
        <is>
          <t>700x350</t>
        </is>
      </c>
      <c r="F64" t="inlineStr">
        <is>
          <t>Cái</t>
        </is>
      </c>
      <c r="G64" s="2" t="n">
        <v>1</v>
      </c>
      <c r="H64" s="2">
        <f>SUMIF('01_BOC_TACH_ONG'!B:B, B64, '01_BOC_TACH_ONG'!K:K)</f>
        <v/>
      </c>
      <c r="I64" s="2">
        <f>SUMIF('02_BOC_TACH_CUA'!B:B, B64, '02_BOC_TACH_CUA'!K:K)</f>
        <v/>
      </c>
      <c r="J64" s="2">
        <f>SUMIF('03_BOC_TACH_VAN'!B:B, B64, '03_BOC_TACH_VAN'!K:K)</f>
        <v/>
      </c>
      <c r="K64" s="2">
        <f>SUM(H64:J64)</f>
        <v/>
      </c>
      <c r="L64" s="2">
        <f>K64*0.25</f>
        <v/>
      </c>
      <c r="M64" s="2">
        <f>K64*0.10</f>
        <v/>
      </c>
      <c r="N64" s="2">
        <f>K64+L64+M64</f>
        <v/>
      </c>
      <c r="O64" s="2">
        <f>IF(G64&gt;0, N64/G64, 0)</f>
        <v/>
      </c>
      <c r="P64" s="3" t="n">
        <v>0.18</v>
      </c>
      <c r="Q64" s="2">
        <f>O64*(1+P64)</f>
        <v/>
      </c>
      <c r="R64" s="2">
        <f>G64*Q64</f>
        <v/>
      </c>
    </row>
    <row r="65">
      <c r="A65" t="n">
        <v>64</v>
      </c>
      <c r="B65" t="inlineStr">
        <is>
          <t>SW-DAMPER-064</t>
        </is>
      </c>
      <c r="C65" t="inlineStr">
        <is>
          <t>VAN GIÓ</t>
        </is>
      </c>
      <c r="D65" t="inlineStr">
        <is>
          <t>Van chặn lửa FD EI45 - Kích thước 800x600</t>
        </is>
      </c>
      <c r="E65" t="inlineStr">
        <is>
          <t>800x600</t>
        </is>
      </c>
      <c r="F65" t="inlineStr">
        <is>
          <t>Cái</t>
        </is>
      </c>
      <c r="G65" s="2" t="n">
        <v>1</v>
      </c>
      <c r="H65" s="2">
        <f>SUMIF('01_BOC_TACH_ONG'!B:B, B65, '01_BOC_TACH_ONG'!K:K)</f>
        <v/>
      </c>
      <c r="I65" s="2">
        <f>SUMIF('02_BOC_TACH_CUA'!B:B, B65, '02_BOC_TACH_CUA'!K:K)</f>
        <v/>
      </c>
      <c r="J65" s="2">
        <f>SUMIF('03_BOC_TACH_VAN'!B:B, B65, '03_BOC_TACH_VAN'!K:K)</f>
        <v/>
      </c>
      <c r="K65" s="2">
        <f>SUM(H65:J65)</f>
        <v/>
      </c>
      <c r="L65" s="2">
        <f>K65*0.25</f>
        <v/>
      </c>
      <c r="M65" s="2">
        <f>K65*0.10</f>
        <v/>
      </c>
      <c r="N65" s="2">
        <f>K65+L65+M65</f>
        <v/>
      </c>
      <c r="O65" s="2">
        <f>IF(G65&gt;0, N65/G65, 0)</f>
        <v/>
      </c>
      <c r="P65" s="3" t="n">
        <v>0.18</v>
      </c>
      <c r="Q65" s="2">
        <f>O65*(1+P65)</f>
        <v/>
      </c>
      <c r="R65" s="2">
        <f>G65*Q65</f>
        <v/>
      </c>
    </row>
    <row r="66">
      <c r="A66" t="n">
        <v>65</v>
      </c>
      <c r="B66" t="inlineStr">
        <is>
          <t>SW-DAMPER-065</t>
        </is>
      </c>
      <c r="C66" t="inlineStr">
        <is>
          <t>VAN GIÓ</t>
        </is>
      </c>
      <c r="D66" t="inlineStr">
        <is>
          <t>Van chặn lửa FD EI45 - Kích thước 800x800</t>
        </is>
      </c>
      <c r="E66" t="inlineStr">
        <is>
          <t>800x800</t>
        </is>
      </c>
      <c r="F66" t="inlineStr">
        <is>
          <t>Cái</t>
        </is>
      </c>
      <c r="G66" s="2" t="n">
        <v>3</v>
      </c>
      <c r="H66" s="2">
        <f>SUMIF('01_BOC_TACH_ONG'!B:B, B66, '01_BOC_TACH_ONG'!K:K)</f>
        <v/>
      </c>
      <c r="I66" s="2">
        <f>SUMIF('02_BOC_TACH_CUA'!B:B, B66, '02_BOC_TACH_CUA'!K:K)</f>
        <v/>
      </c>
      <c r="J66" s="2">
        <f>SUMIF('03_BOC_TACH_VAN'!B:B, B66, '03_BOC_TACH_VAN'!K:K)</f>
        <v/>
      </c>
      <c r="K66" s="2">
        <f>SUM(H66:J66)</f>
        <v/>
      </c>
      <c r="L66" s="2">
        <f>K66*0.25</f>
        <v/>
      </c>
      <c r="M66" s="2">
        <f>K66*0.10</f>
        <v/>
      </c>
      <c r="N66" s="2">
        <f>K66+L66+M66</f>
        <v/>
      </c>
      <c r="O66" s="2">
        <f>IF(G66&gt;0, N66/G66, 0)</f>
        <v/>
      </c>
      <c r="P66" s="3" t="n">
        <v>0.18</v>
      </c>
      <c r="Q66" s="2">
        <f>O66*(1+P66)</f>
        <v/>
      </c>
      <c r="R66" s="2">
        <f>G66*Q66</f>
        <v/>
      </c>
    </row>
    <row r="67">
      <c r="A67" t="n">
        <v>66</v>
      </c>
      <c r="B67" t="inlineStr">
        <is>
          <t>SW-DAMPER-066</t>
        </is>
      </c>
      <c r="C67" t="inlineStr">
        <is>
          <t>VAN GIÓ</t>
        </is>
      </c>
      <c r="D67" t="inlineStr">
        <is>
          <t>Van chặn lửa FD EI45 - Kích thước 850x450</t>
        </is>
      </c>
      <c r="E67" t="inlineStr">
        <is>
          <t>850x450</t>
        </is>
      </c>
      <c r="F67" t="inlineStr">
        <is>
          <t>Cái</t>
        </is>
      </c>
      <c r="G67" s="2" t="n">
        <v>1</v>
      </c>
      <c r="H67" s="2">
        <f>SUMIF('01_BOC_TACH_ONG'!B:B, B67, '01_BOC_TACH_ONG'!K:K)</f>
        <v/>
      </c>
      <c r="I67" s="2">
        <f>SUMIF('02_BOC_TACH_CUA'!B:B, B67, '02_BOC_TACH_CUA'!K:K)</f>
        <v/>
      </c>
      <c r="J67" s="2">
        <f>SUMIF('03_BOC_TACH_VAN'!B:B, B67, '03_BOC_TACH_VAN'!K:K)</f>
        <v/>
      </c>
      <c r="K67" s="2">
        <f>SUM(H67:J67)</f>
        <v/>
      </c>
      <c r="L67" s="2">
        <f>K67*0.25</f>
        <v/>
      </c>
      <c r="M67" s="2">
        <f>K67*0.10</f>
        <v/>
      </c>
      <c r="N67" s="2">
        <f>K67+L67+M67</f>
        <v/>
      </c>
      <c r="O67" s="2">
        <f>IF(G67&gt;0, N67/G67, 0)</f>
        <v/>
      </c>
      <c r="P67" s="3" t="n">
        <v>0.18</v>
      </c>
      <c r="Q67" s="2">
        <f>O67*(1+P67)</f>
        <v/>
      </c>
      <c r="R67" s="2">
        <f>G67*Q67</f>
        <v/>
      </c>
    </row>
    <row r="68">
      <c r="A68" t="n">
        <v>67</v>
      </c>
      <c r="B68" t="inlineStr">
        <is>
          <t>SW-DAMPER-067</t>
        </is>
      </c>
      <c r="C68" t="inlineStr">
        <is>
          <t>VAN GIÓ</t>
        </is>
      </c>
      <c r="D68" t="inlineStr">
        <is>
          <t>Van chặn lửa FD EI45 - Kích thước 1000x500</t>
        </is>
      </c>
      <c r="E68" t="inlineStr">
        <is>
          <t>1000x500</t>
        </is>
      </c>
      <c r="F68" t="inlineStr">
        <is>
          <t>Cái</t>
        </is>
      </c>
      <c r="G68" s="2" t="n">
        <v>2</v>
      </c>
      <c r="H68" s="2">
        <f>SUMIF('01_BOC_TACH_ONG'!B:B, B68, '01_BOC_TACH_ONG'!K:K)</f>
        <v/>
      </c>
      <c r="I68" s="2">
        <f>SUMIF('02_BOC_TACH_CUA'!B:B, B68, '02_BOC_TACH_CUA'!K:K)</f>
        <v/>
      </c>
      <c r="J68" s="2">
        <f>SUMIF('03_BOC_TACH_VAN'!B:B, B68, '03_BOC_TACH_VAN'!K:K)</f>
        <v/>
      </c>
      <c r="K68" s="2">
        <f>SUM(H68:J68)</f>
        <v/>
      </c>
      <c r="L68" s="2">
        <f>K68*0.25</f>
        <v/>
      </c>
      <c r="M68" s="2">
        <f>K68*0.10</f>
        <v/>
      </c>
      <c r="N68" s="2">
        <f>K68+L68+M68</f>
        <v/>
      </c>
      <c r="O68" s="2">
        <f>IF(G68&gt;0, N68/G68, 0)</f>
        <v/>
      </c>
      <c r="P68" s="3" t="n">
        <v>0.18</v>
      </c>
      <c r="Q68" s="2">
        <f>O68*(1+P68)</f>
        <v/>
      </c>
      <c r="R68" s="2">
        <f>G68*Q68</f>
        <v/>
      </c>
    </row>
    <row r="69">
      <c r="A69" t="n">
        <v>68</v>
      </c>
      <c r="B69" t="inlineStr">
        <is>
          <t>SW-DAMPER-068</t>
        </is>
      </c>
      <c r="C69" t="inlineStr">
        <is>
          <t>VAN GIÓ</t>
        </is>
      </c>
      <c r="D69" t="inlineStr">
        <is>
          <t>Van chặn lửa FD EI45 - Kích thước 1000x1000</t>
        </is>
      </c>
      <c r="E69" t="inlineStr">
        <is>
          <t>1000x1000</t>
        </is>
      </c>
      <c r="F69" t="inlineStr">
        <is>
          <t>Cái</t>
        </is>
      </c>
      <c r="G69" s="2" t="n">
        <v>4</v>
      </c>
      <c r="H69" s="2">
        <f>SUMIF('01_BOC_TACH_ONG'!B:B, B69, '01_BOC_TACH_ONG'!K:K)</f>
        <v/>
      </c>
      <c r="I69" s="2">
        <f>SUMIF('02_BOC_TACH_CUA'!B:B, B69, '02_BOC_TACH_CUA'!K:K)</f>
        <v/>
      </c>
      <c r="J69" s="2">
        <f>SUMIF('03_BOC_TACH_VAN'!B:B, B69, '03_BOC_TACH_VAN'!K:K)</f>
        <v/>
      </c>
      <c r="K69" s="2">
        <f>SUM(H69:J69)</f>
        <v/>
      </c>
      <c r="L69" s="2">
        <f>K69*0.25</f>
        <v/>
      </c>
      <c r="M69" s="2">
        <f>K69*0.10</f>
        <v/>
      </c>
      <c r="N69" s="2">
        <f>K69+L69+M69</f>
        <v/>
      </c>
      <c r="O69" s="2">
        <f>IF(G69&gt;0, N69/G69, 0)</f>
        <v/>
      </c>
      <c r="P69" s="3" t="n">
        <v>0.18</v>
      </c>
      <c r="Q69" s="2">
        <f>O69*(1+P69)</f>
        <v/>
      </c>
      <c r="R69" s="2">
        <f>G69*Q69</f>
        <v/>
      </c>
    </row>
    <row r="70">
      <c r="A70" t="n">
        <v>69</v>
      </c>
      <c r="B70" t="inlineStr">
        <is>
          <t>SW-DAMPER-069</t>
        </is>
      </c>
      <c r="C70" t="inlineStr">
        <is>
          <t>VAN GIÓ</t>
        </is>
      </c>
      <c r="D70" t="inlineStr">
        <is>
          <t>Van chặn lửa FD EI45 - Kích thước 1800x600</t>
        </is>
      </c>
      <c r="E70" t="inlineStr">
        <is>
          <t>1800x600</t>
        </is>
      </c>
      <c r="F70" t="inlineStr">
        <is>
          <t>Cái</t>
        </is>
      </c>
      <c r="G70" s="2" t="n">
        <v>1</v>
      </c>
      <c r="H70" s="2">
        <f>SUMIF('01_BOC_TACH_ONG'!B:B, B70, '01_BOC_TACH_ONG'!K:K)</f>
        <v/>
      </c>
      <c r="I70" s="2">
        <f>SUMIF('02_BOC_TACH_CUA'!B:B, B70, '02_BOC_TACH_CUA'!K:K)</f>
        <v/>
      </c>
      <c r="J70" s="2">
        <f>SUMIF('03_BOC_TACH_VAN'!B:B, B70, '03_BOC_TACH_VAN'!K:K)</f>
        <v/>
      </c>
      <c r="K70" s="2">
        <f>SUM(H70:J70)</f>
        <v/>
      </c>
      <c r="L70" s="2">
        <f>K70*0.25</f>
        <v/>
      </c>
      <c r="M70" s="2">
        <f>K70*0.10</f>
        <v/>
      </c>
      <c r="N70" s="2">
        <f>K70+L70+M70</f>
        <v/>
      </c>
      <c r="O70" s="2">
        <f>IF(G70&gt;0, N70/G70, 0)</f>
        <v/>
      </c>
      <c r="P70" s="3" t="n">
        <v>0.18</v>
      </c>
      <c r="Q70" s="2">
        <f>O70*(1+P70)</f>
        <v/>
      </c>
      <c r="R70" s="2">
        <f>G70*Q70</f>
        <v/>
      </c>
    </row>
    <row r="71">
      <c r="A71" t="n">
        <v>70</v>
      </c>
      <c r="B71" t="inlineStr">
        <is>
          <t>SW-DIFF-070</t>
        </is>
      </c>
      <c r="C71" t="inlineStr">
        <is>
          <t>CỬA GIÓ</t>
        </is>
      </c>
      <c r="D71" t="inlineStr">
        <is>
          <t>KTM 600x300 + OBD</t>
        </is>
      </c>
      <c r="E71" t="inlineStr">
        <is>
          <t>600x300</t>
        </is>
      </c>
      <c r="F71" t="inlineStr">
        <is>
          <t>Cái</t>
        </is>
      </c>
      <c r="G71" s="2" t="n">
        <v>1</v>
      </c>
      <c r="H71" s="2">
        <f>SUMIF('01_BOC_TACH_ONG'!B:B, B71, '01_BOC_TACH_ONG'!K:K)</f>
        <v/>
      </c>
      <c r="I71" s="2">
        <f>SUMIF('02_BOC_TACH_CUA'!B:B, B71, '02_BOC_TACH_CUA'!K:K)</f>
        <v/>
      </c>
      <c r="J71" s="2">
        <f>SUMIF('03_BOC_TACH_VAN'!B:B, B71, '03_BOC_TACH_VAN'!K:K)</f>
        <v/>
      </c>
      <c r="K71" s="2">
        <f>SUM(H71:J71)</f>
        <v/>
      </c>
      <c r="L71" s="2">
        <f>K71*0.25</f>
        <v/>
      </c>
      <c r="M71" s="2">
        <f>K71*0.10</f>
        <v/>
      </c>
      <c r="N71" s="2">
        <f>K71+L71+M71</f>
        <v/>
      </c>
      <c r="O71" s="2">
        <f>IF(G71&gt;0, N71/G71, 0)</f>
        <v/>
      </c>
      <c r="P71" s="3" t="n">
        <v>0.18</v>
      </c>
      <c r="Q71" s="2">
        <f>O71*(1+P71)</f>
        <v/>
      </c>
      <c r="R71" s="2">
        <f>G71*Q71</f>
        <v/>
      </c>
    </row>
    <row r="72">
      <c r="A72" t="n">
        <v>71</v>
      </c>
      <c r="B72" t="inlineStr">
        <is>
          <t>SW-DIFF-071</t>
        </is>
      </c>
      <c r="C72" t="inlineStr">
        <is>
          <t>CỬA GIÓ</t>
        </is>
      </c>
      <c r="D72" t="inlineStr">
        <is>
          <t>KTM 600x250 + OBD</t>
        </is>
      </c>
      <c r="E72" t="inlineStr">
        <is>
          <t>600x250</t>
        </is>
      </c>
      <c r="F72" t="inlineStr">
        <is>
          <t>Cái</t>
        </is>
      </c>
      <c r="G72" s="2" t="n">
        <v>2</v>
      </c>
      <c r="H72" s="2">
        <f>SUMIF('01_BOC_TACH_ONG'!B:B, B72, '01_BOC_TACH_ONG'!K:K)</f>
        <v/>
      </c>
      <c r="I72" s="2">
        <f>SUMIF('02_BOC_TACH_CUA'!B:B, B72, '02_BOC_TACH_CUA'!K:K)</f>
        <v/>
      </c>
      <c r="J72" s="2">
        <f>SUMIF('03_BOC_TACH_VAN'!B:B, B72, '03_BOC_TACH_VAN'!K:K)</f>
        <v/>
      </c>
      <c r="K72" s="2">
        <f>SUM(H72:J72)</f>
        <v/>
      </c>
      <c r="L72" s="2">
        <f>K72*0.25</f>
        <v/>
      </c>
      <c r="M72" s="2">
        <f>K72*0.10</f>
        <v/>
      </c>
      <c r="N72" s="2">
        <f>K72+L72+M72</f>
        <v/>
      </c>
      <c r="O72" s="2">
        <f>IF(G72&gt;0, N72/G72, 0)</f>
        <v/>
      </c>
      <c r="P72" s="3" t="n">
        <v>0.18</v>
      </c>
      <c r="Q72" s="2">
        <f>O72*(1+P72)</f>
        <v/>
      </c>
      <c r="R72" s="2">
        <f>G72*Q72</f>
        <v/>
      </c>
    </row>
    <row r="73">
      <c r="A73" t="n">
        <v>72</v>
      </c>
      <c r="B73" t="inlineStr">
        <is>
          <t>SW-DIFF-072</t>
        </is>
      </c>
      <c r="C73" t="inlineStr">
        <is>
          <t>CỬA GIÓ</t>
        </is>
      </c>
      <c r="D73" t="inlineStr">
        <is>
          <t>KTM 500x300 + OBD</t>
        </is>
      </c>
      <c r="E73" t="inlineStr">
        <is>
          <t>500x300</t>
        </is>
      </c>
      <c r="F73" t="inlineStr">
        <is>
          <t>Cái</t>
        </is>
      </c>
      <c r="G73" s="2" t="n">
        <v>4</v>
      </c>
      <c r="H73" s="2">
        <f>SUMIF('01_BOC_TACH_ONG'!B:B, B73, '01_BOC_TACH_ONG'!K:K)</f>
        <v/>
      </c>
      <c r="I73" s="2">
        <f>SUMIF('02_BOC_TACH_CUA'!B:B, B73, '02_BOC_TACH_CUA'!K:K)</f>
        <v/>
      </c>
      <c r="J73" s="2">
        <f>SUMIF('03_BOC_TACH_VAN'!B:B, B73, '03_BOC_TACH_VAN'!K:K)</f>
        <v/>
      </c>
      <c r="K73" s="2">
        <f>SUM(H73:J73)</f>
        <v/>
      </c>
      <c r="L73" s="2">
        <f>K73*0.25</f>
        <v/>
      </c>
      <c r="M73" s="2">
        <f>K73*0.10</f>
        <v/>
      </c>
      <c r="N73" s="2">
        <f>K73+L73+M73</f>
        <v/>
      </c>
      <c r="O73" s="2">
        <f>IF(G73&gt;0, N73/G73, 0)</f>
        <v/>
      </c>
      <c r="P73" s="3" t="n">
        <v>0.18</v>
      </c>
      <c r="Q73" s="2">
        <f>O73*(1+P73)</f>
        <v/>
      </c>
      <c r="R73" s="2">
        <f>G73*Q73</f>
        <v/>
      </c>
    </row>
    <row r="74">
      <c r="A74" t="n">
        <v>73</v>
      </c>
      <c r="B74" t="inlineStr">
        <is>
          <t>SW-DIFF-073</t>
        </is>
      </c>
      <c r="C74" t="inlineStr">
        <is>
          <t>CỬA GIÓ</t>
        </is>
      </c>
      <c r="D74" t="inlineStr">
        <is>
          <t>KTM 500x250 + OBD</t>
        </is>
      </c>
      <c r="E74" t="inlineStr">
        <is>
          <t>500x250</t>
        </is>
      </c>
      <c r="F74" t="inlineStr">
        <is>
          <t>Cái</t>
        </is>
      </c>
      <c r="G74" s="2" t="n">
        <v>6</v>
      </c>
      <c r="H74" s="2">
        <f>SUMIF('01_BOC_TACH_ONG'!B:B, B74, '01_BOC_TACH_ONG'!K:K)</f>
        <v/>
      </c>
      <c r="I74" s="2">
        <f>SUMIF('02_BOC_TACH_CUA'!B:B, B74, '02_BOC_TACH_CUA'!K:K)</f>
        <v/>
      </c>
      <c r="J74" s="2">
        <f>SUMIF('03_BOC_TACH_VAN'!B:B, B74, '03_BOC_TACH_VAN'!K:K)</f>
        <v/>
      </c>
      <c r="K74" s="2">
        <f>SUM(H74:J74)</f>
        <v/>
      </c>
      <c r="L74" s="2">
        <f>K74*0.25</f>
        <v/>
      </c>
      <c r="M74" s="2">
        <f>K74*0.10</f>
        <v/>
      </c>
      <c r="N74" s="2">
        <f>K74+L74+M74</f>
        <v/>
      </c>
      <c r="O74" s="2">
        <f>IF(G74&gt;0, N74/G74, 0)</f>
        <v/>
      </c>
      <c r="P74" s="3" t="n">
        <v>0.18</v>
      </c>
      <c r="Q74" s="2">
        <f>O74*(1+P74)</f>
        <v/>
      </c>
      <c r="R74" s="2">
        <f>G74*Q74</f>
        <v/>
      </c>
    </row>
    <row r="75">
      <c r="A75" t="n">
        <v>74</v>
      </c>
      <c r="B75" t="inlineStr">
        <is>
          <t>SW-DIFF-074</t>
        </is>
      </c>
      <c r="C75" t="inlineStr">
        <is>
          <t>CỬA GIÓ</t>
        </is>
      </c>
      <c r="D75" t="inlineStr">
        <is>
          <t>KTM 400x400 + OBD</t>
        </is>
      </c>
      <c r="E75" t="inlineStr">
        <is>
          <t>400x400</t>
        </is>
      </c>
      <c r="F75" t="inlineStr">
        <is>
          <t>Cái</t>
        </is>
      </c>
      <c r="G75" s="2" t="n">
        <v>4</v>
      </c>
      <c r="H75" s="2">
        <f>SUMIF('01_BOC_TACH_ONG'!B:B, B75, '01_BOC_TACH_ONG'!K:K)</f>
        <v/>
      </c>
      <c r="I75" s="2">
        <f>SUMIF('02_BOC_TACH_CUA'!B:B, B75, '02_BOC_TACH_CUA'!K:K)</f>
        <v/>
      </c>
      <c r="J75" s="2">
        <f>SUMIF('03_BOC_TACH_VAN'!B:B, B75, '03_BOC_TACH_VAN'!K:K)</f>
        <v/>
      </c>
      <c r="K75" s="2">
        <f>SUM(H75:J75)</f>
        <v/>
      </c>
      <c r="L75" s="2">
        <f>K75*0.25</f>
        <v/>
      </c>
      <c r="M75" s="2">
        <f>K75*0.10</f>
        <v/>
      </c>
      <c r="N75" s="2">
        <f>K75+L75+M75</f>
        <v/>
      </c>
      <c r="O75" s="2">
        <f>IF(G75&gt;0, N75/G75, 0)</f>
        <v/>
      </c>
      <c r="P75" s="3" t="n">
        <v>0.18</v>
      </c>
      <c r="Q75" s="2">
        <f>O75*(1+P75)</f>
        <v/>
      </c>
      <c r="R75" s="2">
        <f>G75*Q75</f>
        <v/>
      </c>
    </row>
    <row r="76">
      <c r="A76" t="n">
        <v>75</v>
      </c>
      <c r="B76" t="inlineStr">
        <is>
          <t>SW-DIFF-075</t>
        </is>
      </c>
      <c r="C76" t="inlineStr">
        <is>
          <t>CỬA GIÓ</t>
        </is>
      </c>
      <c r="D76" t="inlineStr">
        <is>
          <t>KTM 400x200 + OBD</t>
        </is>
      </c>
      <c r="E76" t="inlineStr">
        <is>
          <t>400x200</t>
        </is>
      </c>
      <c r="F76" t="inlineStr">
        <is>
          <t>Cái</t>
        </is>
      </c>
      <c r="G76" s="2" t="n">
        <v>5</v>
      </c>
      <c r="H76" s="2">
        <f>SUMIF('01_BOC_TACH_ONG'!B:B, B76, '01_BOC_TACH_ONG'!K:K)</f>
        <v/>
      </c>
      <c r="I76" s="2">
        <f>SUMIF('02_BOC_TACH_CUA'!B:B, B76, '02_BOC_TACH_CUA'!K:K)</f>
        <v/>
      </c>
      <c r="J76" s="2">
        <f>SUMIF('03_BOC_TACH_VAN'!B:B, B76, '03_BOC_TACH_VAN'!K:K)</f>
        <v/>
      </c>
      <c r="K76" s="2">
        <f>SUM(H76:J76)</f>
        <v/>
      </c>
      <c r="L76" s="2">
        <f>K76*0.25</f>
        <v/>
      </c>
      <c r="M76" s="2">
        <f>K76*0.10</f>
        <v/>
      </c>
      <c r="N76" s="2">
        <f>K76+L76+M76</f>
        <v/>
      </c>
      <c r="O76" s="2">
        <f>IF(G76&gt;0, N76/G76, 0)</f>
        <v/>
      </c>
      <c r="P76" s="3" t="n">
        <v>0.18</v>
      </c>
      <c r="Q76" s="2">
        <f>O76*(1+P76)</f>
        <v/>
      </c>
      <c r="R76" s="2">
        <f>G76*Q76</f>
        <v/>
      </c>
    </row>
    <row r="77">
      <c r="A77" t="n">
        <v>76</v>
      </c>
      <c r="B77" t="inlineStr">
        <is>
          <t>SW-DIFF-076</t>
        </is>
      </c>
      <c r="C77" t="inlineStr">
        <is>
          <t>CỬA GIÓ</t>
        </is>
      </c>
      <c r="D77" t="inlineStr">
        <is>
          <t>KTM 300x300 + OBD</t>
        </is>
      </c>
      <c r="E77" t="inlineStr">
        <is>
          <t>300x300</t>
        </is>
      </c>
      <c r="F77" t="inlineStr">
        <is>
          <t>Cái</t>
        </is>
      </c>
      <c r="G77" s="2" t="n">
        <v>1</v>
      </c>
      <c r="H77" s="2">
        <f>SUMIF('01_BOC_TACH_ONG'!B:B, B77, '01_BOC_TACH_ONG'!K:K)</f>
        <v/>
      </c>
      <c r="I77" s="2">
        <f>SUMIF('02_BOC_TACH_CUA'!B:B, B77, '02_BOC_TACH_CUA'!K:K)</f>
        <v/>
      </c>
      <c r="J77" s="2">
        <f>SUMIF('03_BOC_TACH_VAN'!B:B, B77, '03_BOC_TACH_VAN'!K:K)</f>
        <v/>
      </c>
      <c r="K77" s="2">
        <f>SUM(H77:J77)</f>
        <v/>
      </c>
      <c r="L77" s="2">
        <f>K77*0.25</f>
        <v/>
      </c>
      <c r="M77" s="2">
        <f>K77*0.10</f>
        <v/>
      </c>
      <c r="N77" s="2">
        <f>K77+L77+M77</f>
        <v/>
      </c>
      <c r="O77" s="2">
        <f>IF(G77&gt;0, N77/G77, 0)</f>
        <v/>
      </c>
      <c r="P77" s="3" t="n">
        <v>0.18</v>
      </c>
      <c r="Q77" s="2">
        <f>O77*(1+P77)</f>
        <v/>
      </c>
      <c r="R77" s="2">
        <f>G77*Q77</f>
        <v/>
      </c>
    </row>
    <row r="78">
      <c r="A78" t="n">
        <v>77</v>
      </c>
      <c r="B78" t="inlineStr">
        <is>
          <t>SW-DIFF-077</t>
        </is>
      </c>
      <c r="C78" t="inlineStr">
        <is>
          <t>CỬA GIÓ</t>
        </is>
      </c>
      <c r="D78" t="inlineStr">
        <is>
          <t>KTM 250x250 + OBD</t>
        </is>
      </c>
      <c r="E78" t="inlineStr">
        <is>
          <t>250x250</t>
        </is>
      </c>
      <c r="F78" t="inlineStr">
        <is>
          <t>Cái</t>
        </is>
      </c>
      <c r="G78" s="2" t="n">
        <v>4</v>
      </c>
      <c r="H78" s="2">
        <f>SUMIF('01_BOC_TACH_ONG'!B:B, B78, '01_BOC_TACH_ONG'!K:K)</f>
        <v/>
      </c>
      <c r="I78" s="2">
        <f>SUMIF('02_BOC_TACH_CUA'!B:B, B78, '02_BOC_TACH_CUA'!K:K)</f>
        <v/>
      </c>
      <c r="J78" s="2">
        <f>SUMIF('03_BOC_TACH_VAN'!B:B, B78, '03_BOC_TACH_VAN'!K:K)</f>
        <v/>
      </c>
      <c r="K78" s="2">
        <f>SUM(H78:J78)</f>
        <v/>
      </c>
      <c r="L78" s="2">
        <f>K78*0.25</f>
        <v/>
      </c>
      <c r="M78" s="2">
        <f>K78*0.10</f>
        <v/>
      </c>
      <c r="N78" s="2">
        <f>K78+L78+M78</f>
        <v/>
      </c>
      <c r="O78" s="2">
        <f>IF(G78&gt;0, N78/G78, 0)</f>
        <v/>
      </c>
      <c r="P78" s="3" t="n">
        <v>0.18</v>
      </c>
      <c r="Q78" s="2">
        <f>O78*(1+P78)</f>
        <v/>
      </c>
      <c r="R78" s="2">
        <f>G78*Q78</f>
        <v/>
      </c>
    </row>
    <row r="79">
      <c r="A79" t="n">
        <v>78</v>
      </c>
      <c r="B79" t="inlineStr">
        <is>
          <t>SW-DIFF-078</t>
        </is>
      </c>
      <c r="C79" t="inlineStr">
        <is>
          <t>CỬA GIÓ</t>
        </is>
      </c>
      <c r="D79" t="inlineStr">
        <is>
          <t>KTM 200x200 + OBD</t>
        </is>
      </c>
      <c r="E79" t="inlineStr">
        <is>
          <t>200x200</t>
        </is>
      </c>
      <c r="F79" t="inlineStr">
        <is>
          <t>Cái</t>
        </is>
      </c>
      <c r="G79" s="2" t="n">
        <v>6</v>
      </c>
      <c r="H79" s="2">
        <f>SUMIF('01_BOC_TACH_ONG'!B:B, B79, '01_BOC_TACH_ONG'!K:K)</f>
        <v/>
      </c>
      <c r="I79" s="2">
        <f>SUMIF('02_BOC_TACH_CUA'!B:B, B79, '02_BOC_TACH_CUA'!K:K)</f>
        <v/>
      </c>
      <c r="J79" s="2">
        <f>SUMIF('03_BOC_TACH_VAN'!B:B, B79, '03_BOC_TACH_VAN'!K:K)</f>
        <v/>
      </c>
      <c r="K79" s="2">
        <f>SUM(H79:J79)</f>
        <v/>
      </c>
      <c r="L79" s="2">
        <f>K79*0.25</f>
        <v/>
      </c>
      <c r="M79" s="2">
        <f>K79*0.10</f>
        <v/>
      </c>
      <c r="N79" s="2">
        <f>K79+L79+M79</f>
        <v/>
      </c>
      <c r="O79" s="2">
        <f>IF(G79&gt;0, N79/G79, 0)</f>
        <v/>
      </c>
      <c r="P79" s="3" t="n">
        <v>0.18</v>
      </c>
      <c r="Q79" s="2">
        <f>O79*(1+P79)</f>
        <v/>
      </c>
      <c r="R79" s="2">
        <f>G79*Q79</f>
        <v/>
      </c>
    </row>
    <row r="80">
      <c r="A80" t="n">
        <v>79</v>
      </c>
      <c r="B80" t="inlineStr">
        <is>
          <t>SW-DIFF-079</t>
        </is>
      </c>
      <c r="C80" t="inlineStr">
        <is>
          <t>CỬA GIÓ</t>
        </is>
      </c>
      <c r="D80" t="inlineStr">
        <is>
          <t>Bộ tiêu âm - Kích thước: 400x300</t>
        </is>
      </c>
      <c r="E80" t="inlineStr">
        <is>
          <t>500x400</t>
        </is>
      </c>
      <c r="F80" t="inlineStr">
        <is>
          <t>Bộ</t>
        </is>
      </c>
      <c r="G80" s="2" t="n">
        <v>1</v>
      </c>
      <c r="H80" s="2">
        <f>SUMIF('01_BOC_TACH_ONG'!B:B, B80, '01_BOC_TACH_ONG'!K:K)</f>
        <v/>
      </c>
      <c r="I80" s="2">
        <f>SUMIF('02_BOC_TACH_CUA'!B:B, B80, '02_BOC_TACH_CUA'!K:K)</f>
        <v/>
      </c>
      <c r="J80" s="2">
        <f>SUMIF('03_BOC_TACH_VAN'!B:B, B80, '03_BOC_TACH_VAN'!K:K)</f>
        <v/>
      </c>
      <c r="K80" s="2">
        <f>SUM(H80:J80)</f>
        <v/>
      </c>
      <c r="L80" s="2">
        <f>K80*0.25</f>
        <v/>
      </c>
      <c r="M80" s="2">
        <f>K80*0.10</f>
        <v/>
      </c>
      <c r="N80" s="2">
        <f>K80+L80+M80</f>
        <v/>
      </c>
      <c r="O80" s="2">
        <f>IF(G80&gt;0, N80/G80, 0)</f>
        <v/>
      </c>
      <c r="P80" s="3" t="n">
        <v>0.18</v>
      </c>
      <c r="Q80" s="2">
        <f>O80*(1+P80)</f>
        <v/>
      </c>
      <c r="R80" s="2">
        <f>G80*Q80</f>
        <v/>
      </c>
    </row>
    <row r="81">
      <c r="A81" t="n">
        <v>80</v>
      </c>
      <c r="B81" t="inlineStr">
        <is>
          <t>SW-DIFF-080</t>
        </is>
      </c>
      <c r="C81" t="inlineStr">
        <is>
          <t>CỬA GIÓ</t>
        </is>
      </c>
      <c r="D81" t="inlineStr">
        <is>
          <t>Bộ tiêu âm - Kích thước: 500x…</t>
        </is>
      </c>
      <c r="E81" t="inlineStr">
        <is>
          <t>600x700</t>
        </is>
      </c>
      <c r="F81" t="inlineStr">
        <is>
          <t>Bộ</t>
        </is>
      </c>
      <c r="G81" s="2" t="n">
        <v>1</v>
      </c>
      <c r="H81" s="2">
        <f>SUMIF('01_BOC_TACH_ONG'!B:B, B81, '01_BOC_TACH_ONG'!K:K)</f>
        <v/>
      </c>
      <c r="I81" s="2">
        <f>SUMIF('02_BOC_TACH_CUA'!B:B, B81, '02_BOC_TACH_CUA'!K:K)</f>
        <v/>
      </c>
      <c r="J81" s="2">
        <f>SUMIF('03_BOC_TACH_VAN'!B:B, B81, '03_BOC_TACH_VAN'!K:K)</f>
        <v/>
      </c>
      <c r="K81" s="2">
        <f>SUM(H81:J81)</f>
        <v/>
      </c>
      <c r="L81" s="2">
        <f>K81*0.25</f>
        <v/>
      </c>
      <c r="M81" s="2">
        <f>K81*0.10</f>
        <v/>
      </c>
      <c r="N81" s="2">
        <f>K81+L81+M81</f>
        <v/>
      </c>
      <c r="O81" s="2">
        <f>IF(G81&gt;0, N81/G81, 0)</f>
        <v/>
      </c>
      <c r="P81" s="3" t="n">
        <v>0.18</v>
      </c>
      <c r="Q81" s="2">
        <f>O81*(1+P81)</f>
        <v/>
      </c>
      <c r="R81" s="2">
        <f>G81*Q81</f>
        <v/>
      </c>
    </row>
    <row r="82">
      <c r="A82" t="n">
        <v>81</v>
      </c>
      <c r="B82" t="inlineStr">
        <is>
          <t>SW-DIFF-081</t>
        </is>
      </c>
      <c r="C82" t="inlineStr">
        <is>
          <t>CỬA GIÓ</t>
        </is>
      </c>
      <c r="D82" t="inlineStr">
        <is>
          <t>Bộ tiêu âm - Kích thước: 600x300</t>
        </is>
      </c>
      <c r="E82" t="inlineStr">
        <is>
          <t>700x400</t>
        </is>
      </c>
      <c r="F82" t="inlineStr">
        <is>
          <t>Bộ</t>
        </is>
      </c>
      <c r="G82" s="2" t="n">
        <v>2</v>
      </c>
      <c r="H82" s="2">
        <f>SUMIF('01_BOC_TACH_ONG'!B:B, B82, '01_BOC_TACH_ONG'!K:K)</f>
        <v/>
      </c>
      <c r="I82" s="2">
        <f>SUMIF('02_BOC_TACH_CUA'!B:B, B82, '02_BOC_TACH_CUA'!K:K)</f>
        <v/>
      </c>
      <c r="J82" s="2">
        <f>SUMIF('03_BOC_TACH_VAN'!B:B, B82, '03_BOC_TACH_VAN'!K:K)</f>
        <v/>
      </c>
      <c r="K82" s="2">
        <f>SUM(H82:J82)</f>
        <v/>
      </c>
      <c r="L82" s="2">
        <f>K82*0.25</f>
        <v/>
      </c>
      <c r="M82" s="2">
        <f>K82*0.10</f>
        <v/>
      </c>
      <c r="N82" s="2">
        <f>K82+L82+M82</f>
        <v/>
      </c>
      <c r="O82" s="2">
        <f>IF(G82&gt;0, N82/G82, 0)</f>
        <v/>
      </c>
      <c r="P82" s="3" t="n">
        <v>0.18</v>
      </c>
      <c r="Q82" s="2">
        <f>O82*(1+P82)</f>
        <v/>
      </c>
      <c r="R82" s="2">
        <f>G82*Q82</f>
        <v/>
      </c>
    </row>
    <row r="83">
      <c r="A83" t="n">
        <v>82</v>
      </c>
      <c r="B83" t="inlineStr">
        <is>
          <t>SW-DIFF-082</t>
        </is>
      </c>
      <c r="C83" t="inlineStr">
        <is>
          <t>CỬA GIÓ</t>
        </is>
      </c>
      <c r="D83" t="inlineStr">
        <is>
          <t>Bộ tiêu âm - Kích thước: 650x250</t>
        </is>
      </c>
      <c r="E83" t="inlineStr">
        <is>
          <t>750x350</t>
        </is>
      </c>
      <c r="F83" t="inlineStr">
        <is>
          <t>Bộ</t>
        </is>
      </c>
      <c r="G83" s="2" t="n">
        <v>1</v>
      </c>
      <c r="H83" s="2">
        <f>SUMIF('01_BOC_TACH_ONG'!B:B, B83, '01_BOC_TACH_ONG'!K:K)</f>
        <v/>
      </c>
      <c r="I83" s="2">
        <f>SUMIF('02_BOC_TACH_CUA'!B:B, B83, '02_BOC_TACH_CUA'!K:K)</f>
        <v/>
      </c>
      <c r="J83" s="2">
        <f>SUMIF('03_BOC_TACH_VAN'!B:B, B83, '03_BOC_TACH_VAN'!K:K)</f>
        <v/>
      </c>
      <c r="K83" s="2">
        <f>SUM(H83:J83)</f>
        <v/>
      </c>
      <c r="L83" s="2">
        <f>K83*0.25</f>
        <v/>
      </c>
      <c r="M83" s="2">
        <f>K83*0.10</f>
        <v/>
      </c>
      <c r="N83" s="2">
        <f>K83+L83+M83</f>
        <v/>
      </c>
      <c r="O83" s="2">
        <f>IF(G83&gt;0, N83/G83, 0)</f>
        <v/>
      </c>
      <c r="P83" s="3" t="n">
        <v>0.18</v>
      </c>
      <c r="Q83" s="2">
        <f>O83*(1+P83)</f>
        <v/>
      </c>
      <c r="R83" s="2">
        <f>G83*Q83</f>
        <v/>
      </c>
    </row>
    <row r="84">
      <c r="A84" t="n">
        <v>83</v>
      </c>
      <c r="B84" t="inlineStr">
        <is>
          <t>SW-DIFF-083</t>
        </is>
      </c>
      <c r="C84" t="inlineStr">
        <is>
          <t>CỬA GIÓ</t>
        </is>
      </c>
      <c r="D84" t="inlineStr">
        <is>
          <t>Bộ tiêu âm - Kích thước: 650x300</t>
        </is>
      </c>
      <c r="E84" t="inlineStr">
        <is>
          <t>750x400</t>
        </is>
      </c>
      <c r="F84" t="inlineStr">
        <is>
          <t>Bộ</t>
        </is>
      </c>
      <c r="G84" s="2" t="n">
        <v>1</v>
      </c>
      <c r="H84" s="2">
        <f>SUMIF('01_BOC_TACH_ONG'!B:B, B84, '01_BOC_TACH_ONG'!K:K)</f>
        <v/>
      </c>
      <c r="I84" s="2">
        <f>SUMIF('02_BOC_TACH_CUA'!B:B, B84, '02_BOC_TACH_CUA'!K:K)</f>
        <v/>
      </c>
      <c r="J84" s="2">
        <f>SUMIF('03_BOC_TACH_VAN'!B:B, B84, '03_BOC_TACH_VAN'!K:K)</f>
        <v/>
      </c>
      <c r="K84" s="2">
        <f>SUM(H84:J84)</f>
        <v/>
      </c>
      <c r="L84" s="2">
        <f>K84*0.25</f>
        <v/>
      </c>
      <c r="M84" s="2">
        <f>K84*0.10</f>
        <v/>
      </c>
      <c r="N84" s="2">
        <f>K84+L84+M84</f>
        <v/>
      </c>
      <c r="O84" s="2">
        <f>IF(G84&gt;0, N84/G84, 0)</f>
        <v/>
      </c>
      <c r="P84" s="3" t="n">
        <v>0.18</v>
      </c>
      <c r="Q84" s="2">
        <f>O84*(1+P84)</f>
        <v/>
      </c>
      <c r="R84" s="2">
        <f>G84*Q84</f>
        <v/>
      </c>
    </row>
    <row r="85">
      <c r="A85" t="n">
        <v>84</v>
      </c>
      <c r="B85" t="inlineStr">
        <is>
          <t>SW-DIFF-084</t>
        </is>
      </c>
      <c r="C85" t="inlineStr">
        <is>
          <t>CỬA GIÓ</t>
        </is>
      </c>
      <c r="D85" t="inlineStr">
        <is>
          <t>Bộ tiêu âm - Kích thước: 800x600</t>
        </is>
      </c>
      <c r="E85" t="inlineStr">
        <is>
          <t>900x700</t>
        </is>
      </c>
      <c r="F85" t="inlineStr">
        <is>
          <t>Bộ</t>
        </is>
      </c>
      <c r="G85" s="2" t="n">
        <v>2</v>
      </c>
      <c r="H85" s="2">
        <f>SUMIF('01_BOC_TACH_ONG'!B:B, B85, '01_BOC_TACH_ONG'!K:K)</f>
        <v/>
      </c>
      <c r="I85" s="2">
        <f>SUMIF('02_BOC_TACH_CUA'!B:B, B85, '02_BOC_TACH_CUA'!K:K)</f>
        <v/>
      </c>
      <c r="J85" s="2">
        <f>SUMIF('03_BOC_TACH_VAN'!B:B, B85, '03_BOC_TACH_VAN'!K:K)</f>
        <v/>
      </c>
      <c r="K85" s="2">
        <f>SUM(H85:J85)</f>
        <v/>
      </c>
      <c r="L85" s="2">
        <f>K85*0.25</f>
        <v/>
      </c>
      <c r="M85" s="2">
        <f>K85*0.10</f>
        <v/>
      </c>
      <c r="N85" s="2">
        <f>K85+L85+M85</f>
        <v/>
      </c>
      <c r="O85" s="2">
        <f>IF(G85&gt;0, N85/G85, 0)</f>
        <v/>
      </c>
      <c r="P85" s="3" t="n">
        <v>0.18</v>
      </c>
      <c r="Q85" s="2">
        <f>O85*(1+P85)</f>
        <v/>
      </c>
      <c r="R85" s="2">
        <f>G85*Q85</f>
        <v/>
      </c>
    </row>
    <row r="86">
      <c r="A86" t="n">
        <v>85</v>
      </c>
      <c r="B86" t="inlineStr">
        <is>
          <t>SW-DIFF-085</t>
        </is>
      </c>
      <c r="C86" t="inlineStr">
        <is>
          <t>CỬA GIÓ</t>
        </is>
      </c>
      <c r="D86" t="inlineStr">
        <is>
          <t>Bộ tiêu âm - Kích thước: 900x300</t>
        </is>
      </c>
      <c r="E86" t="inlineStr">
        <is>
          <t>1000x400</t>
        </is>
      </c>
      <c r="F86" t="inlineStr">
        <is>
          <t>Bộ</t>
        </is>
      </c>
      <c r="G86" s="2" t="n">
        <v>2</v>
      </c>
      <c r="H86" s="2">
        <f>SUMIF('01_BOC_TACH_ONG'!B:B, B86, '01_BOC_TACH_ONG'!K:K)</f>
        <v/>
      </c>
      <c r="I86" s="2">
        <f>SUMIF('02_BOC_TACH_CUA'!B:B, B86, '02_BOC_TACH_CUA'!K:K)</f>
        <v/>
      </c>
      <c r="J86" s="2">
        <f>SUMIF('03_BOC_TACH_VAN'!B:B, B86, '03_BOC_TACH_VAN'!K:K)</f>
        <v/>
      </c>
      <c r="K86" s="2">
        <f>SUM(H86:J86)</f>
        <v/>
      </c>
      <c r="L86" s="2">
        <f>K86*0.25</f>
        <v/>
      </c>
      <c r="M86" s="2">
        <f>K86*0.10</f>
        <v/>
      </c>
      <c r="N86" s="2">
        <f>K86+L86+M86</f>
        <v/>
      </c>
      <c r="O86" s="2">
        <f>IF(G86&gt;0, N86/G86, 0)</f>
        <v/>
      </c>
      <c r="P86" s="3" t="n">
        <v>0.18</v>
      </c>
      <c r="Q86" s="2">
        <f>O86*(1+P86)</f>
        <v/>
      </c>
      <c r="R86" s="2">
        <f>G86*Q86</f>
        <v/>
      </c>
    </row>
    <row r="87">
      <c r="A87" t="n">
        <v>86</v>
      </c>
      <c r="B87" t="inlineStr">
        <is>
          <t>SW-DIFF-086</t>
        </is>
      </c>
      <c r="C87" t="inlineStr">
        <is>
          <t>CỬA GIÓ</t>
        </is>
      </c>
      <c r="D87" t="inlineStr">
        <is>
          <t>Bộ tiêu âm - Kích thước: 900x500</t>
        </is>
      </c>
      <c r="E87" t="inlineStr">
        <is>
          <t>1000x600</t>
        </is>
      </c>
      <c r="F87" t="inlineStr">
        <is>
          <t>Bộ</t>
        </is>
      </c>
      <c r="G87" s="2" t="n">
        <v>1</v>
      </c>
      <c r="H87" s="2">
        <f>SUMIF('01_BOC_TACH_ONG'!B:B, B87, '01_BOC_TACH_ONG'!K:K)</f>
        <v/>
      </c>
      <c r="I87" s="2">
        <f>SUMIF('02_BOC_TACH_CUA'!B:B, B87, '02_BOC_TACH_CUA'!K:K)</f>
        <v/>
      </c>
      <c r="J87" s="2">
        <f>SUMIF('03_BOC_TACH_VAN'!B:B, B87, '03_BOC_TACH_VAN'!K:K)</f>
        <v/>
      </c>
      <c r="K87" s="2">
        <f>SUM(H87:J87)</f>
        <v/>
      </c>
      <c r="L87" s="2">
        <f>K87*0.25</f>
        <v/>
      </c>
      <c r="M87" s="2">
        <f>K87*0.10</f>
        <v/>
      </c>
      <c r="N87" s="2">
        <f>K87+L87+M87</f>
        <v/>
      </c>
      <c r="O87" s="2">
        <f>IF(G87&gt;0, N87/G87, 0)</f>
        <v/>
      </c>
      <c r="P87" s="3" t="n">
        <v>0.18</v>
      </c>
      <c r="Q87" s="2">
        <f>O87*(1+P87)</f>
        <v/>
      </c>
      <c r="R87" s="2">
        <f>G87*Q87</f>
        <v/>
      </c>
    </row>
    <row r="88">
      <c r="A88" t="n">
        <v>87</v>
      </c>
      <c r="B88" t="inlineStr">
        <is>
          <t>SW-DIFF-087</t>
        </is>
      </c>
      <c r="C88" t="inlineStr">
        <is>
          <t>CỬA GIÓ</t>
        </is>
      </c>
      <c r="D88" t="inlineStr">
        <is>
          <t>Bộ tiêu âm - Kích thước: 900x900</t>
        </is>
      </c>
      <c r="E88" t="inlineStr">
        <is>
          <t>1000x1000</t>
        </is>
      </c>
      <c r="F88" t="inlineStr">
        <is>
          <t>Bộ</t>
        </is>
      </c>
      <c r="G88" s="2" t="n">
        <v>1</v>
      </c>
      <c r="H88" s="2">
        <f>SUMIF('01_BOC_TACH_ONG'!B:B, B88, '01_BOC_TACH_ONG'!K:K)</f>
        <v/>
      </c>
      <c r="I88" s="2">
        <f>SUMIF('02_BOC_TACH_CUA'!B:B, B88, '02_BOC_TACH_CUA'!K:K)</f>
        <v/>
      </c>
      <c r="J88" s="2">
        <f>SUMIF('03_BOC_TACH_VAN'!B:B, B88, '03_BOC_TACH_VAN'!K:K)</f>
        <v/>
      </c>
      <c r="K88" s="2">
        <f>SUM(H88:J88)</f>
        <v/>
      </c>
      <c r="L88" s="2">
        <f>K88*0.25</f>
        <v/>
      </c>
      <c r="M88" s="2">
        <f>K88*0.10</f>
        <v/>
      </c>
      <c r="N88" s="2">
        <f>K88+L88+M88</f>
        <v/>
      </c>
      <c r="O88" s="2">
        <f>IF(G88&gt;0, N88/G88, 0)</f>
        <v/>
      </c>
      <c r="P88" s="3" t="n">
        <v>0.18</v>
      </c>
      <c r="Q88" s="2">
        <f>O88*(1+P88)</f>
        <v/>
      </c>
      <c r="R88" s="2">
        <f>G88*Q88</f>
        <v/>
      </c>
    </row>
    <row r="89">
      <c r="A89" t="n">
        <v>88</v>
      </c>
      <c r="B89" t="inlineStr">
        <is>
          <t>SW-DIFF-088</t>
        </is>
      </c>
      <c r="C89" t="inlineStr">
        <is>
          <t>CỬA GIÓ</t>
        </is>
      </c>
      <c r="D89" t="inlineStr">
        <is>
          <t>Bộ tiêu âm - Kích thước: 950x500</t>
        </is>
      </c>
      <c r="E89" t="inlineStr">
        <is>
          <t>1050x600</t>
        </is>
      </c>
      <c r="F89" t="inlineStr">
        <is>
          <t>Bộ</t>
        </is>
      </c>
      <c r="G89" s="2" t="n">
        <v>1</v>
      </c>
      <c r="H89" s="2">
        <f>SUMIF('01_BOC_TACH_ONG'!B:B, B89, '01_BOC_TACH_ONG'!K:K)</f>
        <v/>
      </c>
      <c r="I89" s="2">
        <f>SUMIF('02_BOC_TACH_CUA'!B:B, B89, '02_BOC_TACH_CUA'!K:K)</f>
        <v/>
      </c>
      <c r="J89" s="2">
        <f>SUMIF('03_BOC_TACH_VAN'!B:B, B89, '03_BOC_TACH_VAN'!K:K)</f>
        <v/>
      </c>
      <c r="K89" s="2">
        <f>SUM(H89:J89)</f>
        <v/>
      </c>
      <c r="L89" s="2">
        <f>K89*0.25</f>
        <v/>
      </c>
      <c r="M89" s="2">
        <f>K89*0.10</f>
        <v/>
      </c>
      <c r="N89" s="2">
        <f>K89+L89+M89</f>
        <v/>
      </c>
      <c r="O89" s="2">
        <f>IF(G89&gt;0, N89/G89, 0)</f>
        <v/>
      </c>
      <c r="P89" s="3" t="n">
        <v>0.18</v>
      </c>
      <c r="Q89" s="2">
        <f>O89*(1+P89)</f>
        <v/>
      </c>
      <c r="R89" s="2">
        <f>G89*Q89</f>
        <v/>
      </c>
    </row>
    <row r="90">
      <c r="A90" t="n">
        <v>89</v>
      </c>
      <c r="B90" t="inlineStr">
        <is>
          <t>SW-DIFF-089</t>
        </is>
      </c>
      <c r="C90" t="inlineStr">
        <is>
          <t>CỬA GIÓ</t>
        </is>
      </c>
      <c r="D90" t="inlineStr">
        <is>
          <t>Bộ tiêu âm - Kích thước: 1000x1000</t>
        </is>
      </c>
      <c r="E90" t="inlineStr">
        <is>
          <t>1100x1100</t>
        </is>
      </c>
      <c r="F90" t="inlineStr">
        <is>
          <t>Bộ</t>
        </is>
      </c>
      <c r="G90" s="2" t="n">
        <v>2</v>
      </c>
      <c r="H90" s="2">
        <f>SUMIF('01_BOC_TACH_ONG'!B:B, B90, '01_BOC_TACH_ONG'!K:K)</f>
        <v/>
      </c>
      <c r="I90" s="2">
        <f>SUMIF('02_BOC_TACH_CUA'!B:B, B90, '02_BOC_TACH_CUA'!K:K)</f>
        <v/>
      </c>
      <c r="J90" s="2">
        <f>SUMIF('03_BOC_TACH_VAN'!B:B, B90, '03_BOC_TACH_VAN'!K:K)</f>
        <v/>
      </c>
      <c r="K90" s="2">
        <f>SUM(H90:J90)</f>
        <v/>
      </c>
      <c r="L90" s="2">
        <f>K90*0.25</f>
        <v/>
      </c>
      <c r="M90" s="2">
        <f>K90*0.10</f>
        <v/>
      </c>
      <c r="N90" s="2">
        <f>K90+L90+M90</f>
        <v/>
      </c>
      <c r="O90" s="2">
        <f>IF(G90&gt;0, N90/G90, 0)</f>
        <v/>
      </c>
      <c r="P90" s="3" t="n">
        <v>0.18</v>
      </c>
      <c r="Q90" s="2">
        <f>O90*(1+P90)</f>
        <v/>
      </c>
      <c r="R90" s="2">
        <f>G90*Q90</f>
        <v/>
      </c>
    </row>
    <row r="91">
      <c r="A91" t="n">
        <v>90</v>
      </c>
      <c r="B91" t="inlineStr">
        <is>
          <t>SW-DIFF-090</t>
        </is>
      </c>
      <c r="C91" t="inlineStr">
        <is>
          <t>CỬA GIÓ</t>
        </is>
      </c>
      <c r="D91" t="inlineStr">
        <is>
          <t>Bộ tiêu âm - Kích thước: 1900x500</t>
        </is>
      </c>
      <c r="E91" t="inlineStr">
        <is>
          <t>2000x600</t>
        </is>
      </c>
      <c r="F91" t="inlineStr">
        <is>
          <t>Bộ</t>
        </is>
      </c>
      <c r="G91" s="2" t="n">
        <v>1</v>
      </c>
      <c r="H91" s="2">
        <f>SUMIF('01_BOC_TACH_ONG'!B:B, B91, '01_BOC_TACH_ONG'!K:K)</f>
        <v/>
      </c>
      <c r="I91" s="2">
        <f>SUMIF('02_BOC_TACH_CUA'!B:B, B91, '02_BOC_TACH_CUA'!K:K)</f>
        <v/>
      </c>
      <c r="J91" s="2">
        <f>SUMIF('03_BOC_TACH_VAN'!B:B, B91, '03_BOC_TACH_VAN'!K:K)</f>
        <v/>
      </c>
      <c r="K91" s="2">
        <f>SUM(H91:J91)</f>
        <v/>
      </c>
      <c r="L91" s="2">
        <f>K91*0.25</f>
        <v/>
      </c>
      <c r="M91" s="2">
        <f>K91*0.10</f>
        <v/>
      </c>
      <c r="N91" s="2">
        <f>K91+L91+M91</f>
        <v/>
      </c>
      <c r="O91" s="2">
        <f>IF(G91&gt;0, N91/G91, 0)</f>
        <v/>
      </c>
      <c r="P91" s="3" t="n">
        <v>0.18</v>
      </c>
      <c r="Q91" s="2">
        <f>O91*(1+P91)</f>
        <v/>
      </c>
      <c r="R91" s="2">
        <f>G91*Q91</f>
        <v/>
      </c>
    </row>
    <row r="92">
      <c r="A92" t="n">
        <v>91</v>
      </c>
      <c r="B92" t="inlineStr">
        <is>
          <t>SW-DIFF-091</t>
        </is>
      </c>
      <c r="C92" t="inlineStr">
        <is>
          <t>CỬA GIÓ</t>
        </is>
      </c>
      <c r="D92" t="inlineStr">
        <is>
          <t>Louver gió tươi - Kích thước: xxx-xxx</t>
        </is>
      </c>
      <c r="E92" t="inlineStr">
        <is>
          <t>-</t>
        </is>
      </c>
      <c r="F92" t="inlineStr">
        <is>
          <t>Cái</t>
        </is>
      </c>
      <c r="G92" s="2" t="n">
        <v>5</v>
      </c>
      <c r="H92" s="2">
        <f>SUMIF('01_BOC_TACH_ONG'!B:B, B92, '01_BOC_TACH_ONG'!K:K)</f>
        <v/>
      </c>
      <c r="I92" s="2">
        <f>SUMIF('02_BOC_TACH_CUA'!B:B, B92, '02_BOC_TACH_CUA'!K:K)</f>
        <v/>
      </c>
      <c r="J92" s="2">
        <f>SUMIF('03_BOC_TACH_VAN'!B:B, B92, '03_BOC_TACH_VAN'!K:K)</f>
        <v/>
      </c>
      <c r="K92" s="2">
        <f>SUM(H92:J92)</f>
        <v/>
      </c>
      <c r="L92" s="2">
        <f>K92*0.25</f>
        <v/>
      </c>
      <c r="M92" s="2">
        <f>K92*0.10</f>
        <v/>
      </c>
      <c r="N92" s="2">
        <f>K92+L92+M92</f>
        <v/>
      </c>
      <c r="O92" s="2">
        <f>IF(G92&gt;0, N92/G92, 0)</f>
        <v/>
      </c>
      <c r="P92" s="3" t="n">
        <v>0.18</v>
      </c>
      <c r="Q92" s="2">
        <f>O92*(1+P92)</f>
        <v/>
      </c>
      <c r="R92" s="2">
        <f>G92*Q92</f>
        <v/>
      </c>
    </row>
    <row r="93">
      <c r="A93" t="n">
        <v>92</v>
      </c>
      <c r="B93" t="inlineStr">
        <is>
          <t>SW-DAMPER-092</t>
        </is>
      </c>
      <c r="C93" t="inlineStr">
        <is>
          <t>VAN GIÓ</t>
        </is>
      </c>
      <c r="D93" t="inlineStr">
        <is>
          <t>Van điều chỉnh lưu lượng VCD - Kích thước D100</t>
        </is>
      </c>
      <c r="E93" t="inlineStr">
        <is>
          <t>100x0</t>
        </is>
      </c>
      <c r="F93" t="inlineStr">
        <is>
          <t>Cái</t>
        </is>
      </c>
      <c r="G93" s="2" t="n">
        <v>30</v>
      </c>
      <c r="H93" s="2">
        <f>SUMIF('01_BOC_TACH_ONG'!B:B, B93, '01_BOC_TACH_ONG'!K:K)</f>
        <v/>
      </c>
      <c r="I93" s="2">
        <f>SUMIF('02_BOC_TACH_CUA'!B:B, B93, '02_BOC_TACH_CUA'!K:K)</f>
        <v/>
      </c>
      <c r="J93" s="2">
        <f>SUMIF('03_BOC_TACH_VAN'!B:B, B93, '03_BOC_TACH_VAN'!K:K)</f>
        <v/>
      </c>
      <c r="K93" s="2">
        <f>SUM(H93:J93)</f>
        <v/>
      </c>
      <c r="L93" s="2">
        <f>K93*0.25</f>
        <v/>
      </c>
      <c r="M93" s="2">
        <f>K93*0.10</f>
        <v/>
      </c>
      <c r="N93" s="2">
        <f>K93+L93+M93</f>
        <v/>
      </c>
      <c r="O93" s="2">
        <f>IF(G93&gt;0, N93/G93, 0)</f>
        <v/>
      </c>
      <c r="P93" s="3" t="n">
        <v>0.18</v>
      </c>
      <c r="Q93" s="2">
        <f>O93*(1+P93)</f>
        <v/>
      </c>
      <c r="R93" s="2">
        <f>G93*Q93</f>
        <v/>
      </c>
    </row>
    <row r="94">
      <c r="A94" t="n">
        <v>93</v>
      </c>
      <c r="B94" t="inlineStr">
        <is>
          <t>SW-DAMPER-093</t>
        </is>
      </c>
      <c r="C94" t="inlineStr">
        <is>
          <t>VAN GIÓ</t>
        </is>
      </c>
      <c r="D94" t="inlineStr">
        <is>
          <t>Van điều chỉnh lưu lượng VCD - Kích thước D200</t>
        </is>
      </c>
      <c r="E94" t="inlineStr">
        <is>
          <t>200x0</t>
        </is>
      </c>
      <c r="F94" t="inlineStr">
        <is>
          <t>Cái</t>
        </is>
      </c>
      <c r="G94" s="2" t="n">
        <v>578</v>
      </c>
      <c r="H94" s="2">
        <f>SUMIF('01_BOC_TACH_ONG'!B:B, B94, '01_BOC_TACH_ONG'!K:K)</f>
        <v/>
      </c>
      <c r="I94" s="2">
        <f>SUMIF('02_BOC_TACH_CUA'!B:B, B94, '02_BOC_TACH_CUA'!K:K)</f>
        <v/>
      </c>
      <c r="J94" s="2">
        <f>SUMIF('03_BOC_TACH_VAN'!B:B, B94, '03_BOC_TACH_VAN'!K:K)</f>
        <v/>
      </c>
      <c r="K94" s="2">
        <f>SUM(H94:J94)</f>
        <v/>
      </c>
      <c r="L94" s="2">
        <f>K94*0.25</f>
        <v/>
      </c>
      <c r="M94" s="2">
        <f>K94*0.10</f>
        <v/>
      </c>
      <c r="N94" s="2">
        <f>K94+L94+M94</f>
        <v/>
      </c>
      <c r="O94" s="2">
        <f>IF(G94&gt;0, N94/G94, 0)</f>
        <v/>
      </c>
      <c r="P94" s="3" t="n">
        <v>0.18</v>
      </c>
      <c r="Q94" s="2">
        <f>O94*(1+P94)</f>
        <v/>
      </c>
      <c r="R94" s="2">
        <f>G94*Q94</f>
        <v/>
      </c>
    </row>
    <row r="95">
      <c r="A95" t="n">
        <v>94</v>
      </c>
      <c r="B95" t="inlineStr">
        <is>
          <t>SW-DAMPER-094</t>
        </is>
      </c>
      <c r="C95" t="inlineStr">
        <is>
          <t>VAN GIÓ</t>
        </is>
      </c>
      <c r="D95" t="inlineStr">
        <is>
          <t>Van điều chỉnh lưu lượng VCD - Kích thước D250</t>
        </is>
      </c>
      <c r="E95" t="inlineStr">
        <is>
          <t>250x0</t>
        </is>
      </c>
      <c r="F95" t="inlineStr">
        <is>
          <t>Cái</t>
        </is>
      </c>
      <c r="G95" s="2" t="n">
        <v>6</v>
      </c>
      <c r="H95" s="2">
        <f>SUMIF('01_BOC_TACH_ONG'!B:B, B95, '01_BOC_TACH_ONG'!K:K)</f>
        <v/>
      </c>
      <c r="I95" s="2">
        <f>SUMIF('02_BOC_TACH_CUA'!B:B, B95, '02_BOC_TACH_CUA'!K:K)</f>
        <v/>
      </c>
      <c r="J95" s="2">
        <f>SUMIF('03_BOC_TACH_VAN'!B:B, B95, '03_BOC_TACH_VAN'!K:K)</f>
        <v/>
      </c>
      <c r="K95" s="2">
        <f>SUM(H95:J95)</f>
        <v/>
      </c>
      <c r="L95" s="2">
        <f>K95*0.25</f>
        <v/>
      </c>
      <c r="M95" s="2">
        <f>K95*0.10</f>
        <v/>
      </c>
      <c r="N95" s="2">
        <f>K95+L95+M95</f>
        <v/>
      </c>
      <c r="O95" s="2">
        <f>IF(G95&gt;0, N95/G95, 0)</f>
        <v/>
      </c>
      <c r="P95" s="3" t="n">
        <v>0.18</v>
      </c>
      <c r="Q95" s="2">
        <f>O95*(1+P95)</f>
        <v/>
      </c>
      <c r="R95" s="2">
        <f>G95*Q95</f>
        <v/>
      </c>
    </row>
    <row r="96">
      <c r="A96" t="n">
        <v>95</v>
      </c>
      <c r="B96" t="inlineStr">
        <is>
          <t>SW-DAMPER-095</t>
        </is>
      </c>
      <c r="C96" t="inlineStr">
        <is>
          <t>VAN GIÓ</t>
        </is>
      </c>
      <c r="D96" t="inlineStr">
        <is>
          <t>Van điều chỉnh lưu lượng VCD - Kích thước 150x150</t>
        </is>
      </c>
      <c r="E96" t="inlineStr">
        <is>
          <t>150x150</t>
        </is>
      </c>
      <c r="F96" t="inlineStr">
        <is>
          <t>Cái</t>
        </is>
      </c>
      <c r="G96" s="2" t="n">
        <v>1</v>
      </c>
      <c r="H96" s="2">
        <f>SUMIF('01_BOC_TACH_ONG'!B:B, B96, '01_BOC_TACH_ONG'!K:K)</f>
        <v/>
      </c>
      <c r="I96" s="2">
        <f>SUMIF('02_BOC_TACH_CUA'!B:B, B96, '02_BOC_TACH_CUA'!K:K)</f>
        <v/>
      </c>
      <c r="J96" s="2">
        <f>SUMIF('03_BOC_TACH_VAN'!B:B, B96, '03_BOC_TACH_VAN'!K:K)</f>
        <v/>
      </c>
      <c r="K96" s="2">
        <f>SUM(H96:J96)</f>
        <v/>
      </c>
      <c r="L96" s="2">
        <f>K96*0.25</f>
        <v/>
      </c>
      <c r="M96" s="2">
        <f>K96*0.10</f>
        <v/>
      </c>
      <c r="N96" s="2">
        <f>K96+L96+M96</f>
        <v/>
      </c>
      <c r="O96" s="2">
        <f>IF(G96&gt;0, N96/G96, 0)</f>
        <v/>
      </c>
      <c r="P96" s="3" t="n">
        <v>0.18</v>
      </c>
      <c r="Q96" s="2">
        <f>O96*(1+P96)</f>
        <v/>
      </c>
      <c r="R96" s="2">
        <f>G96*Q96</f>
        <v/>
      </c>
    </row>
    <row r="97">
      <c r="A97" t="n">
        <v>96</v>
      </c>
      <c r="B97" t="inlineStr">
        <is>
          <t>SW-DAMPER-096</t>
        </is>
      </c>
      <c r="C97" t="inlineStr">
        <is>
          <t>VAN GIÓ</t>
        </is>
      </c>
      <c r="D97" t="inlineStr">
        <is>
          <t>Van điều chỉnh lưu lượng VCD - Kích thước 200x100</t>
        </is>
      </c>
      <c r="E97" t="inlineStr">
        <is>
          <t>200x100</t>
        </is>
      </c>
      <c r="F97" t="inlineStr">
        <is>
          <t>Cái</t>
        </is>
      </c>
      <c r="G97" s="2" t="n">
        <v>1</v>
      </c>
      <c r="H97" s="2">
        <f>SUMIF('01_BOC_TACH_ONG'!B:B, B97, '01_BOC_TACH_ONG'!K:K)</f>
        <v/>
      </c>
      <c r="I97" s="2">
        <f>SUMIF('02_BOC_TACH_CUA'!B:B, B97, '02_BOC_TACH_CUA'!K:K)</f>
        <v/>
      </c>
      <c r="J97" s="2">
        <f>SUMIF('03_BOC_TACH_VAN'!B:B, B97, '03_BOC_TACH_VAN'!K:K)</f>
        <v/>
      </c>
      <c r="K97" s="2">
        <f>SUM(H97:J97)</f>
        <v/>
      </c>
      <c r="L97" s="2">
        <f>K97*0.25</f>
        <v/>
      </c>
      <c r="M97" s="2">
        <f>K97*0.10</f>
        <v/>
      </c>
      <c r="N97" s="2">
        <f>K97+L97+M97</f>
        <v/>
      </c>
      <c r="O97" s="2">
        <f>IF(G97&gt;0, N97/G97, 0)</f>
        <v/>
      </c>
      <c r="P97" s="3" t="n">
        <v>0.18</v>
      </c>
      <c r="Q97" s="2">
        <f>O97*(1+P97)</f>
        <v/>
      </c>
      <c r="R97" s="2">
        <f>G97*Q97</f>
        <v/>
      </c>
    </row>
    <row r="98">
      <c r="A98" t="n">
        <v>97</v>
      </c>
      <c r="B98" t="inlineStr">
        <is>
          <t>SW-DAMPER-097</t>
        </is>
      </c>
      <c r="C98" t="inlineStr">
        <is>
          <t>VAN GIÓ</t>
        </is>
      </c>
      <c r="D98" t="inlineStr">
        <is>
          <t>Van điều chỉnh lưu lượng VCD - Kích thước 200x150</t>
        </is>
      </c>
      <c r="E98" t="inlineStr">
        <is>
          <t>200x150</t>
        </is>
      </c>
      <c r="F98" t="inlineStr">
        <is>
          <t>Cái</t>
        </is>
      </c>
      <c r="G98" s="2" t="n">
        <v>1</v>
      </c>
      <c r="H98" s="2">
        <f>SUMIF('01_BOC_TACH_ONG'!B:B, B98, '01_BOC_TACH_ONG'!K:K)</f>
        <v/>
      </c>
      <c r="I98" s="2">
        <f>SUMIF('02_BOC_TACH_CUA'!B:B, B98, '02_BOC_TACH_CUA'!K:K)</f>
        <v/>
      </c>
      <c r="J98" s="2">
        <f>SUMIF('03_BOC_TACH_VAN'!B:B, B98, '03_BOC_TACH_VAN'!K:K)</f>
        <v/>
      </c>
      <c r="K98" s="2">
        <f>SUM(H98:J98)</f>
        <v/>
      </c>
      <c r="L98" s="2">
        <f>K98*0.25</f>
        <v/>
      </c>
      <c r="M98" s="2">
        <f>K98*0.10</f>
        <v/>
      </c>
      <c r="N98" s="2">
        <f>K98+L98+M98</f>
        <v/>
      </c>
      <c r="O98" s="2">
        <f>IF(G98&gt;0, N98/G98, 0)</f>
        <v/>
      </c>
      <c r="P98" s="3" t="n">
        <v>0.18</v>
      </c>
      <c r="Q98" s="2">
        <f>O98*(1+P98)</f>
        <v/>
      </c>
      <c r="R98" s="2">
        <f>G98*Q98</f>
        <v/>
      </c>
    </row>
    <row r="99">
      <c r="A99" t="n">
        <v>98</v>
      </c>
      <c r="B99" t="inlineStr">
        <is>
          <t>SW-DAMPER-098</t>
        </is>
      </c>
      <c r="C99" t="inlineStr">
        <is>
          <t>VAN GIÓ</t>
        </is>
      </c>
      <c r="D99" t="inlineStr">
        <is>
          <t>Van điều chỉnh lưu lượng VCD - Kích thước 200x200</t>
        </is>
      </c>
      <c r="E99" t="inlineStr">
        <is>
          <t>200x200</t>
        </is>
      </c>
      <c r="F99" t="inlineStr">
        <is>
          <t>Cái</t>
        </is>
      </c>
      <c r="G99" s="2" t="n">
        <v>2</v>
      </c>
      <c r="H99" s="2">
        <f>SUMIF('01_BOC_TACH_ONG'!B:B, B99, '01_BOC_TACH_ONG'!K:K)</f>
        <v/>
      </c>
      <c r="I99" s="2">
        <f>SUMIF('02_BOC_TACH_CUA'!B:B, B99, '02_BOC_TACH_CUA'!K:K)</f>
        <v/>
      </c>
      <c r="J99" s="2">
        <f>SUMIF('03_BOC_TACH_VAN'!B:B, B99, '03_BOC_TACH_VAN'!K:K)</f>
        <v/>
      </c>
      <c r="K99" s="2">
        <f>SUM(H99:J99)</f>
        <v/>
      </c>
      <c r="L99" s="2">
        <f>K99*0.25</f>
        <v/>
      </c>
      <c r="M99" s="2">
        <f>K99*0.10</f>
        <v/>
      </c>
      <c r="N99" s="2">
        <f>K99+L99+M99</f>
        <v/>
      </c>
      <c r="O99" s="2">
        <f>IF(G99&gt;0, N99/G99, 0)</f>
        <v/>
      </c>
      <c r="P99" s="3" t="n">
        <v>0.18</v>
      </c>
      <c r="Q99" s="2">
        <f>O99*(1+P99)</f>
        <v/>
      </c>
      <c r="R99" s="2">
        <f>G99*Q99</f>
        <v/>
      </c>
    </row>
    <row r="100">
      <c r="A100" t="n">
        <v>99</v>
      </c>
      <c r="B100" t="inlineStr">
        <is>
          <t>SW-DAMPER-099</t>
        </is>
      </c>
      <c r="C100" t="inlineStr">
        <is>
          <t>VAN GIÓ</t>
        </is>
      </c>
      <c r="D100" t="inlineStr">
        <is>
          <t>Van điều chỉnh lưu lượng VCD - Kích thước 250x150</t>
        </is>
      </c>
      <c r="E100" t="inlineStr">
        <is>
          <t>250x150</t>
        </is>
      </c>
      <c r="F100" t="inlineStr">
        <is>
          <t>Cái</t>
        </is>
      </c>
      <c r="G100" s="2" t="n">
        <v>1</v>
      </c>
      <c r="H100" s="2">
        <f>SUMIF('01_BOC_TACH_ONG'!B:B, B100, '01_BOC_TACH_ONG'!K:K)</f>
        <v/>
      </c>
      <c r="I100" s="2">
        <f>SUMIF('02_BOC_TACH_CUA'!B:B, B100, '02_BOC_TACH_CUA'!K:K)</f>
        <v/>
      </c>
      <c r="J100" s="2">
        <f>SUMIF('03_BOC_TACH_VAN'!B:B, B100, '03_BOC_TACH_VAN'!K:K)</f>
        <v/>
      </c>
      <c r="K100" s="2">
        <f>SUM(H100:J100)</f>
        <v/>
      </c>
      <c r="L100" s="2">
        <f>K100*0.25</f>
        <v/>
      </c>
      <c r="M100" s="2">
        <f>K100*0.10</f>
        <v/>
      </c>
      <c r="N100" s="2">
        <f>K100+L100+M100</f>
        <v/>
      </c>
      <c r="O100" s="2">
        <f>IF(G100&gt;0, N100/G100, 0)</f>
        <v/>
      </c>
      <c r="P100" s="3" t="n">
        <v>0.18</v>
      </c>
      <c r="Q100" s="2">
        <f>O100*(1+P100)</f>
        <v/>
      </c>
      <c r="R100" s="2">
        <f>G100*Q100</f>
        <v/>
      </c>
    </row>
    <row r="101">
      <c r="A101" t="n">
        <v>100</v>
      </c>
      <c r="B101" t="inlineStr">
        <is>
          <t>SW-DAMPER-100</t>
        </is>
      </c>
      <c r="C101" t="inlineStr">
        <is>
          <t>VAN GIÓ</t>
        </is>
      </c>
      <c r="D101" t="inlineStr">
        <is>
          <t>Van điều chỉnh lưu lượng VCD - Kích thước 250x200</t>
        </is>
      </c>
      <c r="E101" t="inlineStr">
        <is>
          <t>250x200</t>
        </is>
      </c>
      <c r="F101" t="inlineStr">
        <is>
          <t>Cái</t>
        </is>
      </c>
      <c r="G101" s="2" t="n">
        <v>1</v>
      </c>
      <c r="H101" s="2">
        <f>SUMIF('01_BOC_TACH_ONG'!B:B, B101, '01_BOC_TACH_ONG'!K:K)</f>
        <v/>
      </c>
      <c r="I101" s="2">
        <f>SUMIF('02_BOC_TACH_CUA'!B:B, B101, '02_BOC_TACH_CUA'!K:K)</f>
        <v/>
      </c>
      <c r="J101" s="2">
        <f>SUMIF('03_BOC_TACH_VAN'!B:B, B101, '03_BOC_TACH_VAN'!K:K)</f>
        <v/>
      </c>
      <c r="K101" s="2">
        <f>SUM(H101:J101)</f>
        <v/>
      </c>
      <c r="L101" s="2">
        <f>K101*0.25</f>
        <v/>
      </c>
      <c r="M101" s="2">
        <f>K101*0.10</f>
        <v/>
      </c>
      <c r="N101" s="2">
        <f>K101+L101+M101</f>
        <v/>
      </c>
      <c r="O101" s="2">
        <f>IF(G101&gt;0, N101/G101, 0)</f>
        <v/>
      </c>
      <c r="P101" s="3" t="n">
        <v>0.18</v>
      </c>
      <c r="Q101" s="2">
        <f>O101*(1+P101)</f>
        <v/>
      </c>
      <c r="R101" s="2">
        <f>G101*Q101</f>
        <v/>
      </c>
    </row>
    <row r="102">
      <c r="A102" t="n">
        <v>101</v>
      </c>
      <c r="B102" t="inlineStr">
        <is>
          <t>SW-DAMPER-101</t>
        </is>
      </c>
      <c r="C102" t="inlineStr">
        <is>
          <t>VAN GIÓ</t>
        </is>
      </c>
      <c r="D102" t="inlineStr">
        <is>
          <t>Van điều chỉnh lưu lượng VCD - Kích thước 300x200</t>
        </is>
      </c>
      <c r="E102" t="inlineStr">
        <is>
          <t>300x200</t>
        </is>
      </c>
      <c r="F102" t="inlineStr">
        <is>
          <t>Cái</t>
        </is>
      </c>
      <c r="G102" s="2" t="n">
        <v>5</v>
      </c>
      <c r="H102" s="2">
        <f>SUMIF('01_BOC_TACH_ONG'!B:B, B102, '01_BOC_TACH_ONG'!K:K)</f>
        <v/>
      </c>
      <c r="I102" s="2">
        <f>SUMIF('02_BOC_TACH_CUA'!B:B, B102, '02_BOC_TACH_CUA'!K:K)</f>
        <v/>
      </c>
      <c r="J102" s="2">
        <f>SUMIF('03_BOC_TACH_VAN'!B:B, B102, '03_BOC_TACH_VAN'!K:K)</f>
        <v/>
      </c>
      <c r="K102" s="2">
        <f>SUM(H102:J102)</f>
        <v/>
      </c>
      <c r="L102" s="2">
        <f>K102*0.25</f>
        <v/>
      </c>
      <c r="M102" s="2">
        <f>K102*0.10</f>
        <v/>
      </c>
      <c r="N102" s="2">
        <f>K102+L102+M102</f>
        <v/>
      </c>
      <c r="O102" s="2">
        <f>IF(G102&gt;0, N102/G102, 0)</f>
        <v/>
      </c>
      <c r="P102" s="3" t="n">
        <v>0.18</v>
      </c>
      <c r="Q102" s="2">
        <f>O102*(1+P102)</f>
        <v/>
      </c>
      <c r="R102" s="2">
        <f>G102*Q102</f>
        <v/>
      </c>
    </row>
    <row r="103">
      <c r="A103" t="n">
        <v>102</v>
      </c>
      <c r="B103" t="inlineStr">
        <is>
          <t>SW-DAMPER-102</t>
        </is>
      </c>
      <c r="C103" t="inlineStr">
        <is>
          <t>VAN GIÓ</t>
        </is>
      </c>
      <c r="D103" t="inlineStr">
        <is>
          <t>Van điều chỉnh lưu lượng VCD - Kích thước 300x250</t>
        </is>
      </c>
      <c r="E103" t="inlineStr">
        <is>
          <t>300x250</t>
        </is>
      </c>
      <c r="F103" t="inlineStr">
        <is>
          <t>Cái</t>
        </is>
      </c>
      <c r="G103" s="2" t="n">
        <v>1</v>
      </c>
      <c r="H103" s="2">
        <f>SUMIF('01_BOC_TACH_ONG'!B:B, B103, '01_BOC_TACH_ONG'!K:K)</f>
        <v/>
      </c>
      <c r="I103" s="2">
        <f>SUMIF('02_BOC_TACH_CUA'!B:B, B103, '02_BOC_TACH_CUA'!K:K)</f>
        <v/>
      </c>
      <c r="J103" s="2">
        <f>SUMIF('03_BOC_TACH_VAN'!B:B, B103, '03_BOC_TACH_VAN'!K:K)</f>
        <v/>
      </c>
      <c r="K103" s="2">
        <f>SUM(H103:J103)</f>
        <v/>
      </c>
      <c r="L103" s="2">
        <f>K103*0.25</f>
        <v/>
      </c>
      <c r="M103" s="2">
        <f>K103*0.10</f>
        <v/>
      </c>
      <c r="N103" s="2">
        <f>K103+L103+M103</f>
        <v/>
      </c>
      <c r="O103" s="2">
        <f>IF(G103&gt;0, N103/G103, 0)</f>
        <v/>
      </c>
      <c r="P103" s="3" t="n">
        <v>0.18</v>
      </c>
      <c r="Q103" s="2">
        <f>O103*(1+P103)</f>
        <v/>
      </c>
      <c r="R103" s="2">
        <f>G103*Q103</f>
        <v/>
      </c>
    </row>
    <row r="104">
      <c r="A104" t="n">
        <v>103</v>
      </c>
      <c r="B104" t="inlineStr">
        <is>
          <t>SW-DAMPER-103</t>
        </is>
      </c>
      <c r="C104" t="inlineStr">
        <is>
          <t>VAN GIÓ</t>
        </is>
      </c>
      <c r="D104" t="inlineStr">
        <is>
          <t>Van điều chỉnh lưu lượng VCD - Kích thước 350x250</t>
        </is>
      </c>
      <c r="E104" t="inlineStr">
        <is>
          <t>350x250</t>
        </is>
      </c>
      <c r="F104" t="inlineStr">
        <is>
          <t>Cái</t>
        </is>
      </c>
      <c r="G104" s="2" t="n">
        <v>2</v>
      </c>
      <c r="H104" s="2">
        <f>SUMIF('01_BOC_TACH_ONG'!B:B, B104, '01_BOC_TACH_ONG'!K:K)</f>
        <v/>
      </c>
      <c r="I104" s="2">
        <f>SUMIF('02_BOC_TACH_CUA'!B:B, B104, '02_BOC_TACH_CUA'!K:K)</f>
        <v/>
      </c>
      <c r="J104" s="2">
        <f>SUMIF('03_BOC_TACH_VAN'!B:B, B104, '03_BOC_TACH_VAN'!K:K)</f>
        <v/>
      </c>
      <c r="K104" s="2">
        <f>SUM(H104:J104)</f>
        <v/>
      </c>
      <c r="L104" s="2">
        <f>K104*0.25</f>
        <v/>
      </c>
      <c r="M104" s="2">
        <f>K104*0.10</f>
        <v/>
      </c>
      <c r="N104" s="2">
        <f>K104+L104+M104</f>
        <v/>
      </c>
      <c r="O104" s="2">
        <f>IF(G104&gt;0, N104/G104, 0)</f>
        <v/>
      </c>
      <c r="P104" s="3" t="n">
        <v>0.18</v>
      </c>
      <c r="Q104" s="2">
        <f>O104*(1+P104)</f>
        <v/>
      </c>
      <c r="R104" s="2">
        <f>G104*Q104</f>
        <v/>
      </c>
    </row>
    <row r="105">
      <c r="A105" t="n">
        <v>104</v>
      </c>
      <c r="B105" t="inlineStr">
        <is>
          <t>SW-DAMPER-104</t>
        </is>
      </c>
      <c r="C105" t="inlineStr">
        <is>
          <t>VAN GIÓ</t>
        </is>
      </c>
      <c r="D105" t="inlineStr">
        <is>
          <t>Van điều chỉnh lưu lượng VCD - Kích thước 400x200</t>
        </is>
      </c>
      <c r="E105" t="inlineStr">
        <is>
          <t>400x200</t>
        </is>
      </c>
      <c r="F105" t="inlineStr">
        <is>
          <t>Cái</t>
        </is>
      </c>
      <c r="G105" s="2" t="n">
        <v>7</v>
      </c>
      <c r="H105" s="2">
        <f>SUMIF('01_BOC_TACH_ONG'!B:B, B105, '01_BOC_TACH_ONG'!K:K)</f>
        <v/>
      </c>
      <c r="I105" s="2">
        <f>SUMIF('02_BOC_TACH_CUA'!B:B, B105, '02_BOC_TACH_CUA'!K:K)</f>
        <v/>
      </c>
      <c r="J105" s="2">
        <f>SUMIF('03_BOC_TACH_VAN'!B:B, B105, '03_BOC_TACH_VAN'!K:K)</f>
        <v/>
      </c>
      <c r="K105" s="2">
        <f>SUM(H105:J105)</f>
        <v/>
      </c>
      <c r="L105" s="2">
        <f>K105*0.25</f>
        <v/>
      </c>
      <c r="M105" s="2">
        <f>K105*0.10</f>
        <v/>
      </c>
      <c r="N105" s="2">
        <f>K105+L105+M105</f>
        <v/>
      </c>
      <c r="O105" s="2">
        <f>IF(G105&gt;0, N105/G105, 0)</f>
        <v/>
      </c>
      <c r="P105" s="3" t="n">
        <v>0.18</v>
      </c>
      <c r="Q105" s="2">
        <f>O105*(1+P105)</f>
        <v/>
      </c>
      <c r="R105" s="2">
        <f>G105*Q105</f>
        <v/>
      </c>
    </row>
    <row r="106">
      <c r="A106" t="n">
        <v>105</v>
      </c>
      <c r="B106" t="inlineStr">
        <is>
          <t>SW-DAMPER-105</t>
        </is>
      </c>
      <c r="C106" t="inlineStr">
        <is>
          <t>VAN GIÓ</t>
        </is>
      </c>
      <c r="D106" t="inlineStr">
        <is>
          <t>Van điều chỉnh lưu lượng VCD - Kích thước 400x250</t>
        </is>
      </c>
      <c r="E106" t="inlineStr">
        <is>
          <t>400x250</t>
        </is>
      </c>
      <c r="F106" t="inlineStr">
        <is>
          <t>Cái</t>
        </is>
      </c>
      <c r="G106" s="2" t="n">
        <v>1</v>
      </c>
      <c r="H106" s="2">
        <f>SUMIF('01_BOC_TACH_ONG'!B:B, B106, '01_BOC_TACH_ONG'!K:K)</f>
        <v/>
      </c>
      <c r="I106" s="2">
        <f>SUMIF('02_BOC_TACH_CUA'!B:B, B106, '02_BOC_TACH_CUA'!K:K)</f>
        <v/>
      </c>
      <c r="J106" s="2">
        <f>SUMIF('03_BOC_TACH_VAN'!B:B, B106, '03_BOC_TACH_VAN'!K:K)</f>
        <v/>
      </c>
      <c r="K106" s="2">
        <f>SUM(H106:J106)</f>
        <v/>
      </c>
      <c r="L106" s="2">
        <f>K106*0.25</f>
        <v/>
      </c>
      <c r="M106" s="2">
        <f>K106*0.10</f>
        <v/>
      </c>
      <c r="N106" s="2">
        <f>K106+L106+M106</f>
        <v/>
      </c>
      <c r="O106" s="2">
        <f>IF(G106&gt;0, N106/G106, 0)</f>
        <v/>
      </c>
      <c r="P106" s="3" t="n">
        <v>0.18</v>
      </c>
      <c r="Q106" s="2">
        <f>O106*(1+P106)</f>
        <v/>
      </c>
      <c r="R106" s="2">
        <f>G106*Q106</f>
        <v/>
      </c>
    </row>
    <row r="107">
      <c r="A107" t="n">
        <v>106</v>
      </c>
      <c r="B107" t="inlineStr">
        <is>
          <t>SW-DAMPER-106</t>
        </is>
      </c>
      <c r="C107" t="inlineStr">
        <is>
          <t>VAN GIÓ</t>
        </is>
      </c>
      <c r="D107" t="inlineStr">
        <is>
          <t>Van điều chỉnh lưu lượng VCD - Kích thước 400x300</t>
        </is>
      </c>
      <c r="E107" t="inlineStr">
        <is>
          <t>400x300</t>
        </is>
      </c>
      <c r="F107" t="inlineStr">
        <is>
          <t>Cái</t>
        </is>
      </c>
      <c r="G107" s="2" t="n">
        <v>3</v>
      </c>
      <c r="H107" s="2">
        <f>SUMIF('01_BOC_TACH_ONG'!B:B, B107, '01_BOC_TACH_ONG'!K:K)</f>
        <v/>
      </c>
      <c r="I107" s="2">
        <f>SUMIF('02_BOC_TACH_CUA'!B:B, B107, '02_BOC_TACH_CUA'!K:K)</f>
        <v/>
      </c>
      <c r="J107" s="2">
        <f>SUMIF('03_BOC_TACH_VAN'!B:B, B107, '03_BOC_TACH_VAN'!K:K)</f>
        <v/>
      </c>
      <c r="K107" s="2">
        <f>SUM(H107:J107)</f>
        <v/>
      </c>
      <c r="L107" s="2">
        <f>K107*0.25</f>
        <v/>
      </c>
      <c r="M107" s="2">
        <f>K107*0.10</f>
        <v/>
      </c>
      <c r="N107" s="2">
        <f>K107+L107+M107</f>
        <v/>
      </c>
      <c r="O107" s="2">
        <f>IF(G107&gt;0, N107/G107, 0)</f>
        <v/>
      </c>
      <c r="P107" s="3" t="n">
        <v>0.18</v>
      </c>
      <c r="Q107" s="2">
        <f>O107*(1+P107)</f>
        <v/>
      </c>
      <c r="R107" s="2">
        <f>G107*Q107</f>
        <v/>
      </c>
    </row>
    <row r="108">
      <c r="A108" t="n">
        <v>107</v>
      </c>
      <c r="B108" t="inlineStr">
        <is>
          <t>SW-DAMPER-107</t>
        </is>
      </c>
      <c r="C108" t="inlineStr">
        <is>
          <t>VAN GIÓ</t>
        </is>
      </c>
      <c r="D108" t="inlineStr">
        <is>
          <t>Van điều chỉnh lưu lượng VCD - Kích thước 450x250</t>
        </is>
      </c>
      <c r="E108" t="inlineStr">
        <is>
          <t>450x250</t>
        </is>
      </c>
      <c r="F108" t="inlineStr">
        <is>
          <t>Cái</t>
        </is>
      </c>
      <c r="G108" s="2" t="n">
        <v>1</v>
      </c>
      <c r="H108" s="2">
        <f>SUMIF('01_BOC_TACH_ONG'!B:B, B108, '01_BOC_TACH_ONG'!K:K)</f>
        <v/>
      </c>
      <c r="I108" s="2">
        <f>SUMIF('02_BOC_TACH_CUA'!B:B, B108, '02_BOC_TACH_CUA'!K:K)</f>
        <v/>
      </c>
      <c r="J108" s="2">
        <f>SUMIF('03_BOC_TACH_VAN'!B:B, B108, '03_BOC_TACH_VAN'!K:K)</f>
        <v/>
      </c>
      <c r="K108" s="2">
        <f>SUM(H108:J108)</f>
        <v/>
      </c>
      <c r="L108" s="2">
        <f>K108*0.25</f>
        <v/>
      </c>
      <c r="M108" s="2">
        <f>K108*0.10</f>
        <v/>
      </c>
      <c r="N108" s="2">
        <f>K108+L108+M108</f>
        <v/>
      </c>
      <c r="O108" s="2">
        <f>IF(G108&gt;0, N108/G108, 0)</f>
        <v/>
      </c>
      <c r="P108" s="3" t="n">
        <v>0.18</v>
      </c>
      <c r="Q108" s="2">
        <f>O108*(1+P108)</f>
        <v/>
      </c>
      <c r="R108" s="2">
        <f>G108*Q108</f>
        <v/>
      </c>
    </row>
    <row r="109">
      <c r="A109" t="n">
        <v>108</v>
      </c>
      <c r="B109" t="inlineStr">
        <is>
          <t>SW-DAMPER-108</t>
        </is>
      </c>
      <c r="C109" t="inlineStr">
        <is>
          <t>VAN GIÓ</t>
        </is>
      </c>
      <c r="D109" t="inlineStr">
        <is>
          <t>Van điều chỉnh lưu lượng VCD - Kích thước 500x250</t>
        </is>
      </c>
      <c r="E109" t="inlineStr">
        <is>
          <t>500x250</t>
        </is>
      </c>
      <c r="F109" t="inlineStr">
        <is>
          <t>Cái</t>
        </is>
      </c>
      <c r="G109" s="2" t="n">
        <v>1</v>
      </c>
      <c r="H109" s="2">
        <f>SUMIF('01_BOC_TACH_ONG'!B:B, B109, '01_BOC_TACH_ONG'!K:K)</f>
        <v/>
      </c>
      <c r="I109" s="2">
        <f>SUMIF('02_BOC_TACH_CUA'!B:B, B109, '02_BOC_TACH_CUA'!K:K)</f>
        <v/>
      </c>
      <c r="J109" s="2">
        <f>SUMIF('03_BOC_TACH_VAN'!B:B, B109, '03_BOC_TACH_VAN'!K:K)</f>
        <v/>
      </c>
      <c r="K109" s="2">
        <f>SUM(H109:J109)</f>
        <v/>
      </c>
      <c r="L109" s="2">
        <f>K109*0.25</f>
        <v/>
      </c>
      <c r="M109" s="2">
        <f>K109*0.10</f>
        <v/>
      </c>
      <c r="N109" s="2">
        <f>K109+L109+M109</f>
        <v/>
      </c>
      <c r="O109" s="2">
        <f>IF(G109&gt;0, N109/G109, 0)</f>
        <v/>
      </c>
      <c r="P109" s="3" t="n">
        <v>0.18</v>
      </c>
      <c r="Q109" s="2">
        <f>O109*(1+P109)</f>
        <v/>
      </c>
      <c r="R109" s="2">
        <f>G109*Q109</f>
        <v/>
      </c>
    </row>
    <row r="110">
      <c r="A110" t="n">
        <v>109</v>
      </c>
      <c r="B110" t="inlineStr">
        <is>
          <t>SW-DAMPER-109</t>
        </is>
      </c>
      <c r="C110" t="inlineStr">
        <is>
          <t>VAN GIÓ</t>
        </is>
      </c>
      <c r="D110" t="inlineStr">
        <is>
          <t>Van điều chỉnh lưu lượng VCD - Kích thước 500x300</t>
        </is>
      </c>
      <c r="E110" t="inlineStr">
        <is>
          <t>500x300</t>
        </is>
      </c>
      <c r="F110" t="inlineStr">
        <is>
          <t>Cái</t>
        </is>
      </c>
      <c r="G110" s="2" t="n">
        <v>1</v>
      </c>
      <c r="H110" s="2">
        <f>SUMIF('01_BOC_TACH_ONG'!B:B, B110, '01_BOC_TACH_ONG'!K:K)</f>
        <v/>
      </c>
      <c r="I110" s="2">
        <f>SUMIF('02_BOC_TACH_CUA'!B:B, B110, '02_BOC_TACH_CUA'!K:K)</f>
        <v/>
      </c>
      <c r="J110" s="2">
        <f>SUMIF('03_BOC_TACH_VAN'!B:B, B110, '03_BOC_TACH_VAN'!K:K)</f>
        <v/>
      </c>
      <c r="K110" s="2">
        <f>SUM(H110:J110)</f>
        <v/>
      </c>
      <c r="L110" s="2">
        <f>K110*0.25</f>
        <v/>
      </c>
      <c r="M110" s="2">
        <f>K110*0.10</f>
        <v/>
      </c>
      <c r="N110" s="2">
        <f>K110+L110+M110</f>
        <v/>
      </c>
      <c r="O110" s="2">
        <f>IF(G110&gt;0, N110/G110, 0)</f>
        <v/>
      </c>
      <c r="P110" s="3" t="n">
        <v>0.18</v>
      </c>
      <c r="Q110" s="2">
        <f>O110*(1+P110)</f>
        <v/>
      </c>
      <c r="R110" s="2">
        <f>G110*Q110</f>
        <v/>
      </c>
    </row>
    <row r="111">
      <c r="A111" t="n">
        <v>110</v>
      </c>
      <c r="B111" t="inlineStr">
        <is>
          <t>SW-DAMPER-110</t>
        </is>
      </c>
      <c r="C111" t="inlineStr">
        <is>
          <t>VAN GIÓ</t>
        </is>
      </c>
      <c r="D111" t="inlineStr">
        <is>
          <t>Van điều chỉnh lưu lượng VCD - Kích thước 600x250</t>
        </is>
      </c>
      <c r="E111" t="inlineStr">
        <is>
          <t>600x250</t>
        </is>
      </c>
      <c r="F111" t="inlineStr">
        <is>
          <t>Cái</t>
        </is>
      </c>
      <c r="G111" s="2" t="n">
        <v>1</v>
      </c>
      <c r="H111" s="2">
        <f>SUMIF('01_BOC_TACH_ONG'!B:B, B111, '01_BOC_TACH_ONG'!K:K)</f>
        <v/>
      </c>
      <c r="I111" s="2">
        <f>SUMIF('02_BOC_TACH_CUA'!B:B, B111, '02_BOC_TACH_CUA'!K:K)</f>
        <v/>
      </c>
      <c r="J111" s="2">
        <f>SUMIF('03_BOC_TACH_VAN'!B:B, B111, '03_BOC_TACH_VAN'!K:K)</f>
        <v/>
      </c>
      <c r="K111" s="2">
        <f>SUM(H111:J111)</f>
        <v/>
      </c>
      <c r="L111" s="2">
        <f>K111*0.25</f>
        <v/>
      </c>
      <c r="M111" s="2">
        <f>K111*0.10</f>
        <v/>
      </c>
      <c r="N111" s="2">
        <f>K111+L111+M111</f>
        <v/>
      </c>
      <c r="O111" s="2">
        <f>IF(G111&gt;0, N111/G111, 0)</f>
        <v/>
      </c>
      <c r="P111" s="3" t="n">
        <v>0.18</v>
      </c>
      <c r="Q111" s="2">
        <f>O111*(1+P111)</f>
        <v/>
      </c>
      <c r="R111" s="2">
        <f>G111*Q111</f>
        <v/>
      </c>
    </row>
    <row r="112">
      <c r="A112" t="n">
        <v>111</v>
      </c>
      <c r="B112" t="inlineStr">
        <is>
          <t>SW-DAMPER-111</t>
        </is>
      </c>
      <c r="C112" t="inlineStr">
        <is>
          <t>VAN GIÓ</t>
        </is>
      </c>
      <c r="D112" t="inlineStr">
        <is>
          <t>Van điều chỉnh lưu lượng VCD - Kích thước 600x300</t>
        </is>
      </c>
      <c r="E112" t="inlineStr">
        <is>
          <t>600x300</t>
        </is>
      </c>
      <c r="F112" t="inlineStr">
        <is>
          <t>Cái</t>
        </is>
      </c>
      <c r="G112" s="2" t="n">
        <v>4</v>
      </c>
      <c r="H112" s="2">
        <f>SUMIF('01_BOC_TACH_ONG'!B:B, B112, '01_BOC_TACH_ONG'!K:K)</f>
        <v/>
      </c>
      <c r="I112" s="2">
        <f>SUMIF('02_BOC_TACH_CUA'!B:B, B112, '02_BOC_TACH_CUA'!K:K)</f>
        <v/>
      </c>
      <c r="J112" s="2">
        <f>SUMIF('03_BOC_TACH_VAN'!B:B, B112, '03_BOC_TACH_VAN'!K:K)</f>
        <v/>
      </c>
      <c r="K112" s="2">
        <f>SUM(H112:J112)</f>
        <v/>
      </c>
      <c r="L112" s="2">
        <f>K112*0.25</f>
        <v/>
      </c>
      <c r="M112" s="2">
        <f>K112*0.10</f>
        <v/>
      </c>
      <c r="N112" s="2">
        <f>K112+L112+M112</f>
        <v/>
      </c>
      <c r="O112" s="2">
        <f>IF(G112&gt;0, N112/G112, 0)</f>
        <v/>
      </c>
      <c r="P112" s="3" t="n">
        <v>0.18</v>
      </c>
      <c r="Q112" s="2">
        <f>O112*(1+P112)</f>
        <v/>
      </c>
      <c r="R112" s="2">
        <f>G112*Q112</f>
        <v/>
      </c>
    </row>
    <row r="113">
      <c r="A113" t="n">
        <v>112</v>
      </c>
      <c r="B113" t="inlineStr">
        <is>
          <t>SW-DAMPER-112</t>
        </is>
      </c>
      <c r="C113" t="inlineStr">
        <is>
          <t>VAN GIÓ</t>
        </is>
      </c>
      <c r="D113" t="inlineStr">
        <is>
          <t>Van điều chỉnh lưu lượng VCD - Kích thước 600x400</t>
        </is>
      </c>
      <c r="E113" t="inlineStr">
        <is>
          <t>600x400</t>
        </is>
      </c>
      <c r="F113" t="inlineStr">
        <is>
          <t>Cái</t>
        </is>
      </c>
      <c r="G113" s="2" t="n">
        <v>1</v>
      </c>
      <c r="H113" s="2">
        <f>SUMIF('01_BOC_TACH_ONG'!B:B, B113, '01_BOC_TACH_ONG'!K:K)</f>
        <v/>
      </c>
      <c r="I113" s="2">
        <f>SUMIF('02_BOC_TACH_CUA'!B:B, B113, '02_BOC_TACH_CUA'!K:K)</f>
        <v/>
      </c>
      <c r="J113" s="2">
        <f>SUMIF('03_BOC_TACH_VAN'!B:B, B113, '03_BOC_TACH_VAN'!K:K)</f>
        <v/>
      </c>
      <c r="K113" s="2">
        <f>SUM(H113:J113)</f>
        <v/>
      </c>
      <c r="L113" s="2">
        <f>K113*0.25</f>
        <v/>
      </c>
      <c r="M113" s="2">
        <f>K113*0.10</f>
        <v/>
      </c>
      <c r="N113" s="2">
        <f>K113+L113+M113</f>
        <v/>
      </c>
      <c r="O113" s="2">
        <f>IF(G113&gt;0, N113/G113, 0)</f>
        <v/>
      </c>
      <c r="P113" s="3" t="n">
        <v>0.18</v>
      </c>
      <c r="Q113" s="2">
        <f>O113*(1+P113)</f>
        <v/>
      </c>
      <c r="R113" s="2">
        <f>G113*Q113</f>
        <v/>
      </c>
    </row>
    <row r="114">
      <c r="A114" t="n">
        <v>113</v>
      </c>
      <c r="B114" t="inlineStr">
        <is>
          <t>SW-DAMPER-113</t>
        </is>
      </c>
      <c r="C114" t="inlineStr">
        <is>
          <t>VAN GIÓ</t>
        </is>
      </c>
      <c r="D114" t="inlineStr">
        <is>
          <t>Van điều chỉnh lưu lượng VCD - Kích thước 650x250</t>
        </is>
      </c>
      <c r="E114" t="inlineStr">
        <is>
          <t>650x250</t>
        </is>
      </c>
      <c r="F114" t="inlineStr">
        <is>
          <t>Cái</t>
        </is>
      </c>
      <c r="G114" s="2" t="n">
        <v>2</v>
      </c>
      <c r="H114" s="2">
        <f>SUMIF('01_BOC_TACH_ONG'!B:B, B114, '01_BOC_TACH_ONG'!K:K)</f>
        <v/>
      </c>
      <c r="I114" s="2">
        <f>SUMIF('02_BOC_TACH_CUA'!B:B, B114, '02_BOC_TACH_CUA'!K:K)</f>
        <v/>
      </c>
      <c r="J114" s="2">
        <f>SUMIF('03_BOC_TACH_VAN'!B:B, B114, '03_BOC_TACH_VAN'!K:K)</f>
        <v/>
      </c>
      <c r="K114" s="2">
        <f>SUM(H114:J114)</f>
        <v/>
      </c>
      <c r="L114" s="2">
        <f>K114*0.25</f>
        <v/>
      </c>
      <c r="M114" s="2">
        <f>K114*0.10</f>
        <v/>
      </c>
      <c r="N114" s="2">
        <f>K114+L114+M114</f>
        <v/>
      </c>
      <c r="O114" s="2">
        <f>IF(G114&gt;0, N114/G114, 0)</f>
        <v/>
      </c>
      <c r="P114" s="3" t="n">
        <v>0.18</v>
      </c>
      <c r="Q114" s="2">
        <f>O114*(1+P114)</f>
        <v/>
      </c>
      <c r="R114" s="2">
        <f>G114*Q114</f>
        <v/>
      </c>
    </row>
    <row r="115">
      <c r="A115" t="n">
        <v>114</v>
      </c>
      <c r="B115" t="inlineStr">
        <is>
          <t>SW-DAMPER-114</t>
        </is>
      </c>
      <c r="C115" t="inlineStr">
        <is>
          <t>VAN GIÓ</t>
        </is>
      </c>
      <c r="D115" t="inlineStr">
        <is>
          <t>Van điều chỉnh lưu lượng VCD - Kích thước 650x300</t>
        </is>
      </c>
      <c r="E115" t="inlineStr">
        <is>
          <t>650x300</t>
        </is>
      </c>
      <c r="F115" t="inlineStr">
        <is>
          <t>Cái</t>
        </is>
      </c>
      <c r="G115" s="2" t="n">
        <v>1</v>
      </c>
      <c r="H115" s="2">
        <f>SUMIF('01_BOC_TACH_ONG'!B:B, B115, '01_BOC_TACH_ONG'!K:K)</f>
        <v/>
      </c>
      <c r="I115" s="2">
        <f>SUMIF('02_BOC_TACH_CUA'!B:B, B115, '02_BOC_TACH_CUA'!K:K)</f>
        <v/>
      </c>
      <c r="J115" s="2">
        <f>SUMIF('03_BOC_TACH_VAN'!B:B, B115, '03_BOC_TACH_VAN'!K:K)</f>
        <v/>
      </c>
      <c r="K115" s="2">
        <f>SUM(H115:J115)</f>
        <v/>
      </c>
      <c r="L115" s="2">
        <f>K115*0.25</f>
        <v/>
      </c>
      <c r="M115" s="2">
        <f>K115*0.10</f>
        <v/>
      </c>
      <c r="N115" s="2">
        <f>K115+L115+M115</f>
        <v/>
      </c>
      <c r="O115" s="2">
        <f>IF(G115&gt;0, N115/G115, 0)</f>
        <v/>
      </c>
      <c r="P115" s="3" t="n">
        <v>0.18</v>
      </c>
      <c r="Q115" s="2">
        <f>O115*(1+P115)</f>
        <v/>
      </c>
      <c r="R115" s="2">
        <f>G115*Q115</f>
        <v/>
      </c>
    </row>
    <row r="116">
      <c r="A116" t="n">
        <v>115</v>
      </c>
      <c r="B116" t="inlineStr">
        <is>
          <t>SW-DAMPER-115</t>
        </is>
      </c>
      <c r="C116" t="inlineStr">
        <is>
          <t>VAN GIÓ</t>
        </is>
      </c>
      <c r="D116" t="inlineStr">
        <is>
          <t>Van điều chỉnh lưu lượng VCD - Kích thước 650x350</t>
        </is>
      </c>
      <c r="E116" t="inlineStr">
        <is>
          <t>650x350</t>
        </is>
      </c>
      <c r="F116" t="inlineStr">
        <is>
          <t>Cái</t>
        </is>
      </c>
      <c r="G116" s="2" t="n">
        <v>1</v>
      </c>
      <c r="H116" s="2">
        <f>SUMIF('01_BOC_TACH_ONG'!B:B, B116, '01_BOC_TACH_ONG'!K:K)</f>
        <v/>
      </c>
      <c r="I116" s="2">
        <f>SUMIF('02_BOC_TACH_CUA'!B:B, B116, '02_BOC_TACH_CUA'!K:K)</f>
        <v/>
      </c>
      <c r="J116" s="2">
        <f>SUMIF('03_BOC_TACH_VAN'!B:B, B116, '03_BOC_TACH_VAN'!K:K)</f>
        <v/>
      </c>
      <c r="K116" s="2">
        <f>SUM(H116:J116)</f>
        <v/>
      </c>
      <c r="L116" s="2">
        <f>K116*0.25</f>
        <v/>
      </c>
      <c r="M116" s="2">
        <f>K116*0.10</f>
        <v/>
      </c>
      <c r="N116" s="2">
        <f>K116+L116+M116</f>
        <v/>
      </c>
      <c r="O116" s="2">
        <f>IF(G116&gt;0, N116/G116, 0)</f>
        <v/>
      </c>
      <c r="P116" s="3" t="n">
        <v>0.18</v>
      </c>
      <c r="Q116" s="2">
        <f>O116*(1+P116)</f>
        <v/>
      </c>
      <c r="R116" s="2">
        <f>G116*Q116</f>
        <v/>
      </c>
    </row>
    <row r="117">
      <c r="A117" t="n">
        <v>116</v>
      </c>
      <c r="B117" t="inlineStr">
        <is>
          <t>SW-DAMPER-116</t>
        </is>
      </c>
      <c r="C117" t="inlineStr">
        <is>
          <t>VAN GIÓ</t>
        </is>
      </c>
      <c r="D117" t="inlineStr">
        <is>
          <t>Van điều chỉnh lưu lượng VCD - Kích thước 650x400</t>
        </is>
      </c>
      <c r="E117" t="inlineStr">
        <is>
          <t>650x400</t>
        </is>
      </c>
      <c r="F117" t="inlineStr">
        <is>
          <t>Cái</t>
        </is>
      </c>
      <c r="G117" s="2" t="n">
        <v>1</v>
      </c>
      <c r="H117" s="2">
        <f>SUMIF('01_BOC_TACH_ONG'!B:B, B117, '01_BOC_TACH_ONG'!K:K)</f>
        <v/>
      </c>
      <c r="I117" s="2">
        <f>SUMIF('02_BOC_TACH_CUA'!B:B, B117, '02_BOC_TACH_CUA'!K:K)</f>
        <v/>
      </c>
      <c r="J117" s="2">
        <f>SUMIF('03_BOC_TACH_VAN'!B:B, B117, '03_BOC_TACH_VAN'!K:K)</f>
        <v/>
      </c>
      <c r="K117" s="2">
        <f>SUM(H117:J117)</f>
        <v/>
      </c>
      <c r="L117" s="2">
        <f>K117*0.25</f>
        <v/>
      </c>
      <c r="M117" s="2">
        <f>K117*0.10</f>
        <v/>
      </c>
      <c r="N117" s="2">
        <f>K117+L117+M117</f>
        <v/>
      </c>
      <c r="O117" s="2">
        <f>IF(G117&gt;0, N117/G117, 0)</f>
        <v/>
      </c>
      <c r="P117" s="3" t="n">
        <v>0.18</v>
      </c>
      <c r="Q117" s="2">
        <f>O117*(1+P117)</f>
        <v/>
      </c>
      <c r="R117" s="2">
        <f>G117*Q117</f>
        <v/>
      </c>
    </row>
    <row r="118">
      <c r="A118" t="n">
        <v>117</v>
      </c>
      <c r="B118" t="inlineStr">
        <is>
          <t>SW-DAMPER-117</t>
        </is>
      </c>
      <c r="C118" t="inlineStr">
        <is>
          <t>VAN GIÓ</t>
        </is>
      </c>
      <c r="D118" t="inlineStr">
        <is>
          <t>Van điều chỉnh lưu lượng VCD - Kích thước 700x350</t>
        </is>
      </c>
      <c r="E118" t="inlineStr">
        <is>
          <t>700x350</t>
        </is>
      </c>
      <c r="F118" t="inlineStr">
        <is>
          <t>Cái</t>
        </is>
      </c>
      <c r="G118" s="2" t="n">
        <v>1</v>
      </c>
      <c r="H118" s="2">
        <f>SUMIF('01_BOC_TACH_ONG'!B:B, B118, '01_BOC_TACH_ONG'!K:K)</f>
        <v/>
      </c>
      <c r="I118" s="2">
        <f>SUMIF('02_BOC_TACH_CUA'!B:B, B118, '02_BOC_TACH_CUA'!K:K)</f>
        <v/>
      </c>
      <c r="J118" s="2">
        <f>SUMIF('03_BOC_TACH_VAN'!B:B, B118, '03_BOC_TACH_VAN'!K:K)</f>
        <v/>
      </c>
      <c r="K118" s="2">
        <f>SUM(H118:J118)</f>
        <v/>
      </c>
      <c r="L118" s="2">
        <f>K118*0.25</f>
        <v/>
      </c>
      <c r="M118" s="2">
        <f>K118*0.10</f>
        <v/>
      </c>
      <c r="N118" s="2">
        <f>K118+L118+M118</f>
        <v/>
      </c>
      <c r="O118" s="2">
        <f>IF(G118&gt;0, N118/G118, 0)</f>
        <v/>
      </c>
      <c r="P118" s="3" t="n">
        <v>0.18</v>
      </c>
      <c r="Q118" s="2">
        <f>O118*(1+P118)</f>
        <v/>
      </c>
      <c r="R118" s="2">
        <f>G118*Q118</f>
        <v/>
      </c>
    </row>
    <row r="119">
      <c r="A119" t="n">
        <v>118</v>
      </c>
      <c r="B119" t="inlineStr">
        <is>
          <t>SW-DAMPER-118</t>
        </is>
      </c>
      <c r="C119" t="inlineStr">
        <is>
          <t>VAN GIÓ</t>
        </is>
      </c>
      <c r="D119" t="inlineStr">
        <is>
          <t>Van điều chỉnh lưu lượng VCD - Kích thước 700x400</t>
        </is>
      </c>
      <c r="E119" t="inlineStr">
        <is>
          <t>700x400</t>
        </is>
      </c>
      <c r="F119" t="inlineStr">
        <is>
          <t>Cái</t>
        </is>
      </c>
      <c r="G119" s="2" t="n">
        <v>1</v>
      </c>
      <c r="H119" s="2">
        <f>SUMIF('01_BOC_TACH_ONG'!B:B, B119, '01_BOC_TACH_ONG'!K:K)</f>
        <v/>
      </c>
      <c r="I119" s="2">
        <f>SUMIF('02_BOC_TACH_CUA'!B:B, B119, '02_BOC_TACH_CUA'!K:K)</f>
        <v/>
      </c>
      <c r="J119" s="2">
        <f>SUMIF('03_BOC_TACH_VAN'!B:B, B119, '03_BOC_TACH_VAN'!K:K)</f>
        <v/>
      </c>
      <c r="K119" s="2">
        <f>SUM(H119:J119)</f>
        <v/>
      </c>
      <c r="L119" s="2">
        <f>K119*0.25</f>
        <v/>
      </c>
      <c r="M119" s="2">
        <f>K119*0.10</f>
        <v/>
      </c>
      <c r="N119" s="2">
        <f>K119+L119+M119</f>
        <v/>
      </c>
      <c r="O119" s="2">
        <f>IF(G119&gt;0, N119/G119, 0)</f>
        <v/>
      </c>
      <c r="P119" s="3" t="n">
        <v>0.18</v>
      </c>
      <c r="Q119" s="2">
        <f>O119*(1+P119)</f>
        <v/>
      </c>
      <c r="R119" s="2">
        <f>G119*Q119</f>
        <v/>
      </c>
    </row>
    <row r="120">
      <c r="A120" t="n">
        <v>119</v>
      </c>
      <c r="B120" t="inlineStr">
        <is>
          <t>SW-DAMPER-119</t>
        </is>
      </c>
      <c r="C120" t="inlineStr">
        <is>
          <t>VAN GIÓ</t>
        </is>
      </c>
      <c r="D120" t="inlineStr">
        <is>
          <t>Van điều chỉnh lưu lượng VCD - Kích thước 800x600</t>
        </is>
      </c>
      <c r="E120" t="inlineStr">
        <is>
          <t>800x600</t>
        </is>
      </c>
      <c r="F120" t="inlineStr">
        <is>
          <t>Cái</t>
        </is>
      </c>
      <c r="G120" s="2" t="n">
        <v>1</v>
      </c>
      <c r="H120" s="2">
        <f>SUMIF('01_BOC_TACH_ONG'!B:B, B120, '01_BOC_TACH_ONG'!K:K)</f>
        <v/>
      </c>
      <c r="I120" s="2">
        <f>SUMIF('02_BOC_TACH_CUA'!B:B, B120, '02_BOC_TACH_CUA'!K:K)</f>
        <v/>
      </c>
      <c r="J120" s="2">
        <f>SUMIF('03_BOC_TACH_VAN'!B:B, B120, '03_BOC_TACH_VAN'!K:K)</f>
        <v/>
      </c>
      <c r="K120" s="2">
        <f>SUM(H120:J120)</f>
        <v/>
      </c>
      <c r="L120" s="2">
        <f>K120*0.25</f>
        <v/>
      </c>
      <c r="M120" s="2">
        <f>K120*0.10</f>
        <v/>
      </c>
      <c r="N120" s="2">
        <f>K120+L120+M120</f>
        <v/>
      </c>
      <c r="O120" s="2">
        <f>IF(G120&gt;0, N120/G120, 0)</f>
        <v/>
      </c>
      <c r="P120" s="3" t="n">
        <v>0.18</v>
      </c>
      <c r="Q120" s="2">
        <f>O120*(1+P120)</f>
        <v/>
      </c>
      <c r="R120" s="2">
        <f>G120*Q120</f>
        <v/>
      </c>
    </row>
    <row r="121">
      <c r="A121" t="n">
        <v>120</v>
      </c>
      <c r="B121" t="inlineStr">
        <is>
          <t>SW-DAMPER-120</t>
        </is>
      </c>
      <c r="C121" t="inlineStr">
        <is>
          <t>VAN GIÓ</t>
        </is>
      </c>
      <c r="D121" t="inlineStr">
        <is>
          <t>Van điều chỉnh lưu lượng VCD - Kích thước 900x500</t>
        </is>
      </c>
      <c r="E121" t="inlineStr">
        <is>
          <t>900x500</t>
        </is>
      </c>
      <c r="F121" t="inlineStr">
        <is>
          <t>Cái</t>
        </is>
      </c>
      <c r="G121" s="2" t="n">
        <v>1</v>
      </c>
      <c r="H121" s="2">
        <f>SUMIF('01_BOC_TACH_ONG'!B:B, B121, '01_BOC_TACH_ONG'!K:K)</f>
        <v/>
      </c>
      <c r="I121" s="2">
        <f>SUMIF('02_BOC_TACH_CUA'!B:B, B121, '02_BOC_TACH_CUA'!K:K)</f>
        <v/>
      </c>
      <c r="J121" s="2">
        <f>SUMIF('03_BOC_TACH_VAN'!B:B, B121, '03_BOC_TACH_VAN'!K:K)</f>
        <v/>
      </c>
      <c r="K121" s="2">
        <f>SUM(H121:J121)</f>
        <v/>
      </c>
      <c r="L121" s="2">
        <f>K121*0.25</f>
        <v/>
      </c>
      <c r="M121" s="2">
        <f>K121*0.10</f>
        <v/>
      </c>
      <c r="N121" s="2">
        <f>K121+L121+M121</f>
        <v/>
      </c>
      <c r="O121" s="2">
        <f>IF(G121&gt;0, N121/G121, 0)</f>
        <v/>
      </c>
      <c r="P121" s="3" t="n">
        <v>0.18</v>
      </c>
      <c r="Q121" s="2">
        <f>O121*(1+P121)</f>
        <v/>
      </c>
      <c r="R121" s="2">
        <f>G121*Q121</f>
        <v/>
      </c>
    </row>
    <row r="122">
      <c r="A122" t="n">
        <v>121</v>
      </c>
      <c r="B122" t="inlineStr">
        <is>
          <t>SW-DAMPER-121</t>
        </is>
      </c>
      <c r="C122" t="inlineStr">
        <is>
          <t>VAN GIÓ</t>
        </is>
      </c>
      <c r="D122" t="inlineStr">
        <is>
          <t>Van điều chỉnh lưu lượng VCD - Kích thước 950x500</t>
        </is>
      </c>
      <c r="E122" t="inlineStr">
        <is>
          <t>950x500</t>
        </is>
      </c>
      <c r="F122" t="inlineStr">
        <is>
          <t>Cái</t>
        </is>
      </c>
      <c r="G122" s="2" t="n">
        <v>1</v>
      </c>
      <c r="H122" s="2">
        <f>SUMIF('01_BOC_TACH_ONG'!B:B, B122, '01_BOC_TACH_ONG'!K:K)</f>
        <v/>
      </c>
      <c r="I122" s="2">
        <f>SUMIF('02_BOC_TACH_CUA'!B:B, B122, '02_BOC_TACH_CUA'!K:K)</f>
        <v/>
      </c>
      <c r="J122" s="2">
        <f>SUMIF('03_BOC_TACH_VAN'!B:B, B122, '03_BOC_TACH_VAN'!K:K)</f>
        <v/>
      </c>
      <c r="K122" s="2">
        <f>SUM(H122:J122)</f>
        <v/>
      </c>
      <c r="L122" s="2">
        <f>K122*0.25</f>
        <v/>
      </c>
      <c r="M122" s="2">
        <f>K122*0.10</f>
        <v/>
      </c>
      <c r="N122" s="2">
        <f>K122+L122+M122</f>
        <v/>
      </c>
      <c r="O122" s="2">
        <f>IF(G122&gt;0, N122/G122, 0)</f>
        <v/>
      </c>
      <c r="P122" s="3" t="n">
        <v>0.18</v>
      </c>
      <c r="Q122" s="2">
        <f>O122*(1+P122)</f>
        <v/>
      </c>
      <c r="R122" s="2">
        <f>G122*Q122</f>
        <v/>
      </c>
    </row>
    <row r="123">
      <c r="A123" t="n">
        <v>122</v>
      </c>
      <c r="B123" t="inlineStr">
        <is>
          <t>SW-DAMPER-122</t>
        </is>
      </c>
      <c r="C123" t="inlineStr">
        <is>
          <t>VAN GIÓ</t>
        </is>
      </c>
      <c r="D123" t="inlineStr">
        <is>
          <t>Van điều chỉnh lưu lượng VCD - Kích thước 1000x1000</t>
        </is>
      </c>
      <c r="E123" t="inlineStr">
        <is>
          <t>1000x1000</t>
        </is>
      </c>
      <c r="F123" t="inlineStr">
        <is>
          <t>Cái</t>
        </is>
      </c>
      <c r="G123" s="2" t="n">
        <v>2</v>
      </c>
      <c r="H123" s="2">
        <f>SUMIF('01_BOC_TACH_ONG'!B:B, B123, '01_BOC_TACH_ONG'!K:K)</f>
        <v/>
      </c>
      <c r="I123" s="2">
        <f>SUMIF('02_BOC_TACH_CUA'!B:B, B123, '02_BOC_TACH_CUA'!K:K)</f>
        <v/>
      </c>
      <c r="J123" s="2">
        <f>SUMIF('03_BOC_TACH_VAN'!B:B, B123, '03_BOC_TACH_VAN'!K:K)</f>
        <v/>
      </c>
      <c r="K123" s="2">
        <f>SUM(H123:J123)</f>
        <v/>
      </c>
      <c r="L123" s="2">
        <f>K123*0.25</f>
        <v/>
      </c>
      <c r="M123" s="2">
        <f>K123*0.10</f>
        <v/>
      </c>
      <c r="N123" s="2">
        <f>K123+L123+M123</f>
        <v/>
      </c>
      <c r="O123" s="2">
        <f>IF(G123&gt;0, N123/G123, 0)</f>
        <v/>
      </c>
      <c r="P123" s="3" t="n">
        <v>0.18</v>
      </c>
      <c r="Q123" s="2">
        <f>O123*(1+P123)</f>
        <v/>
      </c>
      <c r="R123" s="2">
        <f>G123*Q123</f>
        <v/>
      </c>
    </row>
    <row r="124">
      <c r="A124" t="n">
        <v>123</v>
      </c>
      <c r="B124" t="inlineStr">
        <is>
          <t>SW-DAMPER-123</t>
        </is>
      </c>
      <c r="C124" t="inlineStr">
        <is>
          <t>VAN GIÓ</t>
        </is>
      </c>
      <c r="D124" t="inlineStr">
        <is>
          <t>Van điều chỉnh lưu lượng VCD - Kích thước 1900x600</t>
        </is>
      </c>
      <c r="E124" t="inlineStr">
        <is>
          <t>1900x600</t>
        </is>
      </c>
      <c r="F124" t="inlineStr">
        <is>
          <t>Cái</t>
        </is>
      </c>
      <c r="G124" s="2" t="n">
        <v>1</v>
      </c>
      <c r="H124" s="2">
        <f>SUMIF('01_BOC_TACH_ONG'!B:B, B124, '01_BOC_TACH_ONG'!K:K)</f>
        <v/>
      </c>
      <c r="I124" s="2">
        <f>SUMIF('02_BOC_TACH_CUA'!B:B, B124, '02_BOC_TACH_CUA'!K:K)</f>
        <v/>
      </c>
      <c r="J124" s="2">
        <f>SUMIF('03_BOC_TACH_VAN'!B:B, B124, '03_BOC_TACH_VAN'!K:K)</f>
        <v/>
      </c>
      <c r="K124" s="2">
        <f>SUM(H124:J124)</f>
        <v/>
      </c>
      <c r="L124" s="2">
        <f>K124*0.25</f>
        <v/>
      </c>
      <c r="M124" s="2">
        <f>K124*0.10</f>
        <v/>
      </c>
      <c r="N124" s="2">
        <f>K124+L124+M124</f>
        <v/>
      </c>
      <c r="O124" s="2">
        <f>IF(G124&gt;0, N124/G124, 0)</f>
        <v/>
      </c>
      <c r="P124" s="3" t="n">
        <v>0.18</v>
      </c>
      <c r="Q124" s="2">
        <f>O124*(1+P124)</f>
        <v/>
      </c>
      <c r="R124" s="2">
        <f>G124*Q124</f>
        <v/>
      </c>
    </row>
    <row r="125">
      <c r="A125" t="n">
        <v>124</v>
      </c>
      <c r="B125" t="inlineStr">
        <is>
          <t>SW-DAMPER-124</t>
        </is>
      </c>
      <c r="C125" t="inlineStr">
        <is>
          <t>VAN GIÓ</t>
        </is>
      </c>
      <c r="D125" t="inlineStr">
        <is>
          <t>Van chặn lửa FD EI45 - Kích thước 150x100</t>
        </is>
      </c>
      <c r="E125" t="inlineStr">
        <is>
          <t>150x150</t>
        </is>
      </c>
      <c r="F125" t="inlineStr">
        <is>
          <t>Cái</t>
        </is>
      </c>
      <c r="G125" s="2" t="n">
        <v>76</v>
      </c>
      <c r="H125" s="2">
        <f>SUMIF('01_BOC_TACH_ONG'!B:B, B125, '01_BOC_TACH_ONG'!K:K)</f>
        <v/>
      </c>
      <c r="I125" s="2">
        <f>SUMIF('02_BOC_TACH_CUA'!B:B, B125, '02_BOC_TACH_CUA'!K:K)</f>
        <v/>
      </c>
      <c r="J125" s="2">
        <f>SUMIF('03_BOC_TACH_VAN'!B:B, B125, '03_BOC_TACH_VAN'!K:K)</f>
        <v/>
      </c>
      <c r="K125" s="2">
        <f>SUM(H125:J125)</f>
        <v/>
      </c>
      <c r="L125" s="2">
        <f>K125*0.25</f>
        <v/>
      </c>
      <c r="M125" s="2">
        <f>K125*0.10</f>
        <v/>
      </c>
      <c r="N125" s="2">
        <f>K125+L125+M125</f>
        <v/>
      </c>
      <c r="O125" s="2">
        <f>IF(G125&gt;0, N125/G125, 0)</f>
        <v/>
      </c>
      <c r="P125" s="3" t="n">
        <v>0.18</v>
      </c>
      <c r="Q125" s="2">
        <f>O125*(1+P125)</f>
        <v/>
      </c>
      <c r="R125" s="2">
        <f>G125*Q125</f>
        <v/>
      </c>
    </row>
    <row r="126">
      <c r="A126" t="n">
        <v>125</v>
      </c>
      <c r="B126" t="inlineStr">
        <is>
          <t>SW-DAMPER-125</t>
        </is>
      </c>
      <c r="C126" t="inlineStr">
        <is>
          <t>VAN GIÓ</t>
        </is>
      </c>
      <c r="D126" t="inlineStr">
        <is>
          <t>Van chặn lửa FD EI45 - Kích thước 150x150</t>
        </is>
      </c>
      <c r="E126" t="inlineStr">
        <is>
          <t>150x150</t>
        </is>
      </c>
      <c r="F126" t="inlineStr">
        <is>
          <t>Cái</t>
        </is>
      </c>
      <c r="G126" s="2" t="n">
        <v>23</v>
      </c>
      <c r="H126" s="2">
        <f>SUMIF('01_BOC_TACH_ONG'!B:B, B126, '01_BOC_TACH_ONG'!K:K)</f>
        <v/>
      </c>
      <c r="I126" s="2">
        <f>SUMIF('02_BOC_TACH_CUA'!B:B, B126, '02_BOC_TACH_CUA'!K:K)</f>
        <v/>
      </c>
      <c r="J126" s="2">
        <f>SUMIF('03_BOC_TACH_VAN'!B:B, B126, '03_BOC_TACH_VAN'!K:K)</f>
        <v/>
      </c>
      <c r="K126" s="2">
        <f>SUM(H126:J126)</f>
        <v/>
      </c>
      <c r="L126" s="2">
        <f>K126*0.25</f>
        <v/>
      </c>
      <c r="M126" s="2">
        <f>K126*0.10</f>
        <v/>
      </c>
      <c r="N126" s="2">
        <f>K126+L126+M126</f>
        <v/>
      </c>
      <c r="O126" s="2">
        <f>IF(G126&gt;0, N126/G126, 0)</f>
        <v/>
      </c>
      <c r="P126" s="3" t="n">
        <v>0.18</v>
      </c>
      <c r="Q126" s="2">
        <f>O126*(1+P126)</f>
        <v/>
      </c>
      <c r="R126" s="2">
        <f>G126*Q126</f>
        <v/>
      </c>
    </row>
    <row r="127">
      <c r="A127" t="n">
        <v>126</v>
      </c>
      <c r="B127" t="inlineStr">
        <is>
          <t>SW-DAMPER-126</t>
        </is>
      </c>
      <c r="C127" t="inlineStr">
        <is>
          <t>VAN GIÓ</t>
        </is>
      </c>
      <c r="D127" t="inlineStr">
        <is>
          <t>Van chặn lửa FD EI45 - Kích thước 200x100</t>
        </is>
      </c>
      <c r="E127" t="inlineStr">
        <is>
          <t>200x150</t>
        </is>
      </c>
      <c r="F127" t="inlineStr">
        <is>
          <t>Cái</t>
        </is>
      </c>
      <c r="G127" s="2" t="n">
        <v>29</v>
      </c>
      <c r="H127" s="2">
        <f>SUMIF('01_BOC_TACH_ONG'!B:B, B127, '01_BOC_TACH_ONG'!K:K)</f>
        <v/>
      </c>
      <c r="I127" s="2">
        <f>SUMIF('02_BOC_TACH_CUA'!B:B, B127, '02_BOC_TACH_CUA'!K:K)</f>
        <v/>
      </c>
      <c r="J127" s="2">
        <f>SUMIF('03_BOC_TACH_VAN'!B:B, B127, '03_BOC_TACH_VAN'!K:K)</f>
        <v/>
      </c>
      <c r="K127" s="2">
        <f>SUM(H127:J127)</f>
        <v/>
      </c>
      <c r="L127" s="2">
        <f>K127*0.25</f>
        <v/>
      </c>
      <c r="M127" s="2">
        <f>K127*0.10</f>
        <v/>
      </c>
      <c r="N127" s="2">
        <f>K127+L127+M127</f>
        <v/>
      </c>
      <c r="O127" s="2">
        <f>IF(G127&gt;0, N127/G127, 0)</f>
        <v/>
      </c>
      <c r="P127" s="3" t="n">
        <v>0.18</v>
      </c>
      <c r="Q127" s="2">
        <f>O127*(1+P127)</f>
        <v/>
      </c>
      <c r="R127" s="2">
        <f>G127*Q127</f>
        <v/>
      </c>
    </row>
    <row r="128">
      <c r="A128" t="n">
        <v>127</v>
      </c>
      <c r="B128" t="inlineStr">
        <is>
          <t>SW-DAMPER-127</t>
        </is>
      </c>
      <c r="C128" t="inlineStr">
        <is>
          <t>VAN GIÓ</t>
        </is>
      </c>
      <c r="D128" t="inlineStr">
        <is>
          <t>Van chặn lửa FD EI45 - Kích thước 200x150</t>
        </is>
      </c>
      <c r="E128" t="inlineStr">
        <is>
          <t>200x150</t>
        </is>
      </c>
      <c r="F128" t="inlineStr">
        <is>
          <t>Cái</t>
        </is>
      </c>
      <c r="G128" s="2" t="n">
        <v>21</v>
      </c>
      <c r="H128" s="2">
        <f>SUMIF('01_BOC_TACH_ONG'!B:B, B128, '01_BOC_TACH_ONG'!K:K)</f>
        <v/>
      </c>
      <c r="I128" s="2">
        <f>SUMIF('02_BOC_TACH_CUA'!B:B, B128, '02_BOC_TACH_CUA'!K:K)</f>
        <v/>
      </c>
      <c r="J128" s="2">
        <f>SUMIF('03_BOC_TACH_VAN'!B:B, B128, '03_BOC_TACH_VAN'!K:K)</f>
        <v/>
      </c>
      <c r="K128" s="2">
        <f>SUM(H128:J128)</f>
        <v/>
      </c>
      <c r="L128" s="2">
        <f>K128*0.25</f>
        <v/>
      </c>
      <c r="M128" s="2">
        <f>K128*0.10</f>
        <v/>
      </c>
      <c r="N128" s="2">
        <f>K128+L128+M128</f>
        <v/>
      </c>
      <c r="O128" s="2">
        <f>IF(G128&gt;0, N128/G128, 0)</f>
        <v/>
      </c>
      <c r="P128" s="3" t="n">
        <v>0.18</v>
      </c>
      <c r="Q128" s="2">
        <f>O128*(1+P128)</f>
        <v/>
      </c>
      <c r="R128" s="2">
        <f>G128*Q128</f>
        <v/>
      </c>
    </row>
    <row r="129">
      <c r="A129" t="n">
        <v>128</v>
      </c>
      <c r="B129" t="inlineStr">
        <is>
          <t>SW-DAMPER-128</t>
        </is>
      </c>
      <c r="C129" t="inlineStr">
        <is>
          <t>VAN GIÓ</t>
        </is>
      </c>
      <c r="D129" t="inlineStr">
        <is>
          <t>Van chặn lửa FD EI45 - Kích thước 200x200</t>
        </is>
      </c>
      <c r="E129" t="inlineStr">
        <is>
          <t>200x200</t>
        </is>
      </c>
      <c r="F129" t="inlineStr">
        <is>
          <t>Cái</t>
        </is>
      </c>
      <c r="G129" s="2" t="n">
        <v>2</v>
      </c>
      <c r="H129" s="2">
        <f>SUMIF('01_BOC_TACH_ONG'!B:B, B129, '01_BOC_TACH_ONG'!K:K)</f>
        <v/>
      </c>
      <c r="I129" s="2">
        <f>SUMIF('02_BOC_TACH_CUA'!B:B, B129, '02_BOC_TACH_CUA'!K:K)</f>
        <v/>
      </c>
      <c r="J129" s="2">
        <f>SUMIF('03_BOC_TACH_VAN'!B:B, B129, '03_BOC_TACH_VAN'!K:K)</f>
        <v/>
      </c>
      <c r="K129" s="2">
        <f>SUM(H129:J129)</f>
        <v/>
      </c>
      <c r="L129" s="2">
        <f>K129*0.25</f>
        <v/>
      </c>
      <c r="M129" s="2">
        <f>K129*0.10</f>
        <v/>
      </c>
      <c r="N129" s="2">
        <f>K129+L129+M129</f>
        <v/>
      </c>
      <c r="O129" s="2">
        <f>IF(G129&gt;0, N129/G129, 0)</f>
        <v/>
      </c>
      <c r="P129" s="3" t="n">
        <v>0.18</v>
      </c>
      <c r="Q129" s="2">
        <f>O129*(1+P129)</f>
        <v/>
      </c>
      <c r="R129" s="2">
        <f>G129*Q129</f>
        <v/>
      </c>
    </row>
    <row r="130">
      <c r="A130" t="n">
        <v>129</v>
      </c>
      <c r="B130" t="inlineStr">
        <is>
          <t>SW-DAMPER-129</t>
        </is>
      </c>
      <c r="C130" t="inlineStr">
        <is>
          <t>VAN GIÓ</t>
        </is>
      </c>
      <c r="D130" t="inlineStr">
        <is>
          <t>Van chặn lửa FD EI45 - Kích thước 250x150</t>
        </is>
      </c>
      <c r="E130" t="inlineStr">
        <is>
          <t>250x150</t>
        </is>
      </c>
      <c r="F130" t="inlineStr">
        <is>
          <t>Cái</t>
        </is>
      </c>
      <c r="G130" s="2" t="n">
        <v>3</v>
      </c>
      <c r="H130" s="2">
        <f>SUMIF('01_BOC_TACH_ONG'!B:B, B130, '01_BOC_TACH_ONG'!K:K)</f>
        <v/>
      </c>
      <c r="I130" s="2">
        <f>SUMIF('02_BOC_TACH_CUA'!B:B, B130, '02_BOC_TACH_CUA'!K:K)</f>
        <v/>
      </c>
      <c r="J130" s="2">
        <f>SUMIF('03_BOC_TACH_VAN'!B:B, B130, '03_BOC_TACH_VAN'!K:K)</f>
        <v/>
      </c>
      <c r="K130" s="2">
        <f>SUM(H130:J130)</f>
        <v/>
      </c>
      <c r="L130" s="2">
        <f>K130*0.25</f>
        <v/>
      </c>
      <c r="M130" s="2">
        <f>K130*0.10</f>
        <v/>
      </c>
      <c r="N130" s="2">
        <f>K130+L130+M130</f>
        <v/>
      </c>
      <c r="O130" s="2">
        <f>IF(G130&gt;0, N130/G130, 0)</f>
        <v/>
      </c>
      <c r="P130" s="3" t="n">
        <v>0.18</v>
      </c>
      <c r="Q130" s="2">
        <f>O130*(1+P130)</f>
        <v/>
      </c>
      <c r="R130" s="2">
        <f>G130*Q130</f>
        <v/>
      </c>
    </row>
    <row r="131">
      <c r="A131" t="n">
        <v>130</v>
      </c>
      <c r="B131" t="inlineStr">
        <is>
          <t>SW-DAMPER-130</t>
        </is>
      </c>
      <c r="C131" t="inlineStr">
        <is>
          <t>VAN GIÓ</t>
        </is>
      </c>
      <c r="D131" t="inlineStr">
        <is>
          <t>Van chặn lửa FD EI45 - Kích thước 300x200</t>
        </is>
      </c>
      <c r="E131" t="inlineStr">
        <is>
          <t>300x200</t>
        </is>
      </c>
      <c r="F131" t="inlineStr">
        <is>
          <t>Cái</t>
        </is>
      </c>
      <c r="G131" s="2" t="n">
        <v>8</v>
      </c>
      <c r="H131" s="2">
        <f>SUMIF('01_BOC_TACH_ONG'!B:B, B131, '01_BOC_TACH_ONG'!K:K)</f>
        <v/>
      </c>
      <c r="I131" s="2">
        <f>SUMIF('02_BOC_TACH_CUA'!B:B, B131, '02_BOC_TACH_CUA'!K:K)</f>
        <v/>
      </c>
      <c r="J131" s="2">
        <f>SUMIF('03_BOC_TACH_VAN'!B:B, B131, '03_BOC_TACH_VAN'!K:K)</f>
        <v/>
      </c>
      <c r="K131" s="2">
        <f>SUM(H131:J131)</f>
        <v/>
      </c>
      <c r="L131" s="2">
        <f>K131*0.25</f>
        <v/>
      </c>
      <c r="M131" s="2">
        <f>K131*0.10</f>
        <v/>
      </c>
      <c r="N131" s="2">
        <f>K131+L131+M131</f>
        <v/>
      </c>
      <c r="O131" s="2">
        <f>IF(G131&gt;0, N131/G131, 0)</f>
        <v/>
      </c>
      <c r="P131" s="3" t="n">
        <v>0.18</v>
      </c>
      <c r="Q131" s="2">
        <f>O131*(1+P131)</f>
        <v/>
      </c>
      <c r="R131" s="2">
        <f>G131*Q131</f>
        <v/>
      </c>
    </row>
    <row r="132">
      <c r="A132" t="n">
        <v>131</v>
      </c>
      <c r="B132" t="inlineStr">
        <is>
          <t>SW-DAMPER-131</t>
        </is>
      </c>
      <c r="C132" t="inlineStr">
        <is>
          <t>VAN GIÓ</t>
        </is>
      </c>
      <c r="D132" t="inlineStr">
        <is>
          <t>Van chặn lửa FD EI45 - Kích thước 300x250</t>
        </is>
      </c>
      <c r="E132" t="inlineStr">
        <is>
          <t>300x250</t>
        </is>
      </c>
      <c r="F132" t="inlineStr">
        <is>
          <t>Cái</t>
        </is>
      </c>
      <c r="G132" s="2" t="n">
        <v>3</v>
      </c>
      <c r="H132" s="2">
        <f>SUMIF('01_BOC_TACH_ONG'!B:B, B132, '01_BOC_TACH_ONG'!K:K)</f>
        <v/>
      </c>
      <c r="I132" s="2">
        <f>SUMIF('02_BOC_TACH_CUA'!B:B, B132, '02_BOC_TACH_CUA'!K:K)</f>
        <v/>
      </c>
      <c r="J132" s="2">
        <f>SUMIF('03_BOC_TACH_VAN'!B:B, B132, '03_BOC_TACH_VAN'!K:K)</f>
        <v/>
      </c>
      <c r="K132" s="2">
        <f>SUM(H132:J132)</f>
        <v/>
      </c>
      <c r="L132" s="2">
        <f>K132*0.25</f>
        <v/>
      </c>
      <c r="M132" s="2">
        <f>K132*0.10</f>
        <v/>
      </c>
      <c r="N132" s="2">
        <f>K132+L132+M132</f>
        <v/>
      </c>
      <c r="O132" s="2">
        <f>IF(G132&gt;0, N132/G132, 0)</f>
        <v/>
      </c>
      <c r="P132" s="3" t="n">
        <v>0.18</v>
      </c>
      <c r="Q132" s="2">
        <f>O132*(1+P132)</f>
        <v/>
      </c>
      <c r="R132" s="2">
        <f>G132*Q132</f>
        <v/>
      </c>
    </row>
    <row r="133">
      <c r="A133" t="n">
        <v>132</v>
      </c>
      <c r="B133" t="inlineStr">
        <is>
          <t>SW-DAMPER-132</t>
        </is>
      </c>
      <c r="C133" t="inlineStr">
        <is>
          <t>VAN GIÓ</t>
        </is>
      </c>
      <c r="D133" t="inlineStr">
        <is>
          <t>Van chặn lửa FD EI45 - Kích thước 350x150</t>
        </is>
      </c>
      <c r="E133" t="inlineStr">
        <is>
          <t>350x150</t>
        </is>
      </c>
      <c r="F133" t="inlineStr">
        <is>
          <t>Cái</t>
        </is>
      </c>
      <c r="G133" s="2" t="n">
        <v>2</v>
      </c>
      <c r="H133" s="2">
        <f>SUMIF('01_BOC_TACH_ONG'!B:B, B133, '01_BOC_TACH_ONG'!K:K)</f>
        <v/>
      </c>
      <c r="I133" s="2">
        <f>SUMIF('02_BOC_TACH_CUA'!B:B, B133, '02_BOC_TACH_CUA'!K:K)</f>
        <v/>
      </c>
      <c r="J133" s="2">
        <f>SUMIF('03_BOC_TACH_VAN'!B:B, B133, '03_BOC_TACH_VAN'!K:K)</f>
        <v/>
      </c>
      <c r="K133" s="2">
        <f>SUM(H133:J133)</f>
        <v/>
      </c>
      <c r="L133" s="2">
        <f>K133*0.25</f>
        <v/>
      </c>
      <c r="M133" s="2">
        <f>K133*0.10</f>
        <v/>
      </c>
      <c r="N133" s="2">
        <f>K133+L133+M133</f>
        <v/>
      </c>
      <c r="O133" s="2">
        <f>IF(G133&gt;0, N133/G133, 0)</f>
        <v/>
      </c>
      <c r="P133" s="3" t="n">
        <v>0.18</v>
      </c>
      <c r="Q133" s="2">
        <f>O133*(1+P133)</f>
        <v/>
      </c>
      <c r="R133" s="2">
        <f>G133*Q133</f>
        <v/>
      </c>
    </row>
    <row r="134">
      <c r="A134" t="n">
        <v>133</v>
      </c>
      <c r="B134" t="inlineStr">
        <is>
          <t>SW-DAMPER-133</t>
        </is>
      </c>
      <c r="C134" t="inlineStr">
        <is>
          <t>VAN GIÓ</t>
        </is>
      </c>
      <c r="D134" t="inlineStr">
        <is>
          <t>Van chặn lửa FD EI45 - Kích thước 350x200</t>
        </is>
      </c>
      <c r="E134" t="inlineStr">
        <is>
          <t>350x200</t>
        </is>
      </c>
      <c r="F134" t="inlineStr">
        <is>
          <t>Cái</t>
        </is>
      </c>
      <c r="G134" s="2" t="n">
        <v>1</v>
      </c>
      <c r="H134" s="2">
        <f>SUMIF('01_BOC_TACH_ONG'!B:B, B134, '01_BOC_TACH_ONG'!K:K)</f>
        <v/>
      </c>
      <c r="I134" s="2">
        <f>SUMIF('02_BOC_TACH_CUA'!B:B, B134, '02_BOC_TACH_CUA'!K:K)</f>
        <v/>
      </c>
      <c r="J134" s="2">
        <f>SUMIF('03_BOC_TACH_VAN'!B:B, B134, '03_BOC_TACH_VAN'!K:K)</f>
        <v/>
      </c>
      <c r="K134" s="2">
        <f>SUM(H134:J134)</f>
        <v/>
      </c>
      <c r="L134" s="2">
        <f>K134*0.25</f>
        <v/>
      </c>
      <c r="M134" s="2">
        <f>K134*0.10</f>
        <v/>
      </c>
      <c r="N134" s="2">
        <f>K134+L134+M134</f>
        <v/>
      </c>
      <c r="O134" s="2">
        <f>IF(G134&gt;0, N134/G134, 0)</f>
        <v/>
      </c>
      <c r="P134" s="3" t="n">
        <v>0.18</v>
      </c>
      <c r="Q134" s="2">
        <f>O134*(1+P134)</f>
        <v/>
      </c>
      <c r="R134" s="2">
        <f>G134*Q134</f>
        <v/>
      </c>
    </row>
    <row r="135">
      <c r="A135" t="n">
        <v>134</v>
      </c>
      <c r="B135" t="inlineStr">
        <is>
          <t>SW-DAMPER-134</t>
        </is>
      </c>
      <c r="C135" t="inlineStr">
        <is>
          <t>VAN GIÓ</t>
        </is>
      </c>
      <c r="D135" t="inlineStr">
        <is>
          <t>Van chặn lửa FD EI45 - Kích thước 350x250</t>
        </is>
      </c>
      <c r="E135" t="inlineStr">
        <is>
          <t>350x250</t>
        </is>
      </c>
      <c r="F135" t="inlineStr">
        <is>
          <t>Cái</t>
        </is>
      </c>
      <c r="G135" s="2" t="n">
        <v>4</v>
      </c>
      <c r="H135" s="2">
        <f>SUMIF('01_BOC_TACH_ONG'!B:B, B135, '01_BOC_TACH_ONG'!K:K)</f>
        <v/>
      </c>
      <c r="I135" s="2">
        <f>SUMIF('02_BOC_TACH_CUA'!B:B, B135, '02_BOC_TACH_CUA'!K:K)</f>
        <v/>
      </c>
      <c r="J135" s="2">
        <f>SUMIF('03_BOC_TACH_VAN'!B:B, B135, '03_BOC_TACH_VAN'!K:K)</f>
        <v/>
      </c>
      <c r="K135" s="2">
        <f>SUM(H135:J135)</f>
        <v/>
      </c>
      <c r="L135" s="2">
        <f>K135*0.25</f>
        <v/>
      </c>
      <c r="M135" s="2">
        <f>K135*0.10</f>
        <v/>
      </c>
      <c r="N135" s="2">
        <f>K135+L135+M135</f>
        <v/>
      </c>
      <c r="O135" s="2">
        <f>IF(G135&gt;0, N135/G135, 0)</f>
        <v/>
      </c>
      <c r="P135" s="3" t="n">
        <v>0.18</v>
      </c>
      <c r="Q135" s="2">
        <f>O135*(1+P135)</f>
        <v/>
      </c>
      <c r="R135" s="2">
        <f>G135*Q135</f>
        <v/>
      </c>
    </row>
    <row r="136">
      <c r="A136" t="n">
        <v>135</v>
      </c>
      <c r="B136" t="inlineStr">
        <is>
          <t>SW-DAMPER-135</t>
        </is>
      </c>
      <c r="C136" t="inlineStr">
        <is>
          <t>VAN GIÓ</t>
        </is>
      </c>
      <c r="D136" t="inlineStr">
        <is>
          <t>Van chặn lửa FD EI45 - Kích thước 350x300</t>
        </is>
      </c>
      <c r="E136" t="inlineStr">
        <is>
          <t>350x300</t>
        </is>
      </c>
      <c r="F136" t="inlineStr">
        <is>
          <t>Cái</t>
        </is>
      </c>
      <c r="G136" s="2" t="n">
        <v>2</v>
      </c>
      <c r="H136" s="2">
        <f>SUMIF('01_BOC_TACH_ONG'!B:B, B136, '01_BOC_TACH_ONG'!K:K)</f>
        <v/>
      </c>
      <c r="I136" s="2">
        <f>SUMIF('02_BOC_TACH_CUA'!B:B, B136, '02_BOC_TACH_CUA'!K:K)</f>
        <v/>
      </c>
      <c r="J136" s="2">
        <f>SUMIF('03_BOC_TACH_VAN'!B:B, B136, '03_BOC_TACH_VAN'!K:K)</f>
        <v/>
      </c>
      <c r="K136" s="2">
        <f>SUM(H136:J136)</f>
        <v/>
      </c>
      <c r="L136" s="2">
        <f>K136*0.25</f>
        <v/>
      </c>
      <c r="M136" s="2">
        <f>K136*0.10</f>
        <v/>
      </c>
      <c r="N136" s="2">
        <f>K136+L136+M136</f>
        <v/>
      </c>
      <c r="O136" s="2">
        <f>IF(G136&gt;0, N136/G136, 0)</f>
        <v/>
      </c>
      <c r="P136" s="3" t="n">
        <v>0.18</v>
      </c>
      <c r="Q136" s="2">
        <f>O136*(1+P136)</f>
        <v/>
      </c>
      <c r="R136" s="2">
        <f>G136*Q136</f>
        <v/>
      </c>
    </row>
    <row r="137">
      <c r="A137" t="n">
        <v>136</v>
      </c>
      <c r="B137" t="inlineStr">
        <is>
          <t>SW-DAMPER-136</t>
        </is>
      </c>
      <c r="C137" t="inlineStr">
        <is>
          <t>VAN GIÓ</t>
        </is>
      </c>
      <c r="D137" t="inlineStr">
        <is>
          <t>Van chặn lửa FD EI45 - Kích thước 400x200</t>
        </is>
      </c>
      <c r="E137" t="inlineStr">
        <is>
          <t>400x200</t>
        </is>
      </c>
      <c r="F137" t="inlineStr">
        <is>
          <t>Cái</t>
        </is>
      </c>
      <c r="G137" s="2" t="n">
        <v>3</v>
      </c>
      <c r="H137" s="2">
        <f>SUMIF('01_BOC_TACH_ONG'!B:B, B137, '01_BOC_TACH_ONG'!K:K)</f>
        <v/>
      </c>
      <c r="I137" s="2">
        <f>SUMIF('02_BOC_TACH_CUA'!B:B, B137, '02_BOC_TACH_CUA'!K:K)</f>
        <v/>
      </c>
      <c r="J137" s="2">
        <f>SUMIF('03_BOC_TACH_VAN'!B:B, B137, '03_BOC_TACH_VAN'!K:K)</f>
        <v/>
      </c>
      <c r="K137" s="2">
        <f>SUM(H137:J137)</f>
        <v/>
      </c>
      <c r="L137" s="2">
        <f>K137*0.25</f>
        <v/>
      </c>
      <c r="M137" s="2">
        <f>K137*0.10</f>
        <v/>
      </c>
      <c r="N137" s="2">
        <f>K137+L137+M137</f>
        <v/>
      </c>
      <c r="O137" s="2">
        <f>IF(G137&gt;0, N137/G137, 0)</f>
        <v/>
      </c>
      <c r="P137" s="3" t="n">
        <v>0.18</v>
      </c>
      <c r="Q137" s="2">
        <f>O137*(1+P137)</f>
        <v/>
      </c>
      <c r="R137" s="2">
        <f>G137*Q137</f>
        <v/>
      </c>
    </row>
    <row r="138">
      <c r="A138" t="n">
        <v>137</v>
      </c>
      <c r="B138" t="inlineStr">
        <is>
          <t>SW-DAMPER-137</t>
        </is>
      </c>
      <c r="C138" t="inlineStr">
        <is>
          <t>VAN GIÓ</t>
        </is>
      </c>
      <c r="D138" t="inlineStr">
        <is>
          <t>Van chặn lửa FD EI45 - Kích thước 400x250</t>
        </is>
      </c>
      <c r="E138" t="inlineStr">
        <is>
          <t>400x250</t>
        </is>
      </c>
      <c r="F138" t="inlineStr">
        <is>
          <t>Cái</t>
        </is>
      </c>
      <c r="G138" s="2" t="n">
        <v>4</v>
      </c>
      <c r="H138" s="2">
        <f>SUMIF('01_BOC_TACH_ONG'!B:B, B138, '01_BOC_TACH_ONG'!K:K)</f>
        <v/>
      </c>
      <c r="I138" s="2">
        <f>SUMIF('02_BOC_TACH_CUA'!B:B, B138, '02_BOC_TACH_CUA'!K:K)</f>
        <v/>
      </c>
      <c r="J138" s="2">
        <f>SUMIF('03_BOC_TACH_VAN'!B:B, B138, '03_BOC_TACH_VAN'!K:K)</f>
        <v/>
      </c>
      <c r="K138" s="2">
        <f>SUM(H138:J138)</f>
        <v/>
      </c>
      <c r="L138" s="2">
        <f>K138*0.25</f>
        <v/>
      </c>
      <c r="M138" s="2">
        <f>K138*0.10</f>
        <v/>
      </c>
      <c r="N138" s="2">
        <f>K138+L138+M138</f>
        <v/>
      </c>
      <c r="O138" s="2">
        <f>IF(G138&gt;0, N138/G138, 0)</f>
        <v/>
      </c>
      <c r="P138" s="3" t="n">
        <v>0.18</v>
      </c>
      <c r="Q138" s="2">
        <f>O138*(1+P138)</f>
        <v/>
      </c>
      <c r="R138" s="2">
        <f>G138*Q138</f>
        <v/>
      </c>
    </row>
    <row r="139">
      <c r="A139" t="n">
        <v>138</v>
      </c>
      <c r="B139" t="inlineStr">
        <is>
          <t>SW-DAMPER-138</t>
        </is>
      </c>
      <c r="C139" t="inlineStr">
        <is>
          <t>VAN GIÓ</t>
        </is>
      </c>
      <c r="D139" t="inlineStr">
        <is>
          <t>Van chặn lửa FD EI45 - Kích thước 400x300</t>
        </is>
      </c>
      <c r="E139" t="inlineStr">
        <is>
          <t>400x300</t>
        </is>
      </c>
      <c r="F139" t="inlineStr">
        <is>
          <t>Cái</t>
        </is>
      </c>
      <c r="G139" s="2" t="n">
        <v>5</v>
      </c>
      <c r="H139" s="2">
        <f>SUMIF('01_BOC_TACH_ONG'!B:B, B139, '01_BOC_TACH_ONG'!K:K)</f>
        <v/>
      </c>
      <c r="I139" s="2">
        <f>SUMIF('02_BOC_TACH_CUA'!B:B, B139, '02_BOC_TACH_CUA'!K:K)</f>
        <v/>
      </c>
      <c r="J139" s="2">
        <f>SUMIF('03_BOC_TACH_VAN'!B:B, B139, '03_BOC_TACH_VAN'!K:K)</f>
        <v/>
      </c>
      <c r="K139" s="2">
        <f>SUM(H139:J139)</f>
        <v/>
      </c>
      <c r="L139" s="2">
        <f>K139*0.25</f>
        <v/>
      </c>
      <c r="M139" s="2">
        <f>K139*0.10</f>
        <v/>
      </c>
      <c r="N139" s="2">
        <f>K139+L139+M139</f>
        <v/>
      </c>
      <c r="O139" s="2">
        <f>IF(G139&gt;0, N139/G139, 0)</f>
        <v/>
      </c>
      <c r="P139" s="3" t="n">
        <v>0.18</v>
      </c>
      <c r="Q139" s="2">
        <f>O139*(1+P139)</f>
        <v/>
      </c>
      <c r="R139" s="2">
        <f>G139*Q139</f>
        <v/>
      </c>
    </row>
    <row r="140">
      <c r="A140" t="n">
        <v>139</v>
      </c>
      <c r="B140" t="inlineStr">
        <is>
          <t>SW-DAMPER-139</t>
        </is>
      </c>
      <c r="C140" t="inlineStr">
        <is>
          <t>VAN GIÓ</t>
        </is>
      </c>
      <c r="D140" t="inlineStr">
        <is>
          <t>Van chặn lửa FD EI45 - Kích thước 400x350</t>
        </is>
      </c>
      <c r="E140" t="inlineStr">
        <is>
          <t>400x350</t>
        </is>
      </c>
      <c r="F140" t="inlineStr">
        <is>
          <t>Cái</t>
        </is>
      </c>
      <c r="G140" s="2" t="n">
        <v>1</v>
      </c>
      <c r="H140" s="2">
        <f>SUMIF('01_BOC_TACH_ONG'!B:B, B140, '01_BOC_TACH_ONG'!K:K)</f>
        <v/>
      </c>
      <c r="I140" s="2">
        <f>SUMIF('02_BOC_TACH_CUA'!B:B, B140, '02_BOC_TACH_CUA'!K:K)</f>
        <v/>
      </c>
      <c r="J140" s="2">
        <f>SUMIF('03_BOC_TACH_VAN'!B:B, B140, '03_BOC_TACH_VAN'!K:K)</f>
        <v/>
      </c>
      <c r="K140" s="2">
        <f>SUM(H140:J140)</f>
        <v/>
      </c>
      <c r="L140" s="2">
        <f>K140*0.25</f>
        <v/>
      </c>
      <c r="M140" s="2">
        <f>K140*0.10</f>
        <v/>
      </c>
      <c r="N140" s="2">
        <f>K140+L140+M140</f>
        <v/>
      </c>
      <c r="O140" s="2">
        <f>IF(G140&gt;0, N140/G140, 0)</f>
        <v/>
      </c>
      <c r="P140" s="3" t="n">
        <v>0.18</v>
      </c>
      <c r="Q140" s="2">
        <f>O140*(1+P140)</f>
        <v/>
      </c>
      <c r="R140" s="2">
        <f>G140*Q140</f>
        <v/>
      </c>
    </row>
    <row r="141">
      <c r="A141" t="n">
        <v>140</v>
      </c>
      <c r="B141" t="inlineStr">
        <is>
          <t>SW-DAMPER-140</t>
        </is>
      </c>
      <c r="C141" t="inlineStr">
        <is>
          <t>VAN GIÓ</t>
        </is>
      </c>
      <c r="D141" t="inlineStr">
        <is>
          <t>Van chặn lửa FD EI45 - Kích thước 450x350</t>
        </is>
      </c>
      <c r="E141" t="inlineStr">
        <is>
          <t>450x350</t>
        </is>
      </c>
      <c r="F141" t="inlineStr">
        <is>
          <t>Cái</t>
        </is>
      </c>
      <c r="G141" s="2" t="n">
        <v>2</v>
      </c>
      <c r="H141" s="2">
        <f>SUMIF('01_BOC_TACH_ONG'!B:B, B141, '01_BOC_TACH_ONG'!K:K)</f>
        <v/>
      </c>
      <c r="I141" s="2">
        <f>SUMIF('02_BOC_TACH_CUA'!B:B, B141, '02_BOC_TACH_CUA'!K:K)</f>
        <v/>
      </c>
      <c r="J141" s="2">
        <f>SUMIF('03_BOC_TACH_VAN'!B:B, B141, '03_BOC_TACH_VAN'!K:K)</f>
        <v/>
      </c>
      <c r="K141" s="2">
        <f>SUM(H141:J141)</f>
        <v/>
      </c>
      <c r="L141" s="2">
        <f>K141*0.25</f>
        <v/>
      </c>
      <c r="M141" s="2">
        <f>K141*0.10</f>
        <v/>
      </c>
      <c r="N141" s="2">
        <f>K141+L141+M141</f>
        <v/>
      </c>
      <c r="O141" s="2">
        <f>IF(G141&gt;0, N141/G141, 0)</f>
        <v/>
      </c>
      <c r="P141" s="3" t="n">
        <v>0.18</v>
      </c>
      <c r="Q141" s="2">
        <f>O141*(1+P141)</f>
        <v/>
      </c>
      <c r="R141" s="2">
        <f>G141*Q141</f>
        <v/>
      </c>
    </row>
    <row r="142">
      <c r="A142" t="n">
        <v>141</v>
      </c>
      <c r="B142" t="inlineStr">
        <is>
          <t>SW-DAMPER-141</t>
        </is>
      </c>
      <c r="C142" t="inlineStr">
        <is>
          <t>VAN GIÓ</t>
        </is>
      </c>
      <c r="D142" t="inlineStr">
        <is>
          <t>Van chặn lửa FD EI45 - Kích thước 500x250</t>
        </is>
      </c>
      <c r="E142" t="inlineStr">
        <is>
          <t>500x250</t>
        </is>
      </c>
      <c r="F142" t="inlineStr">
        <is>
          <t>Cái</t>
        </is>
      </c>
      <c r="G142" s="2" t="n">
        <v>2</v>
      </c>
      <c r="H142" s="2">
        <f>SUMIF('01_BOC_TACH_ONG'!B:B, B142, '01_BOC_TACH_ONG'!K:K)</f>
        <v/>
      </c>
      <c r="I142" s="2">
        <f>SUMIF('02_BOC_TACH_CUA'!B:B, B142, '02_BOC_TACH_CUA'!K:K)</f>
        <v/>
      </c>
      <c r="J142" s="2">
        <f>SUMIF('03_BOC_TACH_VAN'!B:B, B142, '03_BOC_TACH_VAN'!K:K)</f>
        <v/>
      </c>
      <c r="K142" s="2">
        <f>SUM(H142:J142)</f>
        <v/>
      </c>
      <c r="L142" s="2">
        <f>K142*0.25</f>
        <v/>
      </c>
      <c r="M142" s="2">
        <f>K142*0.10</f>
        <v/>
      </c>
      <c r="N142" s="2">
        <f>K142+L142+M142</f>
        <v/>
      </c>
      <c r="O142" s="2">
        <f>IF(G142&gt;0, N142/G142, 0)</f>
        <v/>
      </c>
      <c r="P142" s="3" t="n">
        <v>0.18</v>
      </c>
      <c r="Q142" s="2">
        <f>O142*(1+P142)</f>
        <v/>
      </c>
      <c r="R142" s="2">
        <f>G142*Q142</f>
        <v/>
      </c>
    </row>
    <row r="143">
      <c r="A143" t="n">
        <v>142</v>
      </c>
      <c r="B143" t="inlineStr">
        <is>
          <t>SW-DAMPER-142</t>
        </is>
      </c>
      <c r="C143" t="inlineStr">
        <is>
          <t>VAN GIÓ</t>
        </is>
      </c>
      <c r="D143" t="inlineStr">
        <is>
          <t>Van chặn lửa FD EI45 - Kích thước 500x300</t>
        </is>
      </c>
      <c r="E143" t="inlineStr">
        <is>
          <t>500x300</t>
        </is>
      </c>
      <c r="F143" t="inlineStr">
        <is>
          <t>Cái</t>
        </is>
      </c>
      <c r="G143" s="2" t="n">
        <v>3</v>
      </c>
      <c r="H143" s="2">
        <f>SUMIF('01_BOC_TACH_ONG'!B:B, B143, '01_BOC_TACH_ONG'!K:K)</f>
        <v/>
      </c>
      <c r="I143" s="2">
        <f>SUMIF('02_BOC_TACH_CUA'!B:B, B143, '02_BOC_TACH_CUA'!K:K)</f>
        <v/>
      </c>
      <c r="J143" s="2">
        <f>SUMIF('03_BOC_TACH_VAN'!B:B, B143, '03_BOC_TACH_VAN'!K:K)</f>
        <v/>
      </c>
      <c r="K143" s="2">
        <f>SUM(H143:J143)</f>
        <v/>
      </c>
      <c r="L143" s="2">
        <f>K143*0.25</f>
        <v/>
      </c>
      <c r="M143" s="2">
        <f>K143*0.10</f>
        <v/>
      </c>
      <c r="N143" s="2">
        <f>K143+L143+M143</f>
        <v/>
      </c>
      <c r="O143" s="2">
        <f>IF(G143&gt;0, N143/G143, 0)</f>
        <v/>
      </c>
      <c r="P143" s="3" t="n">
        <v>0.18</v>
      </c>
      <c r="Q143" s="2">
        <f>O143*(1+P143)</f>
        <v/>
      </c>
      <c r="R143" s="2">
        <f>G143*Q143</f>
        <v/>
      </c>
    </row>
    <row r="144">
      <c r="A144" t="n">
        <v>143</v>
      </c>
      <c r="B144" t="inlineStr">
        <is>
          <t>SW-DAMPER-143</t>
        </is>
      </c>
      <c r="C144" t="inlineStr">
        <is>
          <t>VAN GIÓ</t>
        </is>
      </c>
      <c r="D144" t="inlineStr">
        <is>
          <t>Van chặn lửa FD EI45 - Kích thước 500x350</t>
        </is>
      </c>
      <c r="E144" t="inlineStr">
        <is>
          <t>500x350</t>
        </is>
      </c>
      <c r="F144" t="inlineStr">
        <is>
          <t>Cái</t>
        </is>
      </c>
      <c r="G144" s="2" t="n">
        <v>3</v>
      </c>
      <c r="H144" s="2">
        <f>SUMIF('01_BOC_TACH_ONG'!B:B, B144, '01_BOC_TACH_ONG'!K:K)</f>
        <v/>
      </c>
      <c r="I144" s="2">
        <f>SUMIF('02_BOC_TACH_CUA'!B:B, B144, '02_BOC_TACH_CUA'!K:K)</f>
        <v/>
      </c>
      <c r="J144" s="2">
        <f>SUMIF('03_BOC_TACH_VAN'!B:B, B144, '03_BOC_TACH_VAN'!K:K)</f>
        <v/>
      </c>
      <c r="K144" s="2">
        <f>SUM(H144:J144)</f>
        <v/>
      </c>
      <c r="L144" s="2">
        <f>K144*0.25</f>
        <v/>
      </c>
      <c r="M144" s="2">
        <f>K144*0.10</f>
        <v/>
      </c>
      <c r="N144" s="2">
        <f>K144+L144+M144</f>
        <v/>
      </c>
      <c r="O144" s="2">
        <f>IF(G144&gt;0, N144/G144, 0)</f>
        <v/>
      </c>
      <c r="P144" s="3" t="n">
        <v>0.18</v>
      </c>
      <c r="Q144" s="2">
        <f>O144*(1+P144)</f>
        <v/>
      </c>
      <c r="R144" s="2">
        <f>G144*Q144</f>
        <v/>
      </c>
    </row>
    <row r="145">
      <c r="A145" t="n">
        <v>144</v>
      </c>
      <c r="B145" t="inlineStr">
        <is>
          <t>SW-DAMPER-144</t>
        </is>
      </c>
      <c r="C145" t="inlineStr">
        <is>
          <t>VAN GIÓ</t>
        </is>
      </c>
      <c r="D145" t="inlineStr">
        <is>
          <t>Van chặn lửa FD EI45 - Kích thước 550x250</t>
        </is>
      </c>
      <c r="E145" t="inlineStr">
        <is>
          <t>550x250</t>
        </is>
      </c>
      <c r="F145" t="inlineStr">
        <is>
          <t>Cái</t>
        </is>
      </c>
      <c r="G145" s="2" t="n">
        <v>3</v>
      </c>
      <c r="H145" s="2">
        <f>SUMIF('01_BOC_TACH_ONG'!B:B, B145, '01_BOC_TACH_ONG'!K:K)</f>
        <v/>
      </c>
      <c r="I145" s="2">
        <f>SUMIF('02_BOC_TACH_CUA'!B:B, B145, '02_BOC_TACH_CUA'!K:K)</f>
        <v/>
      </c>
      <c r="J145" s="2">
        <f>SUMIF('03_BOC_TACH_VAN'!B:B, B145, '03_BOC_TACH_VAN'!K:K)</f>
        <v/>
      </c>
      <c r="K145" s="2">
        <f>SUM(H145:J145)</f>
        <v/>
      </c>
      <c r="L145" s="2">
        <f>K145*0.25</f>
        <v/>
      </c>
      <c r="M145" s="2">
        <f>K145*0.10</f>
        <v/>
      </c>
      <c r="N145" s="2">
        <f>K145+L145+M145</f>
        <v/>
      </c>
      <c r="O145" s="2">
        <f>IF(G145&gt;0, N145/G145, 0)</f>
        <v/>
      </c>
      <c r="P145" s="3" t="n">
        <v>0.18</v>
      </c>
      <c r="Q145" s="2">
        <f>O145*(1+P145)</f>
        <v/>
      </c>
      <c r="R145" s="2">
        <f>G145*Q145</f>
        <v/>
      </c>
    </row>
    <row r="146">
      <c r="A146" t="n">
        <v>145</v>
      </c>
      <c r="B146" t="inlineStr">
        <is>
          <t>SW-DAMPER-145</t>
        </is>
      </c>
      <c r="C146" t="inlineStr">
        <is>
          <t>VAN GIÓ</t>
        </is>
      </c>
      <c r="D146" t="inlineStr">
        <is>
          <t>Van chặn lửa FD EI45 - Kích thước 600x250</t>
        </is>
      </c>
      <c r="E146" t="inlineStr">
        <is>
          <t>600x250</t>
        </is>
      </c>
      <c r="F146" t="inlineStr">
        <is>
          <t>Cái</t>
        </is>
      </c>
      <c r="G146" s="2" t="n">
        <v>1</v>
      </c>
      <c r="H146" s="2">
        <f>SUMIF('01_BOC_TACH_ONG'!B:B, B146, '01_BOC_TACH_ONG'!K:K)</f>
        <v/>
      </c>
      <c r="I146" s="2">
        <f>SUMIF('02_BOC_TACH_CUA'!B:B, B146, '02_BOC_TACH_CUA'!K:K)</f>
        <v/>
      </c>
      <c r="J146" s="2">
        <f>SUMIF('03_BOC_TACH_VAN'!B:B, B146, '03_BOC_TACH_VAN'!K:K)</f>
        <v/>
      </c>
      <c r="K146" s="2">
        <f>SUM(H146:J146)</f>
        <v/>
      </c>
      <c r="L146" s="2">
        <f>K146*0.25</f>
        <v/>
      </c>
      <c r="M146" s="2">
        <f>K146*0.10</f>
        <v/>
      </c>
      <c r="N146" s="2">
        <f>K146+L146+M146</f>
        <v/>
      </c>
      <c r="O146" s="2">
        <f>IF(G146&gt;0, N146/G146, 0)</f>
        <v/>
      </c>
      <c r="P146" s="3" t="n">
        <v>0.18</v>
      </c>
      <c r="Q146" s="2">
        <f>O146*(1+P146)</f>
        <v/>
      </c>
      <c r="R146" s="2">
        <f>G146*Q146</f>
        <v/>
      </c>
    </row>
    <row r="147">
      <c r="A147" t="n">
        <v>146</v>
      </c>
      <c r="B147" t="inlineStr">
        <is>
          <t>SW-DAMPER-146</t>
        </is>
      </c>
      <c r="C147" t="inlineStr">
        <is>
          <t>VAN GIÓ</t>
        </is>
      </c>
      <c r="D147" t="inlineStr">
        <is>
          <t>Van chặn lửa FD EI45 - Kích thước 600x300</t>
        </is>
      </c>
      <c r="E147" t="inlineStr">
        <is>
          <t>600x300</t>
        </is>
      </c>
      <c r="F147" t="inlineStr">
        <is>
          <t>Cái</t>
        </is>
      </c>
      <c r="G147" s="2" t="n">
        <v>8</v>
      </c>
      <c r="H147" s="2">
        <f>SUMIF('01_BOC_TACH_ONG'!B:B, B147, '01_BOC_TACH_ONG'!K:K)</f>
        <v/>
      </c>
      <c r="I147" s="2">
        <f>SUMIF('02_BOC_TACH_CUA'!B:B, B147, '02_BOC_TACH_CUA'!K:K)</f>
        <v/>
      </c>
      <c r="J147" s="2">
        <f>SUMIF('03_BOC_TACH_VAN'!B:B, B147, '03_BOC_TACH_VAN'!K:K)</f>
        <v/>
      </c>
      <c r="K147" s="2">
        <f>SUM(H147:J147)</f>
        <v/>
      </c>
      <c r="L147" s="2">
        <f>K147*0.25</f>
        <v/>
      </c>
      <c r="M147" s="2">
        <f>K147*0.10</f>
        <v/>
      </c>
      <c r="N147" s="2">
        <f>K147+L147+M147</f>
        <v/>
      </c>
      <c r="O147" s="2">
        <f>IF(G147&gt;0, N147/G147, 0)</f>
        <v/>
      </c>
      <c r="P147" s="3" t="n">
        <v>0.18</v>
      </c>
      <c r="Q147" s="2">
        <f>O147*(1+P147)</f>
        <v/>
      </c>
      <c r="R147" s="2">
        <f>G147*Q147</f>
        <v/>
      </c>
    </row>
    <row r="148">
      <c r="A148" t="n">
        <v>147</v>
      </c>
      <c r="B148" t="inlineStr">
        <is>
          <t>SW-DAMPER-147</t>
        </is>
      </c>
      <c r="C148" t="inlineStr">
        <is>
          <t>VAN GIÓ</t>
        </is>
      </c>
      <c r="D148" t="inlineStr">
        <is>
          <t>Van chặn lửa FD EI45 - Kích thước 600x350</t>
        </is>
      </c>
      <c r="E148" t="inlineStr">
        <is>
          <t>600x350</t>
        </is>
      </c>
      <c r="F148" t="inlineStr">
        <is>
          <t>Cái</t>
        </is>
      </c>
      <c r="G148" s="2" t="n">
        <v>2</v>
      </c>
      <c r="H148" s="2">
        <f>SUMIF('01_BOC_TACH_ONG'!B:B, B148, '01_BOC_TACH_ONG'!K:K)</f>
        <v/>
      </c>
      <c r="I148" s="2">
        <f>SUMIF('02_BOC_TACH_CUA'!B:B, B148, '02_BOC_TACH_CUA'!K:K)</f>
        <v/>
      </c>
      <c r="J148" s="2">
        <f>SUMIF('03_BOC_TACH_VAN'!B:B, B148, '03_BOC_TACH_VAN'!K:K)</f>
        <v/>
      </c>
      <c r="K148" s="2">
        <f>SUM(H148:J148)</f>
        <v/>
      </c>
      <c r="L148" s="2">
        <f>K148*0.25</f>
        <v/>
      </c>
      <c r="M148" s="2">
        <f>K148*0.10</f>
        <v/>
      </c>
      <c r="N148" s="2">
        <f>K148+L148+M148</f>
        <v/>
      </c>
      <c r="O148" s="2">
        <f>IF(G148&gt;0, N148/G148, 0)</f>
        <v/>
      </c>
      <c r="P148" s="3" t="n">
        <v>0.18</v>
      </c>
      <c r="Q148" s="2">
        <f>O148*(1+P148)</f>
        <v/>
      </c>
      <c r="R148" s="2">
        <f>G148*Q148</f>
        <v/>
      </c>
    </row>
    <row r="149">
      <c r="A149" t="n">
        <v>148</v>
      </c>
      <c r="B149" t="inlineStr">
        <is>
          <t>SW-DAMPER-148</t>
        </is>
      </c>
      <c r="C149" t="inlineStr">
        <is>
          <t>VAN GIÓ</t>
        </is>
      </c>
      <c r="D149" t="inlineStr">
        <is>
          <t>Van chặn lửa FD EI45 - Kích thước 600x400</t>
        </is>
      </c>
      <c r="E149" t="inlineStr">
        <is>
          <t>600x400</t>
        </is>
      </c>
      <c r="F149" t="inlineStr">
        <is>
          <t>Cái</t>
        </is>
      </c>
      <c r="G149" s="2" t="n">
        <v>3</v>
      </c>
      <c r="H149" s="2">
        <f>SUMIF('01_BOC_TACH_ONG'!B:B, B149, '01_BOC_TACH_ONG'!K:K)</f>
        <v/>
      </c>
      <c r="I149" s="2">
        <f>SUMIF('02_BOC_TACH_CUA'!B:B, B149, '02_BOC_TACH_CUA'!K:K)</f>
        <v/>
      </c>
      <c r="J149" s="2">
        <f>SUMIF('03_BOC_TACH_VAN'!B:B, B149, '03_BOC_TACH_VAN'!K:K)</f>
        <v/>
      </c>
      <c r="K149" s="2">
        <f>SUM(H149:J149)</f>
        <v/>
      </c>
      <c r="L149" s="2">
        <f>K149*0.25</f>
        <v/>
      </c>
      <c r="M149" s="2">
        <f>K149*0.10</f>
        <v/>
      </c>
      <c r="N149" s="2">
        <f>K149+L149+M149</f>
        <v/>
      </c>
      <c r="O149" s="2">
        <f>IF(G149&gt;0, N149/G149, 0)</f>
        <v/>
      </c>
      <c r="P149" s="3" t="n">
        <v>0.18</v>
      </c>
      <c r="Q149" s="2">
        <f>O149*(1+P149)</f>
        <v/>
      </c>
      <c r="R149" s="2">
        <f>G149*Q149</f>
        <v/>
      </c>
    </row>
    <row r="150">
      <c r="A150" t="n">
        <v>149</v>
      </c>
      <c r="B150" t="inlineStr">
        <is>
          <t>SW-DAMPER-149</t>
        </is>
      </c>
      <c r="C150" t="inlineStr">
        <is>
          <t>VAN GIÓ</t>
        </is>
      </c>
      <c r="D150" t="inlineStr">
        <is>
          <t>Van chặn lửa FD EI45 - Kích thước 600x600</t>
        </is>
      </c>
      <c r="E150" t="inlineStr">
        <is>
          <t>600x600</t>
        </is>
      </c>
      <c r="F150" t="inlineStr">
        <is>
          <t>Cái</t>
        </is>
      </c>
      <c r="G150" s="2" t="n">
        <v>1</v>
      </c>
      <c r="H150" s="2">
        <f>SUMIF('01_BOC_TACH_ONG'!B:B, B150, '01_BOC_TACH_ONG'!K:K)</f>
        <v/>
      </c>
      <c r="I150" s="2">
        <f>SUMIF('02_BOC_TACH_CUA'!B:B, B150, '02_BOC_TACH_CUA'!K:K)</f>
        <v/>
      </c>
      <c r="J150" s="2">
        <f>SUMIF('03_BOC_TACH_VAN'!B:B, B150, '03_BOC_TACH_VAN'!K:K)</f>
        <v/>
      </c>
      <c r="K150" s="2">
        <f>SUM(H150:J150)</f>
        <v/>
      </c>
      <c r="L150" s="2">
        <f>K150*0.25</f>
        <v/>
      </c>
      <c r="M150" s="2">
        <f>K150*0.10</f>
        <v/>
      </c>
      <c r="N150" s="2">
        <f>K150+L150+M150</f>
        <v/>
      </c>
      <c r="O150" s="2">
        <f>IF(G150&gt;0, N150/G150, 0)</f>
        <v/>
      </c>
      <c r="P150" s="3" t="n">
        <v>0.18</v>
      </c>
      <c r="Q150" s="2">
        <f>O150*(1+P150)</f>
        <v/>
      </c>
      <c r="R150" s="2">
        <f>G150*Q150</f>
        <v/>
      </c>
    </row>
    <row r="151">
      <c r="A151" t="n">
        <v>150</v>
      </c>
      <c r="B151" t="inlineStr">
        <is>
          <t>SW-DAMPER-150</t>
        </is>
      </c>
      <c r="C151" t="inlineStr">
        <is>
          <t>VAN GIÓ</t>
        </is>
      </c>
      <c r="D151" t="inlineStr">
        <is>
          <t>Van chặn lửa FD EI45 - Kích thước 600x…</t>
        </is>
      </c>
      <c r="E151" t="inlineStr">
        <is>
          <t>-</t>
        </is>
      </c>
      <c r="F151" t="inlineStr">
        <is>
          <t>Cái</t>
        </is>
      </c>
      <c r="G151" s="2" t="n">
        <v>1</v>
      </c>
      <c r="H151" s="2">
        <f>SUMIF('01_BOC_TACH_ONG'!B:B, B151, '01_BOC_TACH_ONG'!K:K)</f>
        <v/>
      </c>
      <c r="I151" s="2">
        <f>SUMIF('02_BOC_TACH_CUA'!B:B, B151, '02_BOC_TACH_CUA'!K:K)</f>
        <v/>
      </c>
      <c r="J151" s="2">
        <f>SUMIF('03_BOC_TACH_VAN'!B:B, B151, '03_BOC_TACH_VAN'!K:K)</f>
        <v/>
      </c>
      <c r="K151" s="2">
        <f>SUM(H151:J151)</f>
        <v/>
      </c>
      <c r="L151" s="2">
        <f>K151*0.25</f>
        <v/>
      </c>
      <c r="M151" s="2">
        <f>K151*0.10</f>
        <v/>
      </c>
      <c r="N151" s="2">
        <f>K151+L151+M151</f>
        <v/>
      </c>
      <c r="O151" s="2">
        <f>IF(G151&gt;0, N151/G151, 0)</f>
        <v/>
      </c>
      <c r="P151" s="3" t="n">
        <v>0.18</v>
      </c>
      <c r="Q151" s="2">
        <f>O151*(1+P151)</f>
        <v/>
      </c>
      <c r="R151" s="2">
        <f>G151*Q151</f>
        <v/>
      </c>
    </row>
    <row r="152">
      <c r="A152" t="n">
        <v>151</v>
      </c>
      <c r="B152" t="inlineStr">
        <is>
          <t>SW-DAMPER-151</t>
        </is>
      </c>
      <c r="C152" t="inlineStr">
        <is>
          <t>VAN GIÓ</t>
        </is>
      </c>
      <c r="D152" t="inlineStr">
        <is>
          <t>Van chặn lửa FD EI45 - Kích thước 650x250</t>
        </is>
      </c>
      <c r="E152" t="inlineStr">
        <is>
          <t>650x250</t>
        </is>
      </c>
      <c r="F152" t="inlineStr">
        <is>
          <t>Cái</t>
        </is>
      </c>
      <c r="G152" s="2" t="n">
        <v>11</v>
      </c>
      <c r="H152" s="2">
        <f>SUMIF('01_BOC_TACH_ONG'!B:B, B152, '01_BOC_TACH_ONG'!K:K)</f>
        <v/>
      </c>
      <c r="I152" s="2">
        <f>SUMIF('02_BOC_TACH_CUA'!B:B, B152, '02_BOC_TACH_CUA'!K:K)</f>
        <v/>
      </c>
      <c r="J152" s="2">
        <f>SUMIF('03_BOC_TACH_VAN'!B:B, B152, '03_BOC_TACH_VAN'!K:K)</f>
        <v/>
      </c>
      <c r="K152" s="2">
        <f>SUM(H152:J152)</f>
        <v/>
      </c>
      <c r="L152" s="2">
        <f>K152*0.25</f>
        <v/>
      </c>
      <c r="M152" s="2">
        <f>K152*0.10</f>
        <v/>
      </c>
      <c r="N152" s="2">
        <f>K152+L152+M152</f>
        <v/>
      </c>
      <c r="O152" s="2">
        <f>IF(G152&gt;0, N152/G152, 0)</f>
        <v/>
      </c>
      <c r="P152" s="3" t="n">
        <v>0.18</v>
      </c>
      <c r="Q152" s="2">
        <f>O152*(1+P152)</f>
        <v/>
      </c>
      <c r="R152" s="2">
        <f>G152*Q152</f>
        <v/>
      </c>
    </row>
    <row r="153">
      <c r="A153" t="n">
        <v>152</v>
      </c>
      <c r="B153" t="inlineStr">
        <is>
          <t>SW-DAMPER-152</t>
        </is>
      </c>
      <c r="C153" t="inlineStr">
        <is>
          <t>VAN GIÓ</t>
        </is>
      </c>
      <c r="D153" t="inlineStr">
        <is>
          <t>Van chặn lửa FD EI45 - Kích thước 650x300</t>
        </is>
      </c>
      <c r="E153" t="inlineStr">
        <is>
          <t>650x300</t>
        </is>
      </c>
      <c r="F153" t="inlineStr">
        <is>
          <t>Cái</t>
        </is>
      </c>
      <c r="G153" s="2" t="n">
        <v>2</v>
      </c>
      <c r="H153" s="2">
        <f>SUMIF('01_BOC_TACH_ONG'!B:B, B153, '01_BOC_TACH_ONG'!K:K)</f>
        <v/>
      </c>
      <c r="I153" s="2">
        <f>SUMIF('02_BOC_TACH_CUA'!B:B, B153, '02_BOC_TACH_CUA'!K:K)</f>
        <v/>
      </c>
      <c r="J153" s="2">
        <f>SUMIF('03_BOC_TACH_VAN'!B:B, B153, '03_BOC_TACH_VAN'!K:K)</f>
        <v/>
      </c>
      <c r="K153" s="2">
        <f>SUM(H153:J153)</f>
        <v/>
      </c>
      <c r="L153" s="2">
        <f>K153*0.25</f>
        <v/>
      </c>
      <c r="M153" s="2">
        <f>K153*0.10</f>
        <v/>
      </c>
      <c r="N153" s="2">
        <f>K153+L153+M153</f>
        <v/>
      </c>
      <c r="O153" s="2">
        <f>IF(G153&gt;0, N153/G153, 0)</f>
        <v/>
      </c>
      <c r="P153" s="3" t="n">
        <v>0.18</v>
      </c>
      <c r="Q153" s="2">
        <f>O153*(1+P153)</f>
        <v/>
      </c>
      <c r="R153" s="2">
        <f>G153*Q153</f>
        <v/>
      </c>
    </row>
    <row r="154">
      <c r="A154" t="n">
        <v>153</v>
      </c>
      <c r="B154" t="inlineStr">
        <is>
          <t>SW-DAMPER-153</t>
        </is>
      </c>
      <c r="C154" t="inlineStr">
        <is>
          <t>VAN GIÓ</t>
        </is>
      </c>
      <c r="D154" t="inlineStr">
        <is>
          <t>Van chặn lửa FD EI45 - Kích thước 650x350</t>
        </is>
      </c>
      <c r="E154" t="inlineStr">
        <is>
          <t>650x350</t>
        </is>
      </c>
      <c r="F154" t="inlineStr">
        <is>
          <t>Cái</t>
        </is>
      </c>
      <c r="G154" s="2" t="n">
        <v>6</v>
      </c>
      <c r="H154" s="2">
        <f>SUMIF('01_BOC_TACH_ONG'!B:B, B154, '01_BOC_TACH_ONG'!K:K)</f>
        <v/>
      </c>
      <c r="I154" s="2">
        <f>SUMIF('02_BOC_TACH_CUA'!B:B, B154, '02_BOC_TACH_CUA'!K:K)</f>
        <v/>
      </c>
      <c r="J154" s="2">
        <f>SUMIF('03_BOC_TACH_VAN'!B:B, B154, '03_BOC_TACH_VAN'!K:K)</f>
        <v/>
      </c>
      <c r="K154" s="2">
        <f>SUM(H154:J154)</f>
        <v/>
      </c>
      <c r="L154" s="2">
        <f>K154*0.25</f>
        <v/>
      </c>
      <c r="M154" s="2">
        <f>K154*0.10</f>
        <v/>
      </c>
      <c r="N154" s="2">
        <f>K154+L154+M154</f>
        <v/>
      </c>
      <c r="O154" s="2">
        <f>IF(G154&gt;0, N154/G154, 0)</f>
        <v/>
      </c>
      <c r="P154" s="3" t="n">
        <v>0.18</v>
      </c>
      <c r="Q154" s="2">
        <f>O154*(1+P154)</f>
        <v/>
      </c>
      <c r="R154" s="2">
        <f>G154*Q154</f>
        <v/>
      </c>
    </row>
    <row r="155">
      <c r="A155" t="n">
        <v>154</v>
      </c>
      <c r="B155" t="inlineStr">
        <is>
          <t>SW-DAMPER-154</t>
        </is>
      </c>
      <c r="C155" t="inlineStr">
        <is>
          <t>VAN GIÓ</t>
        </is>
      </c>
      <c r="D155" t="inlineStr">
        <is>
          <t>Van chặn lửa FD EI45 - Kích thước 650x400</t>
        </is>
      </c>
      <c r="E155" t="inlineStr">
        <is>
          <t>650x400</t>
        </is>
      </c>
      <c r="F155" t="inlineStr">
        <is>
          <t>Cái</t>
        </is>
      </c>
      <c r="G155" s="2" t="n">
        <v>1</v>
      </c>
      <c r="H155" s="2">
        <f>SUMIF('01_BOC_TACH_ONG'!B:B, B155, '01_BOC_TACH_ONG'!K:K)</f>
        <v/>
      </c>
      <c r="I155" s="2">
        <f>SUMIF('02_BOC_TACH_CUA'!B:B, B155, '02_BOC_TACH_CUA'!K:K)</f>
        <v/>
      </c>
      <c r="J155" s="2">
        <f>SUMIF('03_BOC_TACH_VAN'!B:B, B155, '03_BOC_TACH_VAN'!K:K)</f>
        <v/>
      </c>
      <c r="K155" s="2">
        <f>SUM(H155:J155)</f>
        <v/>
      </c>
      <c r="L155" s="2">
        <f>K155*0.25</f>
        <v/>
      </c>
      <c r="M155" s="2">
        <f>K155*0.10</f>
        <v/>
      </c>
      <c r="N155" s="2">
        <f>K155+L155+M155</f>
        <v/>
      </c>
      <c r="O155" s="2">
        <f>IF(G155&gt;0, N155/G155, 0)</f>
        <v/>
      </c>
      <c r="P155" s="3" t="n">
        <v>0.18</v>
      </c>
      <c r="Q155" s="2">
        <f>O155*(1+P155)</f>
        <v/>
      </c>
      <c r="R155" s="2">
        <f>G155*Q155</f>
        <v/>
      </c>
    </row>
    <row r="156">
      <c r="A156" t="n">
        <v>155</v>
      </c>
      <c r="B156" t="inlineStr">
        <is>
          <t>SW-DAMPER-155</t>
        </is>
      </c>
      <c r="C156" t="inlineStr">
        <is>
          <t>VAN GIÓ</t>
        </is>
      </c>
      <c r="D156" t="inlineStr">
        <is>
          <t>Van chặn lửa FD EI45 - Kích thước 700x400</t>
        </is>
      </c>
      <c r="E156" t="inlineStr">
        <is>
          <t>700x400</t>
        </is>
      </c>
      <c r="F156" t="inlineStr">
        <is>
          <t>Cái</t>
        </is>
      </c>
      <c r="G156" s="2" t="n">
        <v>3</v>
      </c>
      <c r="H156" s="2">
        <f>SUMIF('01_BOC_TACH_ONG'!B:B, B156, '01_BOC_TACH_ONG'!K:K)</f>
        <v/>
      </c>
      <c r="I156" s="2">
        <f>SUMIF('02_BOC_TACH_CUA'!B:B, B156, '02_BOC_TACH_CUA'!K:K)</f>
        <v/>
      </c>
      <c r="J156" s="2">
        <f>SUMIF('03_BOC_TACH_VAN'!B:B, B156, '03_BOC_TACH_VAN'!K:K)</f>
        <v/>
      </c>
      <c r="K156" s="2">
        <f>SUM(H156:J156)</f>
        <v/>
      </c>
      <c r="L156" s="2">
        <f>K156*0.25</f>
        <v/>
      </c>
      <c r="M156" s="2">
        <f>K156*0.10</f>
        <v/>
      </c>
      <c r="N156" s="2">
        <f>K156+L156+M156</f>
        <v/>
      </c>
      <c r="O156" s="2">
        <f>IF(G156&gt;0, N156/G156, 0)</f>
        <v/>
      </c>
      <c r="P156" s="3" t="n">
        <v>0.18</v>
      </c>
      <c r="Q156" s="2">
        <f>O156*(1+P156)</f>
        <v/>
      </c>
      <c r="R156" s="2">
        <f>G156*Q156</f>
        <v/>
      </c>
    </row>
    <row r="157">
      <c r="A157" t="n">
        <v>156</v>
      </c>
      <c r="B157" t="inlineStr">
        <is>
          <t>SW-DAMPER-156</t>
        </is>
      </c>
      <c r="C157" t="inlineStr">
        <is>
          <t>VAN GIÓ</t>
        </is>
      </c>
      <c r="D157" t="inlineStr">
        <is>
          <t>Van chặn lửa FD EI45 - Kích thước 750x500</t>
        </is>
      </c>
      <c r="E157" t="inlineStr">
        <is>
          <t>750x500</t>
        </is>
      </c>
      <c r="F157" t="inlineStr">
        <is>
          <t>Cái</t>
        </is>
      </c>
      <c r="G157" s="2" t="n">
        <v>2</v>
      </c>
      <c r="H157" s="2">
        <f>SUMIF('01_BOC_TACH_ONG'!B:B, B157, '01_BOC_TACH_ONG'!K:K)</f>
        <v/>
      </c>
      <c r="I157" s="2">
        <f>SUMIF('02_BOC_TACH_CUA'!B:B, B157, '02_BOC_TACH_CUA'!K:K)</f>
        <v/>
      </c>
      <c r="J157" s="2">
        <f>SUMIF('03_BOC_TACH_VAN'!B:B, B157, '03_BOC_TACH_VAN'!K:K)</f>
        <v/>
      </c>
      <c r="K157" s="2">
        <f>SUM(H157:J157)</f>
        <v/>
      </c>
      <c r="L157" s="2">
        <f>K157*0.25</f>
        <v/>
      </c>
      <c r="M157" s="2">
        <f>K157*0.10</f>
        <v/>
      </c>
      <c r="N157" s="2">
        <f>K157+L157+M157</f>
        <v/>
      </c>
      <c r="O157" s="2">
        <f>IF(G157&gt;0, N157/G157, 0)</f>
        <v/>
      </c>
      <c r="P157" s="3" t="n">
        <v>0.18</v>
      </c>
      <c r="Q157" s="2">
        <f>O157*(1+P157)</f>
        <v/>
      </c>
      <c r="R157" s="2">
        <f>G157*Q157</f>
        <v/>
      </c>
    </row>
    <row r="158">
      <c r="A158" t="n">
        <v>157</v>
      </c>
      <c r="B158" t="inlineStr">
        <is>
          <t>SW-DAMPER-157</t>
        </is>
      </c>
      <c r="C158" t="inlineStr">
        <is>
          <t>VAN GIÓ</t>
        </is>
      </c>
      <c r="D158" t="inlineStr">
        <is>
          <t>Van chặn lửa FD EI45 - Kích thước 750x550</t>
        </is>
      </c>
      <c r="E158" t="inlineStr">
        <is>
          <t>750x550</t>
        </is>
      </c>
      <c r="F158" t="inlineStr">
        <is>
          <t>Cái</t>
        </is>
      </c>
      <c r="G158" s="2" t="n">
        <v>2</v>
      </c>
      <c r="H158" s="2">
        <f>SUMIF('01_BOC_TACH_ONG'!B:B, B158, '01_BOC_TACH_ONG'!K:K)</f>
        <v/>
      </c>
      <c r="I158" s="2">
        <f>SUMIF('02_BOC_TACH_CUA'!B:B, B158, '02_BOC_TACH_CUA'!K:K)</f>
        <v/>
      </c>
      <c r="J158" s="2">
        <f>SUMIF('03_BOC_TACH_VAN'!B:B, B158, '03_BOC_TACH_VAN'!K:K)</f>
        <v/>
      </c>
      <c r="K158" s="2">
        <f>SUM(H158:J158)</f>
        <v/>
      </c>
      <c r="L158" s="2">
        <f>K158*0.25</f>
        <v/>
      </c>
      <c r="M158" s="2">
        <f>K158*0.10</f>
        <v/>
      </c>
      <c r="N158" s="2">
        <f>K158+L158+M158</f>
        <v/>
      </c>
      <c r="O158" s="2">
        <f>IF(G158&gt;0, N158/G158, 0)</f>
        <v/>
      </c>
      <c r="P158" s="3" t="n">
        <v>0.18</v>
      </c>
      <c r="Q158" s="2">
        <f>O158*(1+P158)</f>
        <v/>
      </c>
      <c r="R158" s="2">
        <f>G158*Q158</f>
        <v/>
      </c>
    </row>
    <row r="159">
      <c r="A159" t="n">
        <v>158</v>
      </c>
      <c r="B159" t="inlineStr">
        <is>
          <t>SW-DAMPER-158</t>
        </is>
      </c>
      <c r="C159" t="inlineStr">
        <is>
          <t>VAN GIÓ</t>
        </is>
      </c>
      <c r="D159" t="inlineStr">
        <is>
          <t>Van chặn lửa FD EI45 - Kích thước 800x400</t>
        </is>
      </c>
      <c r="E159" t="inlineStr">
        <is>
          <t>800x400</t>
        </is>
      </c>
      <c r="F159" t="inlineStr">
        <is>
          <t>Cái</t>
        </is>
      </c>
      <c r="G159" s="2" t="n">
        <v>1</v>
      </c>
      <c r="H159" s="2">
        <f>SUMIF('01_BOC_TACH_ONG'!B:B, B159, '01_BOC_TACH_ONG'!K:K)</f>
        <v/>
      </c>
      <c r="I159" s="2">
        <f>SUMIF('02_BOC_TACH_CUA'!B:B, B159, '02_BOC_TACH_CUA'!K:K)</f>
        <v/>
      </c>
      <c r="J159" s="2">
        <f>SUMIF('03_BOC_TACH_VAN'!B:B, B159, '03_BOC_TACH_VAN'!K:K)</f>
        <v/>
      </c>
      <c r="K159" s="2">
        <f>SUM(H159:J159)</f>
        <v/>
      </c>
      <c r="L159" s="2">
        <f>K159*0.25</f>
        <v/>
      </c>
      <c r="M159" s="2">
        <f>K159*0.10</f>
        <v/>
      </c>
      <c r="N159" s="2">
        <f>K159+L159+M159</f>
        <v/>
      </c>
      <c r="O159" s="2">
        <f>IF(G159&gt;0, N159/G159, 0)</f>
        <v/>
      </c>
      <c r="P159" s="3" t="n">
        <v>0.18</v>
      </c>
      <c r="Q159" s="2">
        <f>O159*(1+P159)</f>
        <v/>
      </c>
      <c r="R159" s="2">
        <f>G159*Q159</f>
        <v/>
      </c>
    </row>
    <row r="160">
      <c r="A160" t="n">
        <v>159</v>
      </c>
      <c r="B160" t="inlineStr">
        <is>
          <t>SW-DAMPER-159</t>
        </is>
      </c>
      <c r="C160" t="inlineStr">
        <is>
          <t>VAN GIÓ</t>
        </is>
      </c>
      <c r="D160" t="inlineStr">
        <is>
          <t>Van chặn lửa FD EI45 - Kích thước 800x450</t>
        </is>
      </c>
      <c r="E160" t="inlineStr">
        <is>
          <t>800x450</t>
        </is>
      </c>
      <c r="F160" t="inlineStr">
        <is>
          <t>Cái</t>
        </is>
      </c>
      <c r="G160" s="2" t="n">
        <v>4</v>
      </c>
      <c r="H160" s="2">
        <f>SUMIF('01_BOC_TACH_ONG'!B:B, B160, '01_BOC_TACH_ONG'!K:K)</f>
        <v/>
      </c>
      <c r="I160" s="2">
        <f>SUMIF('02_BOC_TACH_CUA'!B:B, B160, '02_BOC_TACH_CUA'!K:K)</f>
        <v/>
      </c>
      <c r="J160" s="2">
        <f>SUMIF('03_BOC_TACH_VAN'!B:B, B160, '03_BOC_TACH_VAN'!K:K)</f>
        <v/>
      </c>
      <c r="K160" s="2">
        <f>SUM(H160:J160)</f>
        <v/>
      </c>
      <c r="L160" s="2">
        <f>K160*0.25</f>
        <v/>
      </c>
      <c r="M160" s="2">
        <f>K160*0.10</f>
        <v/>
      </c>
      <c r="N160" s="2">
        <f>K160+L160+M160</f>
        <v/>
      </c>
      <c r="O160" s="2">
        <f>IF(G160&gt;0, N160/G160, 0)</f>
        <v/>
      </c>
      <c r="P160" s="3" t="n">
        <v>0.18</v>
      </c>
      <c r="Q160" s="2">
        <f>O160*(1+P160)</f>
        <v/>
      </c>
      <c r="R160" s="2">
        <f>G160*Q160</f>
        <v/>
      </c>
    </row>
    <row r="161">
      <c r="A161" t="n">
        <v>160</v>
      </c>
      <c r="B161" t="inlineStr">
        <is>
          <t>SW-DAMPER-160</t>
        </is>
      </c>
      <c r="C161" t="inlineStr">
        <is>
          <t>VAN GIÓ</t>
        </is>
      </c>
      <c r="D161" t="inlineStr">
        <is>
          <t>Van chặn lửa FD EI45 - Kích thước 900x300</t>
        </is>
      </c>
      <c r="E161" t="inlineStr">
        <is>
          <t>900x300</t>
        </is>
      </c>
      <c r="F161" t="inlineStr">
        <is>
          <t>Cái</t>
        </is>
      </c>
      <c r="G161" s="2" t="n">
        <v>2</v>
      </c>
      <c r="H161" s="2">
        <f>SUMIF('01_BOC_TACH_ONG'!B:B, B161, '01_BOC_TACH_ONG'!K:K)</f>
        <v/>
      </c>
      <c r="I161" s="2">
        <f>SUMIF('02_BOC_TACH_CUA'!B:B, B161, '02_BOC_TACH_CUA'!K:K)</f>
        <v/>
      </c>
      <c r="J161" s="2">
        <f>SUMIF('03_BOC_TACH_VAN'!B:B, B161, '03_BOC_TACH_VAN'!K:K)</f>
        <v/>
      </c>
      <c r="K161" s="2">
        <f>SUM(H161:J161)</f>
        <v/>
      </c>
      <c r="L161" s="2">
        <f>K161*0.25</f>
        <v/>
      </c>
      <c r="M161" s="2">
        <f>K161*0.10</f>
        <v/>
      </c>
      <c r="N161" s="2">
        <f>K161+L161+M161</f>
        <v/>
      </c>
      <c r="O161" s="2">
        <f>IF(G161&gt;0, N161/G161, 0)</f>
        <v/>
      </c>
      <c r="P161" s="3" t="n">
        <v>0.18</v>
      </c>
      <c r="Q161" s="2">
        <f>O161*(1+P161)</f>
        <v/>
      </c>
      <c r="R161" s="2">
        <f>G161*Q161</f>
        <v/>
      </c>
    </row>
    <row r="162">
      <c r="A162" t="n">
        <v>161</v>
      </c>
      <c r="B162" t="inlineStr">
        <is>
          <t>SW-DAMPER-161</t>
        </is>
      </c>
      <c r="C162" t="inlineStr">
        <is>
          <t>VAN GIÓ</t>
        </is>
      </c>
      <c r="D162" t="inlineStr">
        <is>
          <t>Van chặn lửa FD EI45 - Kích thước 900x500</t>
        </is>
      </c>
      <c r="E162" t="inlineStr">
        <is>
          <t>900x500</t>
        </is>
      </c>
      <c r="F162" t="inlineStr">
        <is>
          <t>Cái</t>
        </is>
      </c>
      <c r="G162" s="2" t="n">
        <v>3</v>
      </c>
      <c r="H162" s="2">
        <f>SUMIF('01_BOC_TACH_ONG'!B:B, B162, '01_BOC_TACH_ONG'!K:K)</f>
        <v/>
      </c>
      <c r="I162" s="2">
        <f>SUMIF('02_BOC_TACH_CUA'!B:B, B162, '02_BOC_TACH_CUA'!K:K)</f>
        <v/>
      </c>
      <c r="J162" s="2">
        <f>SUMIF('03_BOC_TACH_VAN'!B:B, B162, '03_BOC_TACH_VAN'!K:K)</f>
        <v/>
      </c>
      <c r="K162" s="2">
        <f>SUM(H162:J162)</f>
        <v/>
      </c>
      <c r="L162" s="2">
        <f>K162*0.25</f>
        <v/>
      </c>
      <c r="M162" s="2">
        <f>K162*0.10</f>
        <v/>
      </c>
      <c r="N162" s="2">
        <f>K162+L162+M162</f>
        <v/>
      </c>
      <c r="O162" s="2">
        <f>IF(G162&gt;0, N162/G162, 0)</f>
        <v/>
      </c>
      <c r="P162" s="3" t="n">
        <v>0.18</v>
      </c>
      <c r="Q162" s="2">
        <f>O162*(1+P162)</f>
        <v/>
      </c>
      <c r="R162" s="2">
        <f>G162*Q162</f>
        <v/>
      </c>
    </row>
    <row r="163">
      <c r="A163" t="n">
        <v>162</v>
      </c>
      <c r="B163" t="inlineStr">
        <is>
          <t>SW-DAMPER-162</t>
        </is>
      </c>
      <c r="C163" t="inlineStr">
        <is>
          <t>VAN GIÓ</t>
        </is>
      </c>
      <c r="D163" t="inlineStr">
        <is>
          <t>Van chặn lửa FD EI45 - Kích thước 1000x1000</t>
        </is>
      </c>
      <c r="E163" t="inlineStr">
        <is>
          <t>1000x1000</t>
        </is>
      </c>
      <c r="F163" t="inlineStr">
        <is>
          <t>Cái</t>
        </is>
      </c>
      <c r="G163" s="2" t="n">
        <v>8</v>
      </c>
      <c r="H163" s="2">
        <f>SUMIF('01_BOC_TACH_ONG'!B:B, B163, '01_BOC_TACH_ONG'!K:K)</f>
        <v/>
      </c>
      <c r="I163" s="2">
        <f>SUMIF('02_BOC_TACH_CUA'!B:B, B163, '02_BOC_TACH_CUA'!K:K)</f>
        <v/>
      </c>
      <c r="J163" s="2">
        <f>SUMIF('03_BOC_TACH_VAN'!B:B, B163, '03_BOC_TACH_VAN'!K:K)</f>
        <v/>
      </c>
      <c r="K163" s="2">
        <f>SUM(H163:J163)</f>
        <v/>
      </c>
      <c r="L163" s="2">
        <f>K163*0.25</f>
        <v/>
      </c>
      <c r="M163" s="2">
        <f>K163*0.10</f>
        <v/>
      </c>
      <c r="N163" s="2">
        <f>K163+L163+M163</f>
        <v/>
      </c>
      <c r="O163" s="2">
        <f>IF(G163&gt;0, N163/G163, 0)</f>
        <v/>
      </c>
      <c r="P163" s="3" t="n">
        <v>0.18</v>
      </c>
      <c r="Q163" s="2">
        <f>O163*(1+P163)</f>
        <v/>
      </c>
      <c r="R163" s="2">
        <f>G163*Q163</f>
        <v/>
      </c>
    </row>
    <row r="164">
      <c r="A164" t="n">
        <v>163</v>
      </c>
      <c r="B164" t="inlineStr">
        <is>
          <t>SW-DAMPER-163</t>
        </is>
      </c>
      <c r="C164" t="inlineStr">
        <is>
          <t>VAN GIÓ</t>
        </is>
      </c>
      <c r="D164" t="inlineStr">
        <is>
          <t>Van chặn lửa FD EI45 - Kích thước 1200x650</t>
        </is>
      </c>
      <c r="E164" t="inlineStr">
        <is>
          <t>1200x650</t>
        </is>
      </c>
      <c r="F164" t="inlineStr">
        <is>
          <t>Cái</t>
        </is>
      </c>
      <c r="G164" s="2" t="n">
        <v>4</v>
      </c>
      <c r="H164" s="2">
        <f>SUMIF('01_BOC_TACH_ONG'!B:B, B164, '01_BOC_TACH_ONG'!K:K)</f>
        <v/>
      </c>
      <c r="I164" s="2">
        <f>SUMIF('02_BOC_TACH_CUA'!B:B, B164, '02_BOC_TACH_CUA'!K:K)</f>
        <v/>
      </c>
      <c r="J164" s="2">
        <f>SUMIF('03_BOC_TACH_VAN'!B:B, B164, '03_BOC_TACH_VAN'!K:K)</f>
        <v/>
      </c>
      <c r="K164" s="2">
        <f>SUM(H164:J164)</f>
        <v/>
      </c>
      <c r="L164" s="2">
        <f>K164*0.25</f>
        <v/>
      </c>
      <c r="M164" s="2">
        <f>K164*0.10</f>
        <v/>
      </c>
      <c r="N164" s="2">
        <f>K164+L164+M164</f>
        <v/>
      </c>
      <c r="O164" s="2">
        <f>IF(G164&gt;0, N164/G164, 0)</f>
        <v/>
      </c>
      <c r="P164" s="3" t="n">
        <v>0.18</v>
      </c>
      <c r="Q164" s="2">
        <f>O164*(1+P164)</f>
        <v/>
      </c>
      <c r="R164" s="2">
        <f>G164*Q164</f>
        <v/>
      </c>
    </row>
    <row r="165">
      <c r="A165" t="n">
        <v>164</v>
      </c>
      <c r="B165" t="inlineStr">
        <is>
          <t>SW-DAMPER-164</t>
        </is>
      </c>
      <c r="C165" t="inlineStr">
        <is>
          <t>VAN GIÓ</t>
        </is>
      </c>
      <c r="D165" t="inlineStr">
        <is>
          <t>Van chặn lửa FD EI45 - Kích thước 1400x600</t>
        </is>
      </c>
      <c r="E165" t="inlineStr">
        <is>
          <t>1400x600</t>
        </is>
      </c>
      <c r="F165" t="inlineStr">
        <is>
          <t>Cái</t>
        </is>
      </c>
      <c r="G165" s="2" t="n">
        <v>1</v>
      </c>
      <c r="H165" s="2">
        <f>SUMIF('01_BOC_TACH_ONG'!B:B, B165, '01_BOC_TACH_ONG'!K:K)</f>
        <v/>
      </c>
      <c r="I165" s="2">
        <f>SUMIF('02_BOC_TACH_CUA'!B:B, B165, '02_BOC_TACH_CUA'!K:K)</f>
        <v/>
      </c>
      <c r="J165" s="2">
        <f>SUMIF('03_BOC_TACH_VAN'!B:B, B165, '03_BOC_TACH_VAN'!K:K)</f>
        <v/>
      </c>
      <c r="K165" s="2">
        <f>SUM(H165:J165)</f>
        <v/>
      </c>
      <c r="L165" s="2">
        <f>K165*0.25</f>
        <v/>
      </c>
      <c r="M165" s="2">
        <f>K165*0.10</f>
        <v/>
      </c>
      <c r="N165" s="2">
        <f>K165+L165+M165</f>
        <v/>
      </c>
      <c r="O165" s="2">
        <f>IF(G165&gt;0, N165/G165, 0)</f>
        <v/>
      </c>
      <c r="P165" s="3" t="n">
        <v>0.18</v>
      </c>
      <c r="Q165" s="2">
        <f>O165*(1+P165)</f>
        <v/>
      </c>
      <c r="R165" s="2">
        <f>G165*Q165</f>
        <v/>
      </c>
    </row>
    <row r="166">
      <c r="A166" t="n">
        <v>165</v>
      </c>
      <c r="B166" t="inlineStr">
        <is>
          <t>SW-DAMPER-165</t>
        </is>
      </c>
      <c r="C166" t="inlineStr">
        <is>
          <t>VAN GIÓ</t>
        </is>
      </c>
      <c r="D166" t="inlineStr">
        <is>
          <t>Van chặn lửa FD EI45 - Kích thước 1900x600</t>
        </is>
      </c>
      <c r="E166" t="inlineStr">
        <is>
          <t>1900x600</t>
        </is>
      </c>
      <c r="F166" t="inlineStr">
        <is>
          <t>Cái</t>
        </is>
      </c>
      <c r="G166" s="2" t="n">
        <v>1</v>
      </c>
      <c r="H166" s="2">
        <f>SUMIF('01_BOC_TACH_ONG'!B:B, B166, '01_BOC_TACH_ONG'!K:K)</f>
        <v/>
      </c>
      <c r="I166" s="2">
        <f>SUMIF('02_BOC_TACH_CUA'!B:B, B166, '02_BOC_TACH_CUA'!K:K)</f>
        <v/>
      </c>
      <c r="J166" s="2">
        <f>SUMIF('03_BOC_TACH_VAN'!B:B, B166, '03_BOC_TACH_VAN'!K:K)</f>
        <v/>
      </c>
      <c r="K166" s="2">
        <f>SUM(H166:J166)</f>
        <v/>
      </c>
      <c r="L166" s="2">
        <f>K166*0.25</f>
        <v/>
      </c>
      <c r="M166" s="2">
        <f>K166*0.10</f>
        <v/>
      </c>
      <c r="N166" s="2">
        <f>K166+L166+M166</f>
        <v/>
      </c>
      <c r="O166" s="2">
        <f>IF(G166&gt;0, N166/G166, 0)</f>
        <v/>
      </c>
      <c r="P166" s="3" t="n">
        <v>0.18</v>
      </c>
      <c r="Q166" s="2">
        <f>O166*(1+P166)</f>
        <v/>
      </c>
      <c r="R166" s="2">
        <f>G166*Q166</f>
        <v/>
      </c>
    </row>
    <row r="167">
      <c r="A167" t="n">
        <v>166</v>
      </c>
      <c r="B167" t="inlineStr">
        <is>
          <t>SW-DIFF-166</t>
        </is>
      </c>
      <c r="C167" t="inlineStr">
        <is>
          <t>CỬA GIÓ</t>
        </is>
      </c>
      <c r="D167" t="inlineStr">
        <is>
          <t>Miệng gió thải EAG-ED-200x100</t>
        </is>
      </c>
      <c r="E167" t="inlineStr">
        <is>
          <t>200x100</t>
        </is>
      </c>
      <c r="F167" t="inlineStr">
        <is>
          <t>Cái</t>
        </is>
      </c>
      <c r="G167" s="2" t="n">
        <v>48</v>
      </c>
      <c r="H167" s="2">
        <f>SUMIF('01_BOC_TACH_ONG'!B:B, B167, '01_BOC_TACH_ONG'!K:K)</f>
        <v/>
      </c>
      <c r="I167" s="2">
        <f>SUMIF('02_BOC_TACH_CUA'!B:B, B167, '02_BOC_TACH_CUA'!K:K)</f>
        <v/>
      </c>
      <c r="J167" s="2">
        <f>SUMIF('03_BOC_TACH_VAN'!B:B, B167, '03_BOC_TACH_VAN'!K:K)</f>
        <v/>
      </c>
      <c r="K167" s="2">
        <f>SUM(H167:J167)</f>
        <v/>
      </c>
      <c r="L167" s="2">
        <f>K167*0.25</f>
        <v/>
      </c>
      <c r="M167" s="2">
        <f>K167*0.10</f>
        <v/>
      </c>
      <c r="N167" s="2">
        <f>K167+L167+M167</f>
        <v/>
      </c>
      <c r="O167" s="2">
        <f>IF(G167&gt;0, N167/G167, 0)</f>
        <v/>
      </c>
      <c r="P167" s="3" t="n">
        <v>0.18</v>
      </c>
      <c r="Q167" s="2">
        <f>O167*(1+P167)</f>
        <v/>
      </c>
      <c r="R167" s="2">
        <f>G167*Q167</f>
        <v/>
      </c>
    </row>
    <row r="168">
      <c r="A168" t="n">
        <v>167</v>
      </c>
      <c r="B168" t="inlineStr">
        <is>
          <t>SW-DIFF-167</t>
        </is>
      </c>
      <c r="C168" t="inlineStr">
        <is>
          <t>CỬA GIÓ</t>
        </is>
      </c>
      <c r="D168" t="inlineStr">
        <is>
          <t>Miệng gió thải EAG-ED-200x150</t>
        </is>
      </c>
      <c r="E168" t="inlineStr">
        <is>
          <t>200x150</t>
        </is>
      </c>
      <c r="F168" t="inlineStr">
        <is>
          <t>Cái</t>
        </is>
      </c>
      <c r="G168" s="2" t="n">
        <v>2</v>
      </c>
      <c r="H168" s="2">
        <f>SUMIF('01_BOC_TACH_ONG'!B:B, B168, '01_BOC_TACH_ONG'!K:K)</f>
        <v/>
      </c>
      <c r="I168" s="2">
        <f>SUMIF('02_BOC_TACH_CUA'!B:B, B168, '02_BOC_TACH_CUA'!K:K)</f>
        <v/>
      </c>
      <c r="J168" s="2">
        <f>SUMIF('03_BOC_TACH_VAN'!B:B, B168, '03_BOC_TACH_VAN'!K:K)</f>
        <v/>
      </c>
      <c r="K168" s="2">
        <f>SUM(H168:J168)</f>
        <v/>
      </c>
      <c r="L168" s="2">
        <f>K168*0.25</f>
        <v/>
      </c>
      <c r="M168" s="2">
        <f>K168*0.10</f>
        <v/>
      </c>
      <c r="N168" s="2">
        <f>K168+L168+M168</f>
        <v/>
      </c>
      <c r="O168" s="2">
        <f>IF(G168&gt;0, N168/G168, 0)</f>
        <v/>
      </c>
      <c r="P168" s="3" t="n">
        <v>0.18</v>
      </c>
      <c r="Q168" s="2">
        <f>O168*(1+P168)</f>
        <v/>
      </c>
      <c r="R168" s="2">
        <f>G168*Q168</f>
        <v/>
      </c>
    </row>
    <row r="169">
      <c r="A169" t="n">
        <v>168</v>
      </c>
      <c r="B169" t="inlineStr">
        <is>
          <t>SW-DIFF-168</t>
        </is>
      </c>
      <c r="C169" t="inlineStr">
        <is>
          <t>CỬA GIÓ</t>
        </is>
      </c>
      <c r="D169" t="inlineStr">
        <is>
          <t>Miệng gió thải EAG-ED-300x100</t>
        </is>
      </c>
      <c r="E169" t="inlineStr">
        <is>
          <t>300x100</t>
        </is>
      </c>
      <c r="F169" t="inlineStr">
        <is>
          <t>Cái</t>
        </is>
      </c>
      <c r="G169" s="2" t="n">
        <v>2</v>
      </c>
      <c r="H169" s="2">
        <f>SUMIF('01_BOC_TACH_ONG'!B:B, B169, '01_BOC_TACH_ONG'!K:K)</f>
        <v/>
      </c>
      <c r="I169" s="2">
        <f>SUMIF('02_BOC_TACH_CUA'!B:B, B169, '02_BOC_TACH_CUA'!K:K)</f>
        <v/>
      </c>
      <c r="J169" s="2">
        <f>SUMIF('03_BOC_TACH_VAN'!B:B, B169, '03_BOC_TACH_VAN'!K:K)</f>
        <v/>
      </c>
      <c r="K169" s="2">
        <f>SUM(H169:J169)</f>
        <v/>
      </c>
      <c r="L169" s="2">
        <f>K169*0.25</f>
        <v/>
      </c>
      <c r="M169" s="2">
        <f>K169*0.10</f>
        <v/>
      </c>
      <c r="N169" s="2">
        <f>K169+L169+M169</f>
        <v/>
      </c>
      <c r="O169" s="2">
        <f>IF(G169&gt;0, N169/G169, 0)</f>
        <v/>
      </c>
      <c r="P169" s="3" t="n">
        <v>0.18</v>
      </c>
      <c r="Q169" s="2">
        <f>O169*(1+P169)</f>
        <v/>
      </c>
      <c r="R169" s="2">
        <f>G169*Q169</f>
        <v/>
      </c>
    </row>
    <row r="170">
      <c r="A170" t="n">
        <v>169</v>
      </c>
      <c r="B170" t="inlineStr">
        <is>
          <t>SW-DIFF-169</t>
        </is>
      </c>
      <c r="C170" t="inlineStr">
        <is>
          <t>CỬA GIÓ</t>
        </is>
      </c>
      <c r="D170" t="inlineStr">
        <is>
          <t>Bộ tiêu âm - Kích thước: 350x250</t>
        </is>
      </c>
      <c r="E170" t="inlineStr">
        <is>
          <t>450x350</t>
        </is>
      </c>
      <c r="F170" t="inlineStr">
        <is>
          <t>Bộ</t>
        </is>
      </c>
      <c r="G170" s="2" t="n">
        <v>1</v>
      </c>
      <c r="H170" s="2">
        <f>SUMIF('01_BOC_TACH_ONG'!B:B, B170, '01_BOC_TACH_ONG'!K:K)</f>
        <v/>
      </c>
      <c r="I170" s="2">
        <f>SUMIF('02_BOC_TACH_CUA'!B:B, B170, '02_BOC_TACH_CUA'!K:K)</f>
        <v/>
      </c>
      <c r="J170" s="2">
        <f>SUMIF('03_BOC_TACH_VAN'!B:B, B170, '03_BOC_TACH_VAN'!K:K)</f>
        <v/>
      </c>
      <c r="K170" s="2">
        <f>SUM(H170:J170)</f>
        <v/>
      </c>
      <c r="L170" s="2">
        <f>K170*0.25</f>
        <v/>
      </c>
      <c r="M170" s="2">
        <f>K170*0.10</f>
        <v/>
      </c>
      <c r="N170" s="2">
        <f>K170+L170+M170</f>
        <v/>
      </c>
      <c r="O170" s="2">
        <f>IF(G170&gt;0, N170/G170, 0)</f>
        <v/>
      </c>
      <c r="P170" s="3" t="n">
        <v>0.18</v>
      </c>
      <c r="Q170" s="2">
        <f>O170*(1+P170)</f>
        <v/>
      </c>
      <c r="R170" s="2">
        <f>G170*Q170</f>
        <v/>
      </c>
    </row>
    <row r="171">
      <c r="A171" t="n">
        <v>170</v>
      </c>
      <c r="B171" t="inlineStr">
        <is>
          <t>SW-DIFF-170</t>
        </is>
      </c>
      <c r="C171" t="inlineStr">
        <is>
          <t>CỬA GIÓ</t>
        </is>
      </c>
      <c r="D171" t="inlineStr">
        <is>
          <t>Bộ tiêu âm - Kích thước: 600x300</t>
        </is>
      </c>
      <c r="E171" t="inlineStr">
        <is>
          <t>700x400</t>
        </is>
      </c>
      <c r="F171" t="inlineStr">
        <is>
          <t>Bộ</t>
        </is>
      </c>
      <c r="G171" s="2" t="n">
        <v>2</v>
      </c>
      <c r="H171" s="2">
        <f>SUMIF('01_BOC_TACH_ONG'!B:B, B171, '01_BOC_TACH_ONG'!K:K)</f>
        <v/>
      </c>
      <c r="I171" s="2">
        <f>SUMIF('02_BOC_TACH_CUA'!B:B, B171, '02_BOC_TACH_CUA'!K:K)</f>
        <v/>
      </c>
      <c r="J171" s="2">
        <f>SUMIF('03_BOC_TACH_VAN'!B:B, B171, '03_BOC_TACH_VAN'!K:K)</f>
        <v/>
      </c>
      <c r="K171" s="2">
        <f>SUM(H171:J171)</f>
        <v/>
      </c>
      <c r="L171" s="2">
        <f>K171*0.25</f>
        <v/>
      </c>
      <c r="M171" s="2">
        <f>K171*0.10</f>
        <v/>
      </c>
      <c r="N171" s="2">
        <f>K171+L171+M171</f>
        <v/>
      </c>
      <c r="O171" s="2">
        <f>IF(G171&gt;0, N171/G171, 0)</f>
        <v/>
      </c>
      <c r="P171" s="3" t="n">
        <v>0.18</v>
      </c>
      <c r="Q171" s="2">
        <f>O171*(1+P171)</f>
        <v/>
      </c>
      <c r="R171" s="2">
        <f>G171*Q171</f>
        <v/>
      </c>
    </row>
    <row r="172">
      <c r="A172" t="n">
        <v>171</v>
      </c>
      <c r="B172" t="inlineStr">
        <is>
          <t>SW-DIFF-171</t>
        </is>
      </c>
      <c r="C172" t="inlineStr">
        <is>
          <t>CỬA GIÓ</t>
        </is>
      </c>
      <c r="D172" t="inlineStr">
        <is>
          <t>Bộ tiêu âm - Kích thước: 650x250</t>
        </is>
      </c>
      <c r="E172" t="inlineStr">
        <is>
          <t>750x350</t>
        </is>
      </c>
      <c r="F172" t="inlineStr">
        <is>
          <t>Bộ</t>
        </is>
      </c>
      <c r="G172" s="2" t="n">
        <v>1</v>
      </c>
      <c r="H172" s="2">
        <f>SUMIF('01_BOC_TACH_ONG'!B:B, B172, '01_BOC_TACH_ONG'!K:K)</f>
        <v/>
      </c>
      <c r="I172" s="2">
        <f>SUMIF('02_BOC_TACH_CUA'!B:B, B172, '02_BOC_TACH_CUA'!K:K)</f>
        <v/>
      </c>
      <c r="J172" s="2">
        <f>SUMIF('03_BOC_TACH_VAN'!B:B, B172, '03_BOC_TACH_VAN'!K:K)</f>
        <v/>
      </c>
      <c r="K172" s="2">
        <f>SUM(H172:J172)</f>
        <v/>
      </c>
      <c r="L172" s="2">
        <f>K172*0.25</f>
        <v/>
      </c>
      <c r="M172" s="2">
        <f>K172*0.10</f>
        <v/>
      </c>
      <c r="N172" s="2">
        <f>K172+L172+M172</f>
        <v/>
      </c>
      <c r="O172" s="2">
        <f>IF(G172&gt;0, N172/G172, 0)</f>
        <v/>
      </c>
      <c r="P172" s="3" t="n">
        <v>0.18</v>
      </c>
      <c r="Q172" s="2">
        <f>O172*(1+P172)</f>
        <v/>
      </c>
      <c r="R172" s="2">
        <f>G172*Q172</f>
        <v/>
      </c>
    </row>
    <row r="173">
      <c r="A173" t="n">
        <v>172</v>
      </c>
      <c r="B173" t="inlineStr">
        <is>
          <t>SW-DIFF-172</t>
        </is>
      </c>
      <c r="C173" t="inlineStr">
        <is>
          <t>CỬA GIÓ</t>
        </is>
      </c>
      <c r="D173" t="inlineStr">
        <is>
          <t>Bộ tiêu âm - Kích thước: 650x300</t>
        </is>
      </c>
      <c r="E173" t="inlineStr">
        <is>
          <t>750x400</t>
        </is>
      </c>
      <c r="F173" t="inlineStr">
        <is>
          <t>Bộ</t>
        </is>
      </c>
      <c r="G173" s="2" t="n">
        <v>1</v>
      </c>
      <c r="H173" s="2">
        <f>SUMIF('01_BOC_TACH_ONG'!B:B, B173, '01_BOC_TACH_ONG'!K:K)</f>
        <v/>
      </c>
      <c r="I173" s="2">
        <f>SUMIF('02_BOC_TACH_CUA'!B:B, B173, '02_BOC_TACH_CUA'!K:K)</f>
        <v/>
      </c>
      <c r="J173" s="2">
        <f>SUMIF('03_BOC_TACH_VAN'!B:B, B173, '03_BOC_TACH_VAN'!K:K)</f>
        <v/>
      </c>
      <c r="K173" s="2">
        <f>SUM(H173:J173)</f>
        <v/>
      </c>
      <c r="L173" s="2">
        <f>K173*0.25</f>
        <v/>
      </c>
      <c r="M173" s="2">
        <f>K173*0.10</f>
        <v/>
      </c>
      <c r="N173" s="2">
        <f>K173+L173+M173</f>
        <v/>
      </c>
      <c r="O173" s="2">
        <f>IF(G173&gt;0, N173/G173, 0)</f>
        <v/>
      </c>
      <c r="P173" s="3" t="n">
        <v>0.18</v>
      </c>
      <c r="Q173" s="2">
        <f>O173*(1+P173)</f>
        <v/>
      </c>
      <c r="R173" s="2">
        <f>G173*Q173</f>
        <v/>
      </c>
    </row>
    <row r="174">
      <c r="A174" t="n">
        <v>173</v>
      </c>
      <c r="B174" t="inlineStr">
        <is>
          <t>SW-DIFF-173</t>
        </is>
      </c>
      <c r="C174" t="inlineStr">
        <is>
          <t>CỬA GIÓ</t>
        </is>
      </c>
      <c r="D174" t="inlineStr">
        <is>
          <t>Bộ tiêu âm - Kích thước: 700x350</t>
        </is>
      </c>
      <c r="E174" t="inlineStr">
        <is>
          <t>800x450</t>
        </is>
      </c>
      <c r="F174" t="inlineStr">
        <is>
          <t>Bộ</t>
        </is>
      </c>
      <c r="G174" s="2" t="n">
        <v>1</v>
      </c>
      <c r="H174" s="2">
        <f>SUMIF('01_BOC_TACH_ONG'!B:B, B174, '01_BOC_TACH_ONG'!K:K)</f>
        <v/>
      </c>
      <c r="I174" s="2">
        <f>SUMIF('02_BOC_TACH_CUA'!B:B, B174, '02_BOC_TACH_CUA'!K:K)</f>
        <v/>
      </c>
      <c r="J174" s="2">
        <f>SUMIF('03_BOC_TACH_VAN'!B:B, B174, '03_BOC_TACH_VAN'!K:K)</f>
        <v/>
      </c>
      <c r="K174" s="2">
        <f>SUM(H174:J174)</f>
        <v/>
      </c>
      <c r="L174" s="2">
        <f>K174*0.25</f>
        <v/>
      </c>
      <c r="M174" s="2">
        <f>K174*0.10</f>
        <v/>
      </c>
      <c r="N174" s="2">
        <f>K174+L174+M174</f>
        <v/>
      </c>
      <c r="O174" s="2">
        <f>IF(G174&gt;0, N174/G174, 0)</f>
        <v/>
      </c>
      <c r="P174" s="3" t="n">
        <v>0.18</v>
      </c>
      <c r="Q174" s="2">
        <f>O174*(1+P174)</f>
        <v/>
      </c>
      <c r="R174" s="2">
        <f>G174*Q174</f>
        <v/>
      </c>
    </row>
    <row r="175">
      <c r="A175" t="n">
        <v>174</v>
      </c>
      <c r="B175" t="inlineStr">
        <is>
          <t>SW-DIFF-174</t>
        </is>
      </c>
      <c r="C175" t="inlineStr">
        <is>
          <t>CỬA GIÓ</t>
        </is>
      </c>
      <c r="D175" t="inlineStr">
        <is>
          <t>Bộ tiêu âm - Kích thước: 800x450</t>
        </is>
      </c>
      <c r="E175" t="inlineStr">
        <is>
          <t>900x550</t>
        </is>
      </c>
      <c r="F175" t="inlineStr">
        <is>
          <t>Bộ</t>
        </is>
      </c>
      <c r="G175" s="2" t="n">
        <v>2</v>
      </c>
      <c r="H175" s="2">
        <f>SUMIF('01_BOC_TACH_ONG'!B:B, B175, '01_BOC_TACH_ONG'!K:K)</f>
        <v/>
      </c>
      <c r="I175" s="2">
        <f>SUMIF('02_BOC_TACH_CUA'!B:B, B175, '02_BOC_TACH_CUA'!K:K)</f>
        <v/>
      </c>
      <c r="J175" s="2">
        <f>SUMIF('03_BOC_TACH_VAN'!B:B, B175, '03_BOC_TACH_VAN'!K:K)</f>
        <v/>
      </c>
      <c r="K175" s="2">
        <f>SUM(H175:J175)</f>
        <v/>
      </c>
      <c r="L175" s="2">
        <f>K175*0.25</f>
        <v/>
      </c>
      <c r="M175" s="2">
        <f>K175*0.10</f>
        <v/>
      </c>
      <c r="N175" s="2">
        <f>K175+L175+M175</f>
        <v/>
      </c>
      <c r="O175" s="2">
        <f>IF(G175&gt;0, N175/G175, 0)</f>
        <v/>
      </c>
      <c r="P175" s="3" t="n">
        <v>0.18</v>
      </c>
      <c r="Q175" s="2">
        <f>O175*(1+P175)</f>
        <v/>
      </c>
      <c r="R175" s="2">
        <f>G175*Q175</f>
        <v/>
      </c>
    </row>
    <row r="176">
      <c r="A176" t="n">
        <v>175</v>
      </c>
      <c r="B176" t="inlineStr">
        <is>
          <t>SW-DIFF-175</t>
        </is>
      </c>
      <c r="C176" t="inlineStr">
        <is>
          <t>CỬA GIÓ</t>
        </is>
      </c>
      <c r="D176" t="inlineStr">
        <is>
          <t>Bộ tiêu âm - Kích thước: 800x600</t>
        </is>
      </c>
      <c r="E176" t="inlineStr">
        <is>
          <t>900x700</t>
        </is>
      </c>
      <c r="F176" t="inlineStr">
        <is>
          <t>Bộ</t>
        </is>
      </c>
      <c r="G176" s="2" t="n">
        <v>1</v>
      </c>
      <c r="H176" s="2">
        <f>SUMIF('01_BOC_TACH_ONG'!B:B, B176, '01_BOC_TACH_ONG'!K:K)</f>
        <v/>
      </c>
      <c r="I176" s="2">
        <f>SUMIF('02_BOC_TACH_CUA'!B:B, B176, '02_BOC_TACH_CUA'!K:K)</f>
        <v/>
      </c>
      <c r="J176" s="2">
        <f>SUMIF('03_BOC_TACH_VAN'!B:B, B176, '03_BOC_TACH_VAN'!K:K)</f>
        <v/>
      </c>
      <c r="K176" s="2">
        <f>SUM(H176:J176)</f>
        <v/>
      </c>
      <c r="L176" s="2">
        <f>K176*0.25</f>
        <v/>
      </c>
      <c r="M176" s="2">
        <f>K176*0.10</f>
        <v/>
      </c>
      <c r="N176" s="2">
        <f>K176+L176+M176</f>
        <v/>
      </c>
      <c r="O176" s="2">
        <f>IF(G176&gt;0, N176/G176, 0)</f>
        <v/>
      </c>
      <c r="P176" s="3" t="n">
        <v>0.18</v>
      </c>
      <c r="Q176" s="2">
        <f>O176*(1+P176)</f>
        <v/>
      </c>
      <c r="R176" s="2">
        <f>G176*Q176</f>
        <v/>
      </c>
    </row>
    <row r="177">
      <c r="A177" t="n">
        <v>176</v>
      </c>
      <c r="B177" t="inlineStr">
        <is>
          <t>SW-DIFF-176</t>
        </is>
      </c>
      <c r="C177" t="inlineStr">
        <is>
          <t>CỬA GIÓ</t>
        </is>
      </c>
      <c r="D177" t="inlineStr">
        <is>
          <t>Bộ tiêu âm - Kích thước: 900x300</t>
        </is>
      </c>
      <c r="E177" t="inlineStr">
        <is>
          <t>1000x400</t>
        </is>
      </c>
      <c r="F177" t="inlineStr">
        <is>
          <t>Bộ</t>
        </is>
      </c>
      <c r="G177" s="2" t="n">
        <v>2</v>
      </c>
      <c r="H177" s="2">
        <f>SUMIF('01_BOC_TACH_ONG'!B:B, B177, '01_BOC_TACH_ONG'!K:K)</f>
        <v/>
      </c>
      <c r="I177" s="2">
        <f>SUMIF('02_BOC_TACH_CUA'!B:B, B177, '02_BOC_TACH_CUA'!K:K)</f>
        <v/>
      </c>
      <c r="J177" s="2">
        <f>SUMIF('03_BOC_TACH_VAN'!B:B, B177, '03_BOC_TACH_VAN'!K:K)</f>
        <v/>
      </c>
      <c r="K177" s="2">
        <f>SUM(H177:J177)</f>
        <v/>
      </c>
      <c r="L177" s="2">
        <f>K177*0.25</f>
        <v/>
      </c>
      <c r="M177" s="2">
        <f>K177*0.10</f>
        <v/>
      </c>
      <c r="N177" s="2">
        <f>K177+L177+M177</f>
        <v/>
      </c>
      <c r="O177" s="2">
        <f>IF(G177&gt;0, N177/G177, 0)</f>
        <v/>
      </c>
      <c r="P177" s="3" t="n">
        <v>0.18</v>
      </c>
      <c r="Q177" s="2">
        <f>O177*(1+P177)</f>
        <v/>
      </c>
      <c r="R177" s="2">
        <f>G177*Q177</f>
        <v/>
      </c>
    </row>
    <row r="178">
      <c r="A178" t="n">
        <v>177</v>
      </c>
      <c r="B178" t="inlineStr">
        <is>
          <t>SW-DIFF-177</t>
        </is>
      </c>
      <c r="C178" t="inlineStr">
        <is>
          <t>CỬA GIÓ</t>
        </is>
      </c>
      <c r="D178" t="inlineStr">
        <is>
          <t>Bộ tiêu âm - Kích thước: 900x500</t>
        </is>
      </c>
      <c r="E178" t="inlineStr">
        <is>
          <t>1000x600</t>
        </is>
      </c>
      <c r="F178" t="inlineStr">
        <is>
          <t>Bộ</t>
        </is>
      </c>
      <c r="G178" s="2" t="n">
        <v>3</v>
      </c>
      <c r="H178" s="2">
        <f>SUMIF('01_BOC_TACH_ONG'!B:B, B178, '01_BOC_TACH_ONG'!K:K)</f>
        <v/>
      </c>
      <c r="I178" s="2">
        <f>SUMIF('02_BOC_TACH_CUA'!B:B, B178, '02_BOC_TACH_CUA'!K:K)</f>
        <v/>
      </c>
      <c r="J178" s="2">
        <f>SUMIF('03_BOC_TACH_VAN'!B:B, B178, '03_BOC_TACH_VAN'!K:K)</f>
        <v/>
      </c>
      <c r="K178" s="2">
        <f>SUM(H178:J178)</f>
        <v/>
      </c>
      <c r="L178" s="2">
        <f>K178*0.25</f>
        <v/>
      </c>
      <c r="M178" s="2">
        <f>K178*0.10</f>
        <v/>
      </c>
      <c r="N178" s="2">
        <f>K178+L178+M178</f>
        <v/>
      </c>
      <c r="O178" s="2">
        <f>IF(G178&gt;0, N178/G178, 0)</f>
        <v/>
      </c>
      <c r="P178" s="3" t="n">
        <v>0.18</v>
      </c>
      <c r="Q178" s="2">
        <f>O178*(1+P178)</f>
        <v/>
      </c>
      <c r="R178" s="2">
        <f>G178*Q178</f>
        <v/>
      </c>
    </row>
    <row r="179">
      <c r="A179" t="n">
        <v>178</v>
      </c>
      <c r="B179" t="inlineStr">
        <is>
          <t>SW-DIFF-178</t>
        </is>
      </c>
      <c r="C179" t="inlineStr">
        <is>
          <t>CỬA GIÓ</t>
        </is>
      </c>
      <c r="D179" t="inlineStr">
        <is>
          <t>Bộ tiêu âm - Kích thước: 950x500</t>
        </is>
      </c>
      <c r="E179" t="inlineStr">
        <is>
          <t>1050x600</t>
        </is>
      </c>
      <c r="F179" t="inlineStr">
        <is>
          <t>Bộ</t>
        </is>
      </c>
      <c r="G179" s="2" t="n">
        <v>1</v>
      </c>
      <c r="H179" s="2">
        <f>SUMIF('01_BOC_TACH_ONG'!B:B, B179, '01_BOC_TACH_ONG'!K:K)</f>
        <v/>
      </c>
      <c r="I179" s="2">
        <f>SUMIF('02_BOC_TACH_CUA'!B:B, B179, '02_BOC_TACH_CUA'!K:K)</f>
        <v/>
      </c>
      <c r="J179" s="2">
        <f>SUMIF('03_BOC_TACH_VAN'!B:B, B179, '03_BOC_TACH_VAN'!K:K)</f>
        <v/>
      </c>
      <c r="K179" s="2">
        <f>SUM(H179:J179)</f>
        <v/>
      </c>
      <c r="L179" s="2">
        <f>K179*0.25</f>
        <v/>
      </c>
      <c r="M179" s="2">
        <f>K179*0.10</f>
        <v/>
      </c>
      <c r="N179" s="2">
        <f>K179+L179+M179</f>
        <v/>
      </c>
      <c r="O179" s="2">
        <f>IF(G179&gt;0, N179/G179, 0)</f>
        <v/>
      </c>
      <c r="P179" s="3" t="n">
        <v>0.18</v>
      </c>
      <c r="Q179" s="2">
        <f>O179*(1+P179)</f>
        <v/>
      </c>
      <c r="R179" s="2">
        <f>G179*Q179</f>
        <v/>
      </c>
    </row>
    <row r="180">
      <c r="A180" t="n">
        <v>179</v>
      </c>
      <c r="B180" t="inlineStr">
        <is>
          <t>SW-DIFF-179</t>
        </is>
      </c>
      <c r="C180" t="inlineStr">
        <is>
          <t>CỬA GIÓ</t>
        </is>
      </c>
      <c r="D180" t="inlineStr">
        <is>
          <t>Bộ tiêu âm - Kích thước: 1000x1000</t>
        </is>
      </c>
      <c r="E180" t="inlineStr">
        <is>
          <t>1100x1100</t>
        </is>
      </c>
      <c r="F180" t="inlineStr">
        <is>
          <t>Bộ</t>
        </is>
      </c>
      <c r="G180" s="2" t="n">
        <v>4</v>
      </c>
      <c r="H180" s="2">
        <f>SUMIF('01_BOC_TACH_ONG'!B:B, B180, '01_BOC_TACH_ONG'!K:K)</f>
        <v/>
      </c>
      <c r="I180" s="2">
        <f>SUMIF('02_BOC_TACH_CUA'!B:B, B180, '02_BOC_TACH_CUA'!K:K)</f>
        <v/>
      </c>
      <c r="J180" s="2">
        <f>SUMIF('03_BOC_TACH_VAN'!B:B, B180, '03_BOC_TACH_VAN'!K:K)</f>
        <v/>
      </c>
      <c r="K180" s="2">
        <f>SUM(H180:J180)</f>
        <v/>
      </c>
      <c r="L180" s="2">
        <f>K180*0.25</f>
        <v/>
      </c>
      <c r="M180" s="2">
        <f>K180*0.10</f>
        <v/>
      </c>
      <c r="N180" s="2">
        <f>K180+L180+M180</f>
        <v/>
      </c>
      <c r="O180" s="2">
        <f>IF(G180&gt;0, N180/G180, 0)</f>
        <v/>
      </c>
      <c r="P180" s="3" t="n">
        <v>0.18</v>
      </c>
      <c r="Q180" s="2">
        <f>O180*(1+P180)</f>
        <v/>
      </c>
      <c r="R180" s="2">
        <f>G180*Q180</f>
        <v/>
      </c>
    </row>
    <row r="181">
      <c r="A181" t="n">
        <v>180</v>
      </c>
      <c r="B181" t="inlineStr">
        <is>
          <t>SW-DIFF-180</t>
        </is>
      </c>
      <c r="C181" t="inlineStr">
        <is>
          <t>CỬA GIÓ</t>
        </is>
      </c>
      <c r="D181" t="inlineStr">
        <is>
          <t>Bộ tiêu âm - Kích thước: 1200x650</t>
        </is>
      </c>
      <c r="E181" t="inlineStr">
        <is>
          <t>1300x750</t>
        </is>
      </c>
      <c r="F181" t="inlineStr">
        <is>
          <t>Bộ</t>
        </is>
      </c>
      <c r="G181" s="2" t="n">
        <v>2</v>
      </c>
      <c r="H181" s="2">
        <f>SUMIF('01_BOC_TACH_ONG'!B:B, B181, '01_BOC_TACH_ONG'!K:K)</f>
        <v/>
      </c>
      <c r="I181" s="2">
        <f>SUMIF('02_BOC_TACH_CUA'!B:B, B181, '02_BOC_TACH_CUA'!K:K)</f>
        <v/>
      </c>
      <c r="J181" s="2">
        <f>SUMIF('03_BOC_TACH_VAN'!B:B, B181, '03_BOC_TACH_VAN'!K:K)</f>
        <v/>
      </c>
      <c r="K181" s="2">
        <f>SUM(H181:J181)</f>
        <v/>
      </c>
      <c r="L181" s="2">
        <f>K181*0.25</f>
        <v/>
      </c>
      <c r="M181" s="2">
        <f>K181*0.10</f>
        <v/>
      </c>
      <c r="N181" s="2">
        <f>K181+L181+M181</f>
        <v/>
      </c>
      <c r="O181" s="2">
        <f>IF(G181&gt;0, N181/G181, 0)</f>
        <v/>
      </c>
      <c r="P181" s="3" t="n">
        <v>0.18</v>
      </c>
      <c r="Q181" s="2">
        <f>O181*(1+P181)</f>
        <v/>
      </c>
      <c r="R181" s="2">
        <f>G181*Q181</f>
        <v/>
      </c>
    </row>
    <row r="182">
      <c r="A182" t="n">
        <v>181</v>
      </c>
      <c r="B182" t="inlineStr">
        <is>
          <t>SW-DIFF-181</t>
        </is>
      </c>
      <c r="C182" t="inlineStr">
        <is>
          <t>CỬA GIÓ</t>
        </is>
      </c>
      <c r="D182" t="inlineStr">
        <is>
          <t>Bộ tiêu âm - Kích thước: 1900x600</t>
        </is>
      </c>
      <c r="E182" t="inlineStr">
        <is>
          <t>2000x700</t>
        </is>
      </c>
      <c r="F182" t="inlineStr">
        <is>
          <t>Bộ</t>
        </is>
      </c>
      <c r="G182" s="2" t="n">
        <v>1</v>
      </c>
      <c r="H182" s="2">
        <f>SUMIF('01_BOC_TACH_ONG'!B:B, B182, '01_BOC_TACH_ONG'!K:K)</f>
        <v/>
      </c>
      <c r="I182" s="2">
        <f>SUMIF('02_BOC_TACH_CUA'!B:B, B182, '02_BOC_TACH_CUA'!K:K)</f>
        <v/>
      </c>
      <c r="J182" s="2">
        <f>SUMIF('03_BOC_TACH_VAN'!B:B, B182, '03_BOC_TACH_VAN'!K:K)</f>
        <v/>
      </c>
      <c r="K182" s="2">
        <f>SUM(H182:J182)</f>
        <v/>
      </c>
      <c r="L182" s="2">
        <f>K182*0.25</f>
        <v/>
      </c>
      <c r="M182" s="2">
        <f>K182*0.10</f>
        <v/>
      </c>
      <c r="N182" s="2">
        <f>K182+L182+M182</f>
        <v/>
      </c>
      <c r="O182" s="2">
        <f>IF(G182&gt;0, N182/G182, 0)</f>
        <v/>
      </c>
      <c r="P182" s="3" t="n">
        <v>0.18</v>
      </c>
      <c r="Q182" s="2">
        <f>O182*(1+P182)</f>
        <v/>
      </c>
      <c r="R182" s="2">
        <f>G182*Q182</f>
        <v/>
      </c>
    </row>
    <row r="183">
      <c r="A183" t="n">
        <v>182</v>
      </c>
      <c r="B183" t="inlineStr">
        <is>
          <t>SW-DIFF-182</t>
        </is>
      </c>
      <c r="C183" t="inlineStr">
        <is>
          <t>CỬA GIÓ</t>
        </is>
      </c>
      <c r="D183" t="inlineStr">
        <is>
          <t>KTM 1500x200 + OBD</t>
        </is>
      </c>
      <c r="E183" t="inlineStr">
        <is>
          <t>1500x200</t>
        </is>
      </c>
      <c r="F183" t="inlineStr">
        <is>
          <t>Cái</t>
        </is>
      </c>
      <c r="G183" s="2" t="n">
        <v>1</v>
      </c>
      <c r="H183" s="2">
        <f>SUMIF('01_BOC_TACH_ONG'!B:B, B183, '01_BOC_TACH_ONG'!K:K)</f>
        <v/>
      </c>
      <c r="I183" s="2">
        <f>SUMIF('02_BOC_TACH_CUA'!B:B, B183, '02_BOC_TACH_CUA'!K:K)</f>
        <v/>
      </c>
      <c r="J183" s="2">
        <f>SUMIF('03_BOC_TACH_VAN'!B:B, B183, '03_BOC_TACH_VAN'!K:K)</f>
        <v/>
      </c>
      <c r="K183" s="2">
        <f>SUM(H183:J183)</f>
        <v/>
      </c>
      <c r="L183" s="2">
        <f>K183*0.25</f>
        <v/>
      </c>
      <c r="M183" s="2">
        <f>K183*0.10</f>
        <v/>
      </c>
      <c r="N183" s="2">
        <f>K183+L183+M183</f>
        <v/>
      </c>
      <c r="O183" s="2">
        <f>IF(G183&gt;0, N183/G183, 0)</f>
        <v/>
      </c>
      <c r="P183" s="3" t="n">
        <v>0.18</v>
      </c>
      <c r="Q183" s="2">
        <f>O183*(1+P183)</f>
        <v/>
      </c>
      <c r="R183" s="2">
        <f>G183*Q183</f>
        <v/>
      </c>
    </row>
    <row r="184">
      <c r="A184" t="n">
        <v>183</v>
      </c>
      <c r="B184" t="inlineStr">
        <is>
          <t>SW-DIFF-183</t>
        </is>
      </c>
      <c r="C184" t="inlineStr">
        <is>
          <t>CỬA GIÓ</t>
        </is>
      </c>
      <c r="D184" t="inlineStr">
        <is>
          <t>KTM 1200x1000 + OBD</t>
        </is>
      </c>
      <c r="E184" t="inlineStr">
        <is>
          <t>1200x1000</t>
        </is>
      </c>
      <c r="F184" t="inlineStr">
        <is>
          <t>Cái</t>
        </is>
      </c>
      <c r="G184" s="2" t="n">
        <v>1</v>
      </c>
      <c r="H184" s="2">
        <f>SUMIF('01_BOC_TACH_ONG'!B:B, B184, '01_BOC_TACH_ONG'!K:K)</f>
        <v/>
      </c>
      <c r="I184" s="2">
        <f>SUMIF('02_BOC_TACH_CUA'!B:B, B184, '02_BOC_TACH_CUA'!K:K)</f>
        <v/>
      </c>
      <c r="J184" s="2">
        <f>SUMIF('03_BOC_TACH_VAN'!B:B, B184, '03_BOC_TACH_VAN'!K:K)</f>
        <v/>
      </c>
      <c r="K184" s="2">
        <f>SUM(H184:J184)</f>
        <v/>
      </c>
      <c r="L184" s="2">
        <f>K184*0.25</f>
        <v/>
      </c>
      <c r="M184" s="2">
        <f>K184*0.10</f>
        <v/>
      </c>
      <c r="N184" s="2">
        <f>K184+L184+M184</f>
        <v/>
      </c>
      <c r="O184" s="2">
        <f>IF(G184&gt;0, N184/G184, 0)</f>
        <v/>
      </c>
      <c r="P184" s="3" t="n">
        <v>0.18</v>
      </c>
      <c r="Q184" s="2">
        <f>O184*(1+P184)</f>
        <v/>
      </c>
      <c r="R184" s="2">
        <f>G184*Q184</f>
        <v/>
      </c>
    </row>
    <row r="185">
      <c r="A185" t="n">
        <v>184</v>
      </c>
      <c r="B185" t="inlineStr">
        <is>
          <t>SW-DIFF-184</t>
        </is>
      </c>
      <c r="C185" t="inlineStr">
        <is>
          <t>CỬA GIÓ</t>
        </is>
      </c>
      <c r="D185" t="inlineStr">
        <is>
          <t>KTM 1200x600 + OBD</t>
        </is>
      </c>
      <c r="E185" t="inlineStr">
        <is>
          <t>1200x600</t>
        </is>
      </c>
      <c r="F185" t="inlineStr">
        <is>
          <t>Cái</t>
        </is>
      </c>
      <c r="G185" s="2" t="n">
        <v>14</v>
      </c>
      <c r="H185" s="2">
        <f>SUMIF('01_BOC_TACH_ONG'!B:B, B185, '01_BOC_TACH_ONG'!K:K)</f>
        <v/>
      </c>
      <c r="I185" s="2">
        <f>SUMIF('02_BOC_TACH_CUA'!B:B, B185, '02_BOC_TACH_CUA'!K:K)</f>
        <v/>
      </c>
      <c r="J185" s="2">
        <f>SUMIF('03_BOC_TACH_VAN'!B:B, B185, '03_BOC_TACH_VAN'!K:K)</f>
        <v/>
      </c>
      <c r="K185" s="2">
        <f>SUM(H185:J185)</f>
        <v/>
      </c>
      <c r="L185" s="2">
        <f>K185*0.25</f>
        <v/>
      </c>
      <c r="M185" s="2">
        <f>K185*0.10</f>
        <v/>
      </c>
      <c r="N185" s="2">
        <f>K185+L185+M185</f>
        <v/>
      </c>
      <c r="O185" s="2">
        <f>IF(G185&gt;0, N185/G185, 0)</f>
        <v/>
      </c>
      <c r="P185" s="3" t="n">
        <v>0.18</v>
      </c>
      <c r="Q185" s="2">
        <f>O185*(1+P185)</f>
        <v/>
      </c>
      <c r="R185" s="2">
        <f>G185*Q185</f>
        <v/>
      </c>
    </row>
    <row r="186">
      <c r="A186" t="n">
        <v>185</v>
      </c>
      <c r="B186" t="inlineStr">
        <is>
          <t>SW-DIFF-185</t>
        </is>
      </c>
      <c r="C186" t="inlineStr">
        <is>
          <t>CỬA GIÓ</t>
        </is>
      </c>
      <c r="D186" t="inlineStr">
        <is>
          <t>KTM 1200x300 + OBD</t>
        </is>
      </c>
      <c r="E186" t="inlineStr">
        <is>
          <t>1200x300</t>
        </is>
      </c>
      <c r="F186" t="inlineStr">
        <is>
          <t>Cái</t>
        </is>
      </c>
      <c r="G186" s="2" t="n">
        <v>10</v>
      </c>
      <c r="H186" s="2">
        <f>SUMIF('01_BOC_TACH_ONG'!B:B, B186, '01_BOC_TACH_ONG'!K:K)</f>
        <v/>
      </c>
      <c r="I186" s="2">
        <f>SUMIF('02_BOC_TACH_CUA'!B:B, B186, '02_BOC_TACH_CUA'!K:K)</f>
        <v/>
      </c>
      <c r="J186" s="2">
        <f>SUMIF('03_BOC_TACH_VAN'!B:B, B186, '03_BOC_TACH_VAN'!K:K)</f>
        <v/>
      </c>
      <c r="K186" s="2">
        <f>SUM(H186:J186)</f>
        <v/>
      </c>
      <c r="L186" s="2">
        <f>K186*0.25</f>
        <v/>
      </c>
      <c r="M186" s="2">
        <f>K186*0.10</f>
        <v/>
      </c>
      <c r="N186" s="2">
        <f>K186+L186+M186</f>
        <v/>
      </c>
      <c r="O186" s="2">
        <f>IF(G186&gt;0, N186/G186, 0)</f>
        <v/>
      </c>
      <c r="P186" s="3" t="n">
        <v>0.18</v>
      </c>
      <c r="Q186" s="2">
        <f>O186*(1+P186)</f>
        <v/>
      </c>
      <c r="R186" s="2">
        <f>G186*Q186</f>
        <v/>
      </c>
    </row>
    <row r="187">
      <c r="A187" t="n">
        <v>186</v>
      </c>
      <c r="B187" t="inlineStr">
        <is>
          <t>SW-DIFF-186</t>
        </is>
      </c>
      <c r="C187" t="inlineStr">
        <is>
          <t>CỬA GIÓ</t>
        </is>
      </c>
      <c r="D187" t="inlineStr">
        <is>
          <t>KTM 1200x200 + OBD</t>
        </is>
      </c>
      <c r="E187" t="inlineStr">
        <is>
          <t>1200x200</t>
        </is>
      </c>
      <c r="F187" t="inlineStr">
        <is>
          <t>Cái</t>
        </is>
      </c>
      <c r="G187" s="2" t="n">
        <v>283</v>
      </c>
      <c r="H187" s="2">
        <f>SUMIF('01_BOC_TACH_ONG'!B:B, B187, '01_BOC_TACH_ONG'!K:K)</f>
        <v/>
      </c>
      <c r="I187" s="2">
        <f>SUMIF('02_BOC_TACH_CUA'!B:B, B187, '02_BOC_TACH_CUA'!K:K)</f>
        <v/>
      </c>
      <c r="J187" s="2">
        <f>SUMIF('03_BOC_TACH_VAN'!B:B, B187, '03_BOC_TACH_VAN'!K:K)</f>
        <v/>
      </c>
      <c r="K187" s="2">
        <f>SUM(H187:J187)</f>
        <v/>
      </c>
      <c r="L187" s="2">
        <f>K187*0.25</f>
        <v/>
      </c>
      <c r="M187" s="2">
        <f>K187*0.10</f>
        <v/>
      </c>
      <c r="N187" s="2">
        <f>K187+L187+M187</f>
        <v/>
      </c>
      <c r="O187" s="2">
        <f>IF(G187&gt;0, N187/G187, 0)</f>
        <v/>
      </c>
      <c r="P187" s="3" t="n">
        <v>0.18</v>
      </c>
      <c r="Q187" s="2">
        <f>O187*(1+P187)</f>
        <v/>
      </c>
      <c r="R187" s="2">
        <f>G187*Q187</f>
        <v/>
      </c>
    </row>
    <row r="188">
      <c r="A188" t="n">
        <v>187</v>
      </c>
      <c r="B188" t="inlineStr">
        <is>
          <t>SW-DIFF-187</t>
        </is>
      </c>
      <c r="C188" t="inlineStr">
        <is>
          <t>CỬA GIÓ</t>
        </is>
      </c>
      <c r="D188" t="inlineStr">
        <is>
          <t>KTM 1200x150 + OBD</t>
        </is>
      </c>
      <c r="E188" t="inlineStr">
        <is>
          <t>1200x150</t>
        </is>
      </c>
      <c r="F188" t="inlineStr">
        <is>
          <t>Cái</t>
        </is>
      </c>
      <c r="G188" s="2" t="n">
        <v>14</v>
      </c>
      <c r="H188" s="2">
        <f>SUMIF('01_BOC_TACH_ONG'!B:B, B188, '01_BOC_TACH_ONG'!K:K)</f>
        <v/>
      </c>
      <c r="I188" s="2">
        <f>SUMIF('02_BOC_TACH_CUA'!B:B, B188, '02_BOC_TACH_CUA'!K:K)</f>
        <v/>
      </c>
      <c r="J188" s="2">
        <f>SUMIF('03_BOC_TACH_VAN'!B:B, B188, '03_BOC_TACH_VAN'!K:K)</f>
        <v/>
      </c>
      <c r="K188" s="2">
        <f>SUM(H188:J188)</f>
        <v/>
      </c>
      <c r="L188" s="2">
        <f>K188*0.25</f>
        <v/>
      </c>
      <c r="M188" s="2">
        <f>K188*0.10</f>
        <v/>
      </c>
      <c r="N188" s="2">
        <f>K188+L188+M188</f>
        <v/>
      </c>
      <c r="O188" s="2">
        <f>IF(G188&gt;0, N188/G188, 0)</f>
        <v/>
      </c>
      <c r="P188" s="3" t="n">
        <v>0.18</v>
      </c>
      <c r="Q188" s="2">
        <f>O188*(1+P188)</f>
        <v/>
      </c>
      <c r="R188" s="2">
        <f>G188*Q188</f>
        <v/>
      </c>
    </row>
    <row r="189">
      <c r="A189" t="n">
        <v>188</v>
      </c>
      <c r="B189" t="inlineStr">
        <is>
          <t>SW-DIFF-188</t>
        </is>
      </c>
      <c r="C189" t="inlineStr">
        <is>
          <t>CỬA GIÓ</t>
        </is>
      </c>
      <c r="D189" t="inlineStr">
        <is>
          <t>KTM 1200x100 + OBD</t>
        </is>
      </c>
      <c r="E189" t="inlineStr">
        <is>
          <t>1200x100</t>
        </is>
      </c>
      <c r="F189" t="inlineStr">
        <is>
          <t>Cái</t>
        </is>
      </c>
      <c r="G189" s="2" t="n">
        <v>228</v>
      </c>
      <c r="H189" s="2">
        <f>SUMIF('01_BOC_TACH_ONG'!B:B, B189, '01_BOC_TACH_ONG'!K:K)</f>
        <v/>
      </c>
      <c r="I189" s="2">
        <f>SUMIF('02_BOC_TACH_CUA'!B:B, B189, '02_BOC_TACH_CUA'!K:K)</f>
        <v/>
      </c>
      <c r="J189" s="2">
        <f>SUMIF('03_BOC_TACH_VAN'!B:B, B189, '03_BOC_TACH_VAN'!K:K)</f>
        <v/>
      </c>
      <c r="K189" s="2">
        <f>SUM(H189:J189)</f>
        <v/>
      </c>
      <c r="L189" s="2">
        <f>K189*0.25</f>
        <v/>
      </c>
      <c r="M189" s="2">
        <f>K189*0.10</f>
        <v/>
      </c>
      <c r="N189" s="2">
        <f>K189+L189+M189</f>
        <v/>
      </c>
      <c r="O189" s="2">
        <f>IF(G189&gt;0, N189/G189, 0)</f>
        <v/>
      </c>
      <c r="P189" s="3" t="n">
        <v>0.18</v>
      </c>
      <c r="Q189" s="2">
        <f>O189*(1+P189)</f>
        <v/>
      </c>
      <c r="R189" s="2">
        <f>G189*Q189</f>
        <v/>
      </c>
    </row>
    <row r="190">
      <c r="A190" t="n">
        <v>189</v>
      </c>
      <c r="B190" t="inlineStr">
        <is>
          <t>SW-DIFF-189</t>
        </is>
      </c>
      <c r="C190" t="inlineStr">
        <is>
          <t>CỬA GIÓ</t>
        </is>
      </c>
      <c r="D190" t="inlineStr">
        <is>
          <t>KTM 1100x300 + OBD</t>
        </is>
      </c>
      <c r="E190" t="inlineStr">
        <is>
          <t>1100x300</t>
        </is>
      </c>
      <c r="F190" t="inlineStr">
        <is>
          <t>Cái</t>
        </is>
      </c>
      <c r="G190" s="2" t="n">
        <v>110</v>
      </c>
      <c r="H190" s="2">
        <f>SUMIF('01_BOC_TACH_ONG'!B:B, B190, '01_BOC_TACH_ONG'!K:K)</f>
        <v/>
      </c>
      <c r="I190" s="2">
        <f>SUMIF('02_BOC_TACH_CUA'!B:B, B190, '02_BOC_TACH_CUA'!K:K)</f>
        <v/>
      </c>
      <c r="J190" s="2">
        <f>SUMIF('03_BOC_TACH_VAN'!B:B, B190, '03_BOC_TACH_VAN'!K:K)</f>
        <v/>
      </c>
      <c r="K190" s="2">
        <f>SUM(H190:J190)</f>
        <v/>
      </c>
      <c r="L190" s="2">
        <f>K190*0.25</f>
        <v/>
      </c>
      <c r="M190" s="2">
        <f>K190*0.10</f>
        <v/>
      </c>
      <c r="N190" s="2">
        <f>K190+L190+M190</f>
        <v/>
      </c>
      <c r="O190" s="2">
        <f>IF(G190&gt;0, N190/G190, 0)</f>
        <v/>
      </c>
      <c r="P190" s="3" t="n">
        <v>0.18</v>
      </c>
      <c r="Q190" s="2">
        <f>O190*(1+P190)</f>
        <v/>
      </c>
      <c r="R190" s="2">
        <f>G190*Q190</f>
        <v/>
      </c>
    </row>
    <row r="191">
      <c r="A191" t="n">
        <v>190</v>
      </c>
      <c r="B191" t="inlineStr">
        <is>
          <t>SW-DIFF-190</t>
        </is>
      </c>
      <c r="C191" t="inlineStr">
        <is>
          <t>CỬA GIÓ</t>
        </is>
      </c>
      <c r="D191" t="inlineStr">
        <is>
          <t>KTM 1000x500 + OBD</t>
        </is>
      </c>
      <c r="E191" t="inlineStr">
        <is>
          <t>1000x500</t>
        </is>
      </c>
      <c r="F191" t="inlineStr">
        <is>
          <t>Cái</t>
        </is>
      </c>
      <c r="G191" s="2" t="n">
        <v>22</v>
      </c>
      <c r="H191" s="2">
        <f>SUMIF('01_BOC_TACH_ONG'!B:B, B191, '01_BOC_TACH_ONG'!K:K)</f>
        <v/>
      </c>
      <c r="I191" s="2">
        <f>SUMIF('02_BOC_TACH_CUA'!B:B, B191, '02_BOC_TACH_CUA'!K:K)</f>
        <v/>
      </c>
      <c r="J191" s="2">
        <f>SUMIF('03_BOC_TACH_VAN'!B:B, B191, '03_BOC_TACH_VAN'!K:K)</f>
        <v/>
      </c>
      <c r="K191" s="2">
        <f>SUM(H191:J191)</f>
        <v/>
      </c>
      <c r="L191" s="2">
        <f>K191*0.25</f>
        <v/>
      </c>
      <c r="M191" s="2">
        <f>K191*0.10</f>
        <v/>
      </c>
      <c r="N191" s="2">
        <f>K191+L191+M191</f>
        <v/>
      </c>
      <c r="O191" s="2">
        <f>IF(G191&gt;0, N191/G191, 0)</f>
        <v/>
      </c>
      <c r="P191" s="3" t="n">
        <v>0.18</v>
      </c>
      <c r="Q191" s="2">
        <f>O191*(1+P191)</f>
        <v/>
      </c>
      <c r="R191" s="2">
        <f>G191*Q191</f>
        <v/>
      </c>
    </row>
    <row r="192">
      <c r="A192" t="n">
        <v>191</v>
      </c>
      <c r="B192" t="inlineStr">
        <is>
          <t>SW-DIFF-191</t>
        </is>
      </c>
      <c r="C192" t="inlineStr">
        <is>
          <t>CỬA GIÓ</t>
        </is>
      </c>
      <c r="D192" t="inlineStr">
        <is>
          <t>KTM  900x600 + OBD</t>
        </is>
      </c>
      <c r="E192" t="inlineStr">
        <is>
          <t>900x600</t>
        </is>
      </c>
      <c r="F192" t="inlineStr">
        <is>
          <t>Cái</t>
        </is>
      </c>
      <c r="G192" s="2" t="n">
        <v>16</v>
      </c>
      <c r="H192" s="2">
        <f>SUMIF('01_BOC_TACH_ONG'!B:B, B192, '01_BOC_TACH_ONG'!K:K)</f>
        <v/>
      </c>
      <c r="I192" s="2">
        <f>SUMIF('02_BOC_TACH_CUA'!B:B, B192, '02_BOC_TACH_CUA'!K:K)</f>
        <v/>
      </c>
      <c r="J192" s="2">
        <f>SUMIF('03_BOC_TACH_VAN'!B:B, B192, '03_BOC_TACH_VAN'!K:K)</f>
        <v/>
      </c>
      <c r="K192" s="2">
        <f>SUM(H192:J192)</f>
        <v/>
      </c>
      <c r="L192" s="2">
        <f>K192*0.25</f>
        <v/>
      </c>
      <c r="M192" s="2">
        <f>K192*0.10</f>
        <v/>
      </c>
      <c r="N192" s="2">
        <f>K192+L192+M192</f>
        <v/>
      </c>
      <c r="O192" s="2">
        <f>IF(G192&gt;0, N192/G192, 0)</f>
        <v/>
      </c>
      <c r="P192" s="3" t="n">
        <v>0.18</v>
      </c>
      <c r="Q192" s="2">
        <f>O192*(1+P192)</f>
        <v/>
      </c>
      <c r="R192" s="2">
        <f>G192*Q192</f>
        <v/>
      </c>
    </row>
    <row r="193">
      <c r="A193" t="n">
        <v>192</v>
      </c>
      <c r="B193" t="inlineStr">
        <is>
          <t>SW-DIFF-192</t>
        </is>
      </c>
      <c r="C193" t="inlineStr">
        <is>
          <t>CỬA GIÓ</t>
        </is>
      </c>
      <c r="D193" t="inlineStr">
        <is>
          <t>KTM  900x400 + OBD</t>
        </is>
      </c>
      <c r="E193" t="inlineStr">
        <is>
          <t>900x400</t>
        </is>
      </c>
      <c r="F193" t="inlineStr">
        <is>
          <t>Cái</t>
        </is>
      </c>
      <c r="G193" s="2" t="n">
        <v>2</v>
      </c>
      <c r="H193" s="2">
        <f>SUMIF('01_BOC_TACH_ONG'!B:B, B193, '01_BOC_TACH_ONG'!K:K)</f>
        <v/>
      </c>
      <c r="I193" s="2">
        <f>SUMIF('02_BOC_TACH_CUA'!B:B, B193, '02_BOC_TACH_CUA'!K:K)</f>
        <v/>
      </c>
      <c r="J193" s="2">
        <f>SUMIF('03_BOC_TACH_VAN'!B:B, B193, '03_BOC_TACH_VAN'!K:K)</f>
        <v/>
      </c>
      <c r="K193" s="2">
        <f>SUM(H193:J193)</f>
        <v/>
      </c>
      <c r="L193" s="2">
        <f>K193*0.25</f>
        <v/>
      </c>
      <c r="M193" s="2">
        <f>K193*0.10</f>
        <v/>
      </c>
      <c r="N193" s="2">
        <f>K193+L193+M193</f>
        <v/>
      </c>
      <c r="O193" s="2">
        <f>IF(G193&gt;0, N193/G193, 0)</f>
        <v/>
      </c>
      <c r="P193" s="3" t="n">
        <v>0.18</v>
      </c>
      <c r="Q193" s="2">
        <f>O193*(1+P193)</f>
        <v/>
      </c>
      <c r="R193" s="2">
        <f>G193*Q193</f>
        <v/>
      </c>
    </row>
    <row r="194">
      <c r="A194" t="n">
        <v>193</v>
      </c>
      <c r="B194" t="inlineStr">
        <is>
          <t>SW-DIFF-193</t>
        </is>
      </c>
      <c r="C194" t="inlineStr">
        <is>
          <t>CỬA GIÓ</t>
        </is>
      </c>
      <c r="D194" t="inlineStr">
        <is>
          <t>KTM  900x300 + OBD</t>
        </is>
      </c>
      <c r="E194" t="inlineStr">
        <is>
          <t>900x300</t>
        </is>
      </c>
      <c r="F194" t="inlineStr">
        <is>
          <t>Cái</t>
        </is>
      </c>
      <c r="G194" s="2" t="n">
        <v>4</v>
      </c>
      <c r="H194" s="2">
        <f>SUMIF('01_BOC_TACH_ONG'!B:B, B194, '01_BOC_TACH_ONG'!K:K)</f>
        <v/>
      </c>
      <c r="I194" s="2">
        <f>SUMIF('02_BOC_TACH_CUA'!B:B, B194, '02_BOC_TACH_CUA'!K:K)</f>
        <v/>
      </c>
      <c r="J194" s="2">
        <f>SUMIF('03_BOC_TACH_VAN'!B:B, B194, '03_BOC_TACH_VAN'!K:K)</f>
        <v/>
      </c>
      <c r="K194" s="2">
        <f>SUM(H194:J194)</f>
        <v/>
      </c>
      <c r="L194" s="2">
        <f>K194*0.25</f>
        <v/>
      </c>
      <c r="M194" s="2">
        <f>K194*0.10</f>
        <v/>
      </c>
      <c r="N194" s="2">
        <f>K194+L194+M194</f>
        <v/>
      </c>
      <c r="O194" s="2">
        <f>IF(G194&gt;0, N194/G194, 0)</f>
        <v/>
      </c>
      <c r="P194" s="3" t="n">
        <v>0.18</v>
      </c>
      <c r="Q194" s="2">
        <f>O194*(1+P194)</f>
        <v/>
      </c>
      <c r="R194" s="2">
        <f>G194*Q194</f>
        <v/>
      </c>
    </row>
    <row r="195">
      <c r="A195" t="n">
        <v>194</v>
      </c>
      <c r="B195" t="inlineStr">
        <is>
          <t>SW-DIFF-194</t>
        </is>
      </c>
      <c r="C195" t="inlineStr">
        <is>
          <t>CỬA GIÓ</t>
        </is>
      </c>
      <c r="D195" t="inlineStr">
        <is>
          <t>KTM 800x400 + OBD</t>
        </is>
      </c>
      <c r="E195" t="inlineStr">
        <is>
          <t>800x400</t>
        </is>
      </c>
      <c r="F195" t="inlineStr">
        <is>
          <t>Cái</t>
        </is>
      </c>
      <c r="G195" s="2" t="n">
        <v>2</v>
      </c>
      <c r="H195" s="2">
        <f>SUMIF('01_BOC_TACH_ONG'!B:B, B195, '01_BOC_TACH_ONG'!K:K)</f>
        <v/>
      </c>
      <c r="I195" s="2">
        <f>SUMIF('02_BOC_TACH_CUA'!B:B, B195, '02_BOC_TACH_CUA'!K:K)</f>
        <v/>
      </c>
      <c r="J195" s="2">
        <f>SUMIF('03_BOC_TACH_VAN'!B:B, B195, '03_BOC_TACH_VAN'!K:K)</f>
        <v/>
      </c>
      <c r="K195" s="2">
        <f>SUM(H195:J195)</f>
        <v/>
      </c>
      <c r="L195" s="2">
        <f>K195*0.25</f>
        <v/>
      </c>
      <c r="M195" s="2">
        <f>K195*0.10</f>
        <v/>
      </c>
      <c r="N195" s="2">
        <f>K195+L195+M195</f>
        <v/>
      </c>
      <c r="O195" s="2">
        <f>IF(G195&gt;0, N195/G195, 0)</f>
        <v/>
      </c>
      <c r="P195" s="3" t="n">
        <v>0.18</v>
      </c>
      <c r="Q195" s="2">
        <f>O195*(1+P195)</f>
        <v/>
      </c>
      <c r="R195" s="2">
        <f>G195*Q195</f>
        <v/>
      </c>
    </row>
    <row r="196">
      <c r="A196" t="n">
        <v>195</v>
      </c>
      <c r="B196" t="inlineStr">
        <is>
          <t>SW-DIFF-195</t>
        </is>
      </c>
      <c r="C196" t="inlineStr">
        <is>
          <t>CỬA GIÓ</t>
        </is>
      </c>
      <c r="D196" t="inlineStr">
        <is>
          <t>KTM 700x700 + OBD</t>
        </is>
      </c>
      <c r="E196" t="inlineStr">
        <is>
          <t>700x700</t>
        </is>
      </c>
      <c r="F196" t="inlineStr">
        <is>
          <t>Cái</t>
        </is>
      </c>
      <c r="G196" s="2" t="n">
        <v>3</v>
      </c>
      <c r="H196" s="2">
        <f>SUMIF('01_BOC_TACH_ONG'!B:B, B196, '01_BOC_TACH_ONG'!K:K)</f>
        <v/>
      </c>
      <c r="I196" s="2">
        <f>SUMIF('02_BOC_TACH_CUA'!B:B, B196, '02_BOC_TACH_CUA'!K:K)</f>
        <v/>
      </c>
      <c r="J196" s="2">
        <f>SUMIF('03_BOC_TACH_VAN'!B:B, B196, '03_BOC_TACH_VAN'!K:K)</f>
        <v/>
      </c>
      <c r="K196" s="2">
        <f>SUM(H196:J196)</f>
        <v/>
      </c>
      <c r="L196" s="2">
        <f>K196*0.25</f>
        <v/>
      </c>
      <c r="M196" s="2">
        <f>K196*0.10</f>
        <v/>
      </c>
      <c r="N196" s="2">
        <f>K196+L196+M196</f>
        <v/>
      </c>
      <c r="O196" s="2">
        <f>IF(G196&gt;0, N196/G196, 0)</f>
        <v/>
      </c>
      <c r="P196" s="3" t="n">
        <v>0.18</v>
      </c>
      <c r="Q196" s="2">
        <f>O196*(1+P196)</f>
        <v/>
      </c>
      <c r="R196" s="2">
        <f>G196*Q196</f>
        <v/>
      </c>
    </row>
    <row r="197">
      <c r="A197" t="n">
        <v>196</v>
      </c>
      <c r="B197" t="inlineStr">
        <is>
          <t>SW-DIFF-196</t>
        </is>
      </c>
      <c r="C197" t="inlineStr">
        <is>
          <t>CỬA GIÓ</t>
        </is>
      </c>
      <c r="D197" t="inlineStr">
        <is>
          <t>KTM 1200x300 + Lưới lọc bụi</t>
        </is>
      </c>
      <c r="E197" t="inlineStr">
        <is>
          <t>1200x300</t>
        </is>
      </c>
      <c r="F197" t="inlineStr">
        <is>
          <t>Cái</t>
        </is>
      </c>
      <c r="G197" s="2" t="n">
        <v>4</v>
      </c>
      <c r="H197" s="2">
        <f>SUMIF('01_BOC_TACH_ONG'!B:B, B197, '01_BOC_TACH_ONG'!K:K)</f>
        <v/>
      </c>
      <c r="I197" s="2">
        <f>SUMIF('02_BOC_TACH_CUA'!B:B, B197, '02_BOC_TACH_CUA'!K:K)</f>
        <v/>
      </c>
      <c r="J197" s="2">
        <f>SUMIF('03_BOC_TACH_VAN'!B:B, B197, '03_BOC_TACH_VAN'!K:K)</f>
        <v/>
      </c>
      <c r="K197" s="2">
        <f>SUM(H197:J197)</f>
        <v/>
      </c>
      <c r="L197" s="2">
        <f>K197*0.25</f>
        <v/>
      </c>
      <c r="M197" s="2">
        <f>K197*0.10</f>
        <v/>
      </c>
      <c r="N197" s="2">
        <f>K197+L197+M197</f>
        <v/>
      </c>
      <c r="O197" s="2">
        <f>IF(G197&gt;0, N197/G197, 0)</f>
        <v/>
      </c>
      <c r="P197" s="3" t="n">
        <v>0.18</v>
      </c>
      <c r="Q197" s="2">
        <f>O197*(1+P197)</f>
        <v/>
      </c>
      <c r="R197" s="2">
        <f>G197*Q197</f>
        <v/>
      </c>
    </row>
    <row r="198">
      <c r="A198" t="n">
        <v>197</v>
      </c>
      <c r="B198" t="inlineStr">
        <is>
          <t>SW-DIFF-197</t>
        </is>
      </c>
      <c r="C198" t="inlineStr">
        <is>
          <t>CỬA GIÓ</t>
        </is>
      </c>
      <c r="D198" t="inlineStr">
        <is>
          <t>KTM 1200x200 + Lưới lọc bụi</t>
        </is>
      </c>
      <c r="E198" t="inlineStr">
        <is>
          <t>1200x200</t>
        </is>
      </c>
      <c r="F198" t="inlineStr">
        <is>
          <t>Cái</t>
        </is>
      </c>
      <c r="G198" s="2" t="n">
        <v>283</v>
      </c>
      <c r="H198" s="2">
        <f>SUMIF('01_BOC_TACH_ONG'!B:B, B198, '01_BOC_TACH_ONG'!K:K)</f>
        <v/>
      </c>
      <c r="I198" s="2">
        <f>SUMIF('02_BOC_TACH_CUA'!B:B, B198, '02_BOC_TACH_CUA'!K:K)</f>
        <v/>
      </c>
      <c r="J198" s="2">
        <f>SUMIF('03_BOC_TACH_VAN'!B:B, B198, '03_BOC_TACH_VAN'!K:K)</f>
        <v/>
      </c>
      <c r="K198" s="2">
        <f>SUM(H198:J198)</f>
        <v/>
      </c>
      <c r="L198" s="2">
        <f>K198*0.25</f>
        <v/>
      </c>
      <c r="M198" s="2">
        <f>K198*0.10</f>
        <v/>
      </c>
      <c r="N198" s="2">
        <f>K198+L198+M198</f>
        <v/>
      </c>
      <c r="O198" s="2">
        <f>IF(G198&gt;0, N198/G198, 0)</f>
        <v/>
      </c>
      <c r="P198" s="3" t="n">
        <v>0.18</v>
      </c>
      <c r="Q198" s="2">
        <f>O198*(1+P198)</f>
        <v/>
      </c>
      <c r="R198" s="2">
        <f>G198*Q198</f>
        <v/>
      </c>
    </row>
    <row r="199">
      <c r="A199" t="n">
        <v>198</v>
      </c>
      <c r="B199" t="inlineStr">
        <is>
          <t>SW-DIFF-198</t>
        </is>
      </c>
      <c r="C199" t="inlineStr">
        <is>
          <t>CỬA GIÓ</t>
        </is>
      </c>
      <c r="D199" t="inlineStr">
        <is>
          <t>KTM 1200x150 + Lưới lọc bụi</t>
        </is>
      </c>
      <c r="E199" t="inlineStr">
        <is>
          <t>1200x150</t>
        </is>
      </c>
      <c r="F199" t="inlineStr">
        <is>
          <t>Cái</t>
        </is>
      </c>
      <c r="G199" s="2" t="n">
        <v>236</v>
      </c>
      <c r="H199" s="2">
        <f>SUMIF('01_BOC_TACH_ONG'!B:B, B199, '01_BOC_TACH_ONG'!K:K)</f>
        <v/>
      </c>
      <c r="I199" s="2">
        <f>SUMIF('02_BOC_TACH_CUA'!B:B, B199, '02_BOC_TACH_CUA'!K:K)</f>
        <v/>
      </c>
      <c r="J199" s="2">
        <f>SUMIF('03_BOC_TACH_VAN'!B:B, B199, '03_BOC_TACH_VAN'!K:K)</f>
        <v/>
      </c>
      <c r="K199" s="2">
        <f>SUM(H199:J199)</f>
        <v/>
      </c>
      <c r="L199" s="2">
        <f>K199*0.25</f>
        <v/>
      </c>
      <c r="M199" s="2">
        <f>K199*0.10</f>
        <v/>
      </c>
      <c r="N199" s="2">
        <f>K199+L199+M199</f>
        <v/>
      </c>
      <c r="O199" s="2">
        <f>IF(G199&gt;0, N199/G199, 0)</f>
        <v/>
      </c>
      <c r="P199" s="3" t="n">
        <v>0.18</v>
      </c>
      <c r="Q199" s="2">
        <f>O199*(1+P199)</f>
        <v/>
      </c>
      <c r="R199" s="2">
        <f>G199*Q199</f>
        <v/>
      </c>
    </row>
    <row r="200">
      <c r="A200" t="n">
        <v>199</v>
      </c>
      <c r="B200" t="inlineStr">
        <is>
          <t>SW-DIFF-199</t>
        </is>
      </c>
      <c r="C200" t="inlineStr">
        <is>
          <t>CỬA GIÓ</t>
        </is>
      </c>
      <c r="D200" t="inlineStr">
        <is>
          <t>KTM 1200x100 + Lưới lọc bụi</t>
        </is>
      </c>
      <c r="E200" t="inlineStr">
        <is>
          <t>1200x100</t>
        </is>
      </c>
      <c r="F200" t="inlineStr">
        <is>
          <t>Cái</t>
        </is>
      </c>
      <c r="G200" s="2" t="n">
        <v>107</v>
      </c>
      <c r="H200" s="2">
        <f>SUMIF('01_BOC_TACH_ONG'!B:B, B200, '01_BOC_TACH_ONG'!K:K)</f>
        <v/>
      </c>
      <c r="I200" s="2">
        <f>SUMIF('02_BOC_TACH_CUA'!B:B, B200, '02_BOC_TACH_CUA'!K:K)</f>
        <v/>
      </c>
      <c r="J200" s="2">
        <f>SUMIF('03_BOC_TACH_VAN'!B:B, B200, '03_BOC_TACH_VAN'!K:K)</f>
        <v/>
      </c>
      <c r="K200" s="2">
        <f>SUM(H200:J200)</f>
        <v/>
      </c>
      <c r="L200" s="2">
        <f>K200*0.25</f>
        <v/>
      </c>
      <c r="M200" s="2">
        <f>K200*0.10</f>
        <v/>
      </c>
      <c r="N200" s="2">
        <f>K200+L200+M200</f>
        <v/>
      </c>
      <c r="O200" s="2">
        <f>IF(G200&gt;0, N200/G200, 0)</f>
        <v/>
      </c>
      <c r="P200" s="3" t="n">
        <v>0.18</v>
      </c>
      <c r="Q200" s="2">
        <f>O200*(1+P200)</f>
        <v/>
      </c>
      <c r="R200" s="2">
        <f>G200*Q200</f>
        <v/>
      </c>
    </row>
    <row r="201">
      <c r="A201" t="n">
        <v>200</v>
      </c>
      <c r="B201" t="inlineStr">
        <is>
          <t>SW-DIFF-200</t>
        </is>
      </c>
      <c r="C201" t="inlineStr">
        <is>
          <t>CỬA GIÓ</t>
        </is>
      </c>
      <c r="D201" t="inlineStr">
        <is>
          <t>KTM 1100x300 + Lưới lọc bụi</t>
        </is>
      </c>
      <c r="E201" t="inlineStr">
        <is>
          <t>1100x300</t>
        </is>
      </c>
      <c r="F201" t="inlineStr">
        <is>
          <t>Cái</t>
        </is>
      </c>
      <c r="G201" s="2" t="n">
        <v>21</v>
      </c>
      <c r="H201" s="2">
        <f>SUMIF('01_BOC_TACH_ONG'!B:B, B201, '01_BOC_TACH_ONG'!K:K)</f>
        <v/>
      </c>
      <c r="I201" s="2">
        <f>SUMIF('02_BOC_TACH_CUA'!B:B, B201, '02_BOC_TACH_CUA'!K:K)</f>
        <v/>
      </c>
      <c r="J201" s="2">
        <f>SUMIF('03_BOC_TACH_VAN'!B:B, B201, '03_BOC_TACH_VAN'!K:K)</f>
        <v/>
      </c>
      <c r="K201" s="2">
        <f>SUM(H201:J201)</f>
        <v/>
      </c>
      <c r="L201" s="2">
        <f>K201*0.25</f>
        <v/>
      </c>
      <c r="M201" s="2">
        <f>K201*0.10</f>
        <v/>
      </c>
      <c r="N201" s="2">
        <f>K201+L201+M201</f>
        <v/>
      </c>
      <c r="O201" s="2">
        <f>IF(G201&gt;0, N201/G201, 0)</f>
        <v/>
      </c>
      <c r="P201" s="3" t="n">
        <v>0.18</v>
      </c>
      <c r="Q201" s="2">
        <f>O201*(1+P201)</f>
        <v/>
      </c>
      <c r="R201" s="2">
        <f>G201*Q201</f>
        <v/>
      </c>
    </row>
    <row r="202">
      <c r="A202" t="n">
        <v>201</v>
      </c>
      <c r="B202" t="inlineStr">
        <is>
          <t>SW-DIFF-201</t>
        </is>
      </c>
      <c r="C202" t="inlineStr">
        <is>
          <t>CỬA GIÓ</t>
        </is>
      </c>
      <c r="D202" t="inlineStr">
        <is>
          <t>KTM 1000x500 + Lưới lọc bụi</t>
        </is>
      </c>
      <c r="E202" t="inlineStr">
        <is>
          <t>1000x500</t>
        </is>
      </c>
      <c r="F202" t="inlineStr">
        <is>
          <t>Cái</t>
        </is>
      </c>
      <c r="G202" s="2" t="n">
        <v>13</v>
      </c>
      <c r="H202" s="2">
        <f>SUMIF('01_BOC_TACH_ONG'!B:B, B202, '01_BOC_TACH_ONG'!K:K)</f>
        <v/>
      </c>
      <c r="I202" s="2">
        <f>SUMIF('02_BOC_TACH_CUA'!B:B, B202, '02_BOC_TACH_CUA'!K:K)</f>
        <v/>
      </c>
      <c r="J202" s="2">
        <f>SUMIF('03_BOC_TACH_VAN'!B:B, B202, '03_BOC_TACH_VAN'!K:K)</f>
        <v/>
      </c>
      <c r="K202" s="2">
        <f>SUM(H202:J202)</f>
        <v/>
      </c>
      <c r="L202" s="2">
        <f>K202*0.25</f>
        <v/>
      </c>
      <c r="M202" s="2">
        <f>K202*0.10</f>
        <v/>
      </c>
      <c r="N202" s="2">
        <f>K202+L202+M202</f>
        <v/>
      </c>
      <c r="O202" s="2">
        <f>IF(G202&gt;0, N202/G202, 0)</f>
        <v/>
      </c>
      <c r="P202" s="3" t="n">
        <v>0.18</v>
      </c>
      <c r="Q202" s="2">
        <f>O202*(1+P202)</f>
        <v/>
      </c>
      <c r="R202" s="2">
        <f>G202*Q202</f>
        <v/>
      </c>
    </row>
    <row r="203">
      <c r="A203" t="n">
        <v>202</v>
      </c>
      <c r="B203" t="inlineStr">
        <is>
          <t>SW-DIFF-202</t>
        </is>
      </c>
      <c r="C203" t="inlineStr">
        <is>
          <t>CỬA GIÓ</t>
        </is>
      </c>
      <c r="D203" t="inlineStr">
        <is>
          <t>KTM 450x300 + Lưới lọc bụi</t>
        </is>
      </c>
      <c r="E203" t="inlineStr">
        <is>
          <t>450x300</t>
        </is>
      </c>
      <c r="F203" t="inlineStr">
        <is>
          <t>Cái</t>
        </is>
      </c>
      <c r="G203" s="2" t="n">
        <v>1</v>
      </c>
      <c r="H203" s="2">
        <f>SUMIF('01_BOC_TACH_ONG'!B:B, B203, '01_BOC_TACH_ONG'!K:K)</f>
        <v/>
      </c>
      <c r="I203" s="2">
        <f>SUMIF('02_BOC_TACH_CUA'!B:B, B203, '02_BOC_TACH_CUA'!K:K)</f>
        <v/>
      </c>
      <c r="J203" s="2">
        <f>SUMIF('03_BOC_TACH_VAN'!B:B, B203, '03_BOC_TACH_VAN'!K:K)</f>
        <v/>
      </c>
      <c r="K203" s="2">
        <f>SUM(H203:J203)</f>
        <v/>
      </c>
      <c r="L203" s="2">
        <f>K203*0.25</f>
        <v/>
      </c>
      <c r="M203" s="2">
        <f>K203*0.10</f>
        <v/>
      </c>
      <c r="N203" s="2">
        <f>K203+L203+M203</f>
        <v/>
      </c>
      <c r="O203" s="2">
        <f>IF(G203&gt;0, N203/G203, 0)</f>
        <v/>
      </c>
      <c r="P203" s="3" t="n">
        <v>0.18</v>
      </c>
      <c r="Q203" s="2">
        <f>O203*(1+P203)</f>
        <v/>
      </c>
      <c r="R203" s="2">
        <f>G203*Q203</f>
        <v/>
      </c>
    </row>
    <row r="204">
      <c r="A204" t="n">
        <v>203</v>
      </c>
      <c r="B204" t="inlineStr">
        <is>
          <t>SW-DIFF-203</t>
        </is>
      </c>
      <c r="C204" t="inlineStr">
        <is>
          <t>CỬA GIÓ</t>
        </is>
      </c>
      <c r="D204" t="inlineStr">
        <is>
          <t>KTM 400x300 + Lưới lọc bụi</t>
        </is>
      </c>
      <c r="E204" t="inlineStr">
        <is>
          <t>400x300</t>
        </is>
      </c>
      <c r="F204" t="inlineStr">
        <is>
          <t>Cái</t>
        </is>
      </c>
      <c r="G204" s="2" t="n">
        <v>1</v>
      </c>
      <c r="H204" s="2">
        <f>SUMIF('01_BOC_TACH_ONG'!B:B, B204, '01_BOC_TACH_ONG'!K:K)</f>
        <v/>
      </c>
      <c r="I204" s="2">
        <f>SUMIF('02_BOC_TACH_CUA'!B:B, B204, '02_BOC_TACH_CUA'!K:K)</f>
        <v/>
      </c>
      <c r="J204" s="2">
        <f>SUMIF('03_BOC_TACH_VAN'!B:B, B204, '03_BOC_TACH_VAN'!K:K)</f>
        <v/>
      </c>
      <c r="K204" s="2">
        <f>SUM(H204:J204)</f>
        <v/>
      </c>
      <c r="L204" s="2">
        <f>K204*0.25</f>
        <v/>
      </c>
      <c r="M204" s="2">
        <f>K204*0.10</f>
        <v/>
      </c>
      <c r="N204" s="2">
        <f>K204+L204+M204</f>
        <v/>
      </c>
      <c r="O204" s="2">
        <f>IF(G204&gt;0, N204/G204, 0)</f>
        <v/>
      </c>
      <c r="P204" s="3" t="n">
        <v>0.18</v>
      </c>
      <c r="Q204" s="2">
        <f>O204*(1+P204)</f>
        <v/>
      </c>
      <c r="R204" s="2">
        <f>G204*Q204</f>
        <v/>
      </c>
    </row>
    <row r="205">
      <c r="A205" t="n">
        <v>204</v>
      </c>
      <c r="B205" t="inlineStr">
        <is>
          <t>SW-DIFF-204</t>
        </is>
      </c>
      <c r="C205" t="inlineStr">
        <is>
          <t>CỬA GIÓ</t>
        </is>
      </c>
      <c r="D205" t="inlineStr">
        <is>
          <t>KTM 500x300 + Lưới lọc bụi</t>
        </is>
      </c>
      <c r="E205" t="inlineStr">
        <is>
          <t>500x300</t>
        </is>
      </c>
      <c r="F205" t="inlineStr">
        <is>
          <t>Cái</t>
        </is>
      </c>
      <c r="G205" s="2" t="n">
        <v>1</v>
      </c>
      <c r="H205" s="2">
        <f>SUMIF('01_BOC_TACH_ONG'!B:B, B205, '01_BOC_TACH_ONG'!K:K)</f>
        <v/>
      </c>
      <c r="I205" s="2">
        <f>SUMIF('02_BOC_TACH_CUA'!B:B, B205, '02_BOC_TACH_CUA'!K:K)</f>
        <v/>
      </c>
      <c r="J205" s="2">
        <f>SUMIF('03_BOC_TACH_VAN'!B:B, B205, '03_BOC_TACH_VAN'!K:K)</f>
        <v/>
      </c>
      <c r="K205" s="2">
        <f>SUM(H205:J205)</f>
        <v/>
      </c>
      <c r="L205" s="2">
        <f>K205*0.25</f>
        <v/>
      </c>
      <c r="M205" s="2">
        <f>K205*0.10</f>
        <v/>
      </c>
      <c r="N205" s="2">
        <f>K205+L205+M205</f>
        <v/>
      </c>
      <c r="O205" s="2">
        <f>IF(G205&gt;0, N205/G205, 0)</f>
        <v/>
      </c>
      <c r="P205" s="3" t="n">
        <v>0.18</v>
      </c>
      <c r="Q205" s="2">
        <f>O205*(1+P205)</f>
        <v/>
      </c>
      <c r="R205" s="2">
        <f>G205*Q205</f>
        <v/>
      </c>
    </row>
    <row r="206">
      <c r="A206" t="n">
        <v>205</v>
      </c>
      <c r="B206" t="inlineStr">
        <is>
          <t>SW-DIFF-205</t>
        </is>
      </c>
      <c r="C206" t="inlineStr">
        <is>
          <t>CỬA GIÓ</t>
        </is>
      </c>
      <c r="D206" t="inlineStr">
        <is>
          <t>KTM 600x500 + Lưới lọc bụi</t>
        </is>
      </c>
      <c r="E206" t="inlineStr">
        <is>
          <t>600x500</t>
        </is>
      </c>
      <c r="F206" t="inlineStr">
        <is>
          <t>Cái</t>
        </is>
      </c>
      <c r="G206" s="2" t="n">
        <v>1</v>
      </c>
      <c r="H206" s="2">
        <f>SUMIF('01_BOC_TACH_ONG'!B:B, B206, '01_BOC_TACH_ONG'!K:K)</f>
        <v/>
      </c>
      <c r="I206" s="2">
        <f>SUMIF('02_BOC_TACH_CUA'!B:B, B206, '02_BOC_TACH_CUA'!K:K)</f>
        <v/>
      </c>
      <c r="J206" s="2">
        <f>SUMIF('03_BOC_TACH_VAN'!B:B, B206, '03_BOC_TACH_VAN'!K:K)</f>
        <v/>
      </c>
      <c r="K206" s="2">
        <f>SUM(H206:J206)</f>
        <v/>
      </c>
      <c r="L206" s="2">
        <f>K206*0.25</f>
        <v/>
      </c>
      <c r="M206" s="2">
        <f>K206*0.10</f>
        <v/>
      </c>
      <c r="N206" s="2">
        <f>K206+L206+M206</f>
        <v/>
      </c>
      <c r="O206" s="2">
        <f>IF(G206&gt;0, N206/G206, 0)</f>
        <v/>
      </c>
      <c r="P206" s="3" t="n">
        <v>0.18</v>
      </c>
      <c r="Q206" s="2">
        <f>O206*(1+P206)</f>
        <v/>
      </c>
      <c r="R206" s="2">
        <f>G206*Q206</f>
        <v/>
      </c>
    </row>
    <row r="207">
      <c r="A207" t="n">
        <v>206</v>
      </c>
      <c r="B207" t="inlineStr">
        <is>
          <t>SW-DIFF-206</t>
        </is>
      </c>
      <c r="C207" t="inlineStr">
        <is>
          <t>CỬA GIÓ</t>
        </is>
      </c>
      <c r="D207" t="inlineStr">
        <is>
          <t>KTM 900x550 + Lưới lọc bụi</t>
        </is>
      </c>
      <c r="E207" t="inlineStr">
        <is>
          <t>900x550</t>
        </is>
      </c>
      <c r="F207" t="inlineStr">
        <is>
          <t>Cái</t>
        </is>
      </c>
      <c r="G207" s="2" t="n">
        <v>1</v>
      </c>
      <c r="H207" s="2">
        <f>SUMIF('01_BOC_TACH_ONG'!B:B, B207, '01_BOC_TACH_ONG'!K:K)</f>
        <v/>
      </c>
      <c r="I207" s="2">
        <f>SUMIF('02_BOC_TACH_CUA'!B:B, B207, '02_BOC_TACH_CUA'!K:K)</f>
        <v/>
      </c>
      <c r="J207" s="2">
        <f>SUMIF('03_BOC_TACH_VAN'!B:B, B207, '03_BOC_TACH_VAN'!K:K)</f>
        <v/>
      </c>
      <c r="K207" s="2">
        <f>SUM(H207:J207)</f>
        <v/>
      </c>
      <c r="L207" s="2">
        <f>K207*0.25</f>
        <v/>
      </c>
      <c r="M207" s="2">
        <f>K207*0.10</f>
        <v/>
      </c>
      <c r="N207" s="2">
        <f>K207+L207+M207</f>
        <v/>
      </c>
      <c r="O207" s="2">
        <f>IF(G207&gt;0, N207/G207, 0)</f>
        <v/>
      </c>
      <c r="P207" s="3" t="n">
        <v>0.18</v>
      </c>
      <c r="Q207" s="2">
        <f>O207*(1+P207)</f>
        <v/>
      </c>
      <c r="R207" s="2">
        <f>G207*Q207</f>
        <v/>
      </c>
    </row>
    <row r="208">
      <c r="A208" t="n">
        <v>207</v>
      </c>
      <c r="B208" t="inlineStr">
        <is>
          <t>SW-DAMPER-207</t>
        </is>
      </c>
      <c r="C208" t="inlineStr">
        <is>
          <t>VAN GIÓ</t>
        </is>
      </c>
      <c r="D208" t="inlineStr">
        <is>
          <t>Van điều chỉnh lưu lượng VCD - Kích thước D200</t>
        </is>
      </c>
      <c r="E208" t="inlineStr">
        <is>
          <t>200x0</t>
        </is>
      </c>
      <c r="F208" t="inlineStr">
        <is>
          <t>Cái</t>
        </is>
      </c>
      <c r="G208" s="2" t="n">
        <v>416</v>
      </c>
      <c r="H208" s="2">
        <f>SUMIF('01_BOC_TACH_ONG'!B:B, B208, '01_BOC_TACH_ONG'!K:K)</f>
        <v/>
      </c>
      <c r="I208" s="2">
        <f>SUMIF('02_BOC_TACH_CUA'!B:B, B208, '02_BOC_TACH_CUA'!K:K)</f>
        <v/>
      </c>
      <c r="J208" s="2">
        <f>SUMIF('03_BOC_TACH_VAN'!B:B, B208, '03_BOC_TACH_VAN'!K:K)</f>
        <v/>
      </c>
      <c r="K208" s="2">
        <f>SUM(H208:J208)</f>
        <v/>
      </c>
      <c r="L208" s="2">
        <f>K208*0.25</f>
        <v/>
      </c>
      <c r="M208" s="2">
        <f>K208*0.10</f>
        <v/>
      </c>
      <c r="N208" s="2">
        <f>K208+L208+M208</f>
        <v/>
      </c>
      <c r="O208" s="2">
        <f>IF(G208&gt;0, N208/G208, 0)</f>
        <v/>
      </c>
      <c r="P208" s="3" t="n">
        <v>0.18</v>
      </c>
      <c r="Q208" s="2">
        <f>O208*(1+P208)</f>
        <v/>
      </c>
      <c r="R208" s="2">
        <f>G208*Q208</f>
        <v/>
      </c>
    </row>
    <row r="209">
      <c r="A209" t="n">
        <v>208</v>
      </c>
      <c r="B209" t="inlineStr">
        <is>
          <t>SW-DAMPER-208</t>
        </is>
      </c>
      <c r="C209" t="inlineStr">
        <is>
          <t>VAN GIÓ</t>
        </is>
      </c>
      <c r="D209" t="inlineStr">
        <is>
          <t>Van điều chỉnh lưu lượng VCD - Kích thước D250</t>
        </is>
      </c>
      <c r="E209" t="inlineStr">
        <is>
          <t>250x0</t>
        </is>
      </c>
      <c r="F209" t="inlineStr">
        <is>
          <t>Cái</t>
        </is>
      </c>
      <c r="G209" s="2" t="n">
        <v>42</v>
      </c>
      <c r="H209" s="2">
        <f>SUMIF('01_BOC_TACH_ONG'!B:B, B209, '01_BOC_TACH_ONG'!K:K)</f>
        <v/>
      </c>
      <c r="I209" s="2">
        <f>SUMIF('02_BOC_TACH_CUA'!B:B, B209, '02_BOC_TACH_CUA'!K:K)</f>
        <v/>
      </c>
      <c r="J209" s="2">
        <f>SUMIF('03_BOC_TACH_VAN'!B:B, B209, '03_BOC_TACH_VAN'!K:K)</f>
        <v/>
      </c>
      <c r="K209" s="2">
        <f>SUM(H209:J209)</f>
        <v/>
      </c>
      <c r="L209" s="2">
        <f>K209*0.25</f>
        <v/>
      </c>
      <c r="M209" s="2">
        <f>K209*0.10</f>
        <v/>
      </c>
      <c r="N209" s="2">
        <f>K209+L209+M209</f>
        <v/>
      </c>
      <c r="O209" s="2">
        <f>IF(G209&gt;0, N209/G209, 0)</f>
        <v/>
      </c>
      <c r="P209" s="3" t="n">
        <v>0.18</v>
      </c>
      <c r="Q209" s="2">
        <f>O209*(1+P209)</f>
        <v/>
      </c>
      <c r="R209" s="2">
        <f>G209*Q209</f>
        <v/>
      </c>
    </row>
    <row r="210">
      <c r="A210" t="n">
        <v>209</v>
      </c>
      <c r="B210" t="inlineStr">
        <is>
          <t>SW-DAMPER-209</t>
        </is>
      </c>
      <c r="C210" t="inlineStr">
        <is>
          <t>VAN GIÓ</t>
        </is>
      </c>
      <c r="D210" t="inlineStr">
        <is>
          <t>Van điều chỉnh lưu lượng VCD - Kích thước D300</t>
        </is>
      </c>
      <c r="E210" t="inlineStr">
        <is>
          <t>300x0</t>
        </is>
      </c>
      <c r="F210" t="inlineStr">
        <is>
          <t>Cái</t>
        </is>
      </c>
      <c r="G210" s="2" t="n">
        <v>391</v>
      </c>
      <c r="H210" s="2">
        <f>SUMIF('01_BOC_TACH_ONG'!B:B, B210, '01_BOC_TACH_ONG'!K:K)</f>
        <v/>
      </c>
      <c r="I210" s="2">
        <f>SUMIF('02_BOC_TACH_CUA'!B:B, B210, '02_BOC_TACH_CUA'!K:K)</f>
        <v/>
      </c>
      <c r="J210" s="2">
        <f>SUMIF('03_BOC_TACH_VAN'!B:B, B210, '03_BOC_TACH_VAN'!K:K)</f>
        <v/>
      </c>
      <c r="K210" s="2">
        <f>SUM(H210:J210)</f>
        <v/>
      </c>
      <c r="L210" s="2">
        <f>K210*0.25</f>
        <v/>
      </c>
      <c r="M210" s="2">
        <f>K210*0.10</f>
        <v/>
      </c>
      <c r="N210" s="2">
        <f>K210+L210+M210</f>
        <v/>
      </c>
      <c r="O210" s="2">
        <f>IF(G210&gt;0, N210/G210, 0)</f>
        <v/>
      </c>
      <c r="P210" s="3" t="n">
        <v>0.18</v>
      </c>
      <c r="Q210" s="2">
        <f>O210*(1+P210)</f>
        <v/>
      </c>
      <c r="R210" s="2">
        <f>G210*Q210</f>
        <v/>
      </c>
    </row>
    <row r="211">
      <c r="A211" t="n">
        <v>210</v>
      </c>
      <c r="B211" t="inlineStr">
        <is>
          <t>SW-DAMPER-210</t>
        </is>
      </c>
      <c r="C211" t="inlineStr">
        <is>
          <t>VAN GIÓ</t>
        </is>
      </c>
      <c r="D211" t="inlineStr">
        <is>
          <t>Van điều chỉnh lưu lượng VCD - Kích thước D400</t>
        </is>
      </c>
      <c r="E211" t="inlineStr">
        <is>
          <t>400x0</t>
        </is>
      </c>
      <c r="F211" t="inlineStr">
        <is>
          <t>Cái</t>
        </is>
      </c>
      <c r="G211" s="2" t="n">
        <v>61</v>
      </c>
      <c r="H211" s="2">
        <f>SUMIF('01_BOC_TACH_ONG'!B:B, B211, '01_BOC_TACH_ONG'!K:K)</f>
        <v/>
      </c>
      <c r="I211" s="2">
        <f>SUMIF('02_BOC_TACH_CUA'!B:B, B211, '02_BOC_TACH_CUA'!K:K)</f>
        <v/>
      </c>
      <c r="J211" s="2">
        <f>SUMIF('03_BOC_TACH_VAN'!B:B, B211, '03_BOC_TACH_VAN'!K:K)</f>
        <v/>
      </c>
      <c r="K211" s="2">
        <f>SUM(H211:J211)</f>
        <v/>
      </c>
      <c r="L211" s="2">
        <f>K211*0.25</f>
        <v/>
      </c>
      <c r="M211" s="2">
        <f>K211*0.10</f>
        <v/>
      </c>
      <c r="N211" s="2">
        <f>K211+L211+M211</f>
        <v/>
      </c>
      <c r="O211" s="2">
        <f>IF(G211&gt;0, N211/G211, 0)</f>
        <v/>
      </c>
      <c r="P211" s="3" t="n">
        <v>0.18</v>
      </c>
      <c r="Q211" s="2">
        <f>O211*(1+P211)</f>
        <v/>
      </c>
      <c r="R211" s="2">
        <f>G211*Q211</f>
        <v/>
      </c>
    </row>
    <row r="212">
      <c r="A212" t="n">
        <v>211</v>
      </c>
      <c r="B212" t="inlineStr">
        <is>
          <t>SW-DAMPER-211</t>
        </is>
      </c>
      <c r="C212" t="inlineStr">
        <is>
          <t>VAN GIÓ</t>
        </is>
      </c>
      <c r="D212" t="inlineStr">
        <is>
          <t>Van điều chỉnh lưu lượng VCD - Kích thước 300x200</t>
        </is>
      </c>
      <c r="E212" t="inlineStr">
        <is>
          <t>300x200</t>
        </is>
      </c>
      <c r="F212" t="inlineStr">
        <is>
          <t>Cái</t>
        </is>
      </c>
      <c r="G212" s="2" t="n">
        <v>12</v>
      </c>
      <c r="H212" s="2">
        <f>SUMIF('01_BOC_TACH_ONG'!B:B, B212, '01_BOC_TACH_ONG'!K:K)</f>
        <v/>
      </c>
      <c r="I212" s="2">
        <f>SUMIF('02_BOC_TACH_CUA'!B:B, B212, '02_BOC_TACH_CUA'!K:K)</f>
        <v/>
      </c>
      <c r="J212" s="2">
        <f>SUMIF('03_BOC_TACH_VAN'!B:B, B212, '03_BOC_TACH_VAN'!K:K)</f>
        <v/>
      </c>
      <c r="K212" s="2">
        <f>SUM(H212:J212)</f>
        <v/>
      </c>
      <c r="L212" s="2">
        <f>K212*0.25</f>
        <v/>
      </c>
      <c r="M212" s="2">
        <f>K212*0.10</f>
        <v/>
      </c>
      <c r="N212" s="2">
        <f>K212+L212+M212</f>
        <v/>
      </c>
      <c r="O212" s="2">
        <f>IF(G212&gt;0, N212/G212, 0)</f>
        <v/>
      </c>
      <c r="P212" s="3" t="n">
        <v>0.18</v>
      </c>
      <c r="Q212" s="2">
        <f>O212*(1+P212)</f>
        <v/>
      </c>
      <c r="R212" s="2">
        <f>G212*Q212</f>
        <v/>
      </c>
    </row>
    <row r="213">
      <c r="A213" t="n">
        <v>212</v>
      </c>
      <c r="B213" t="inlineStr">
        <is>
          <t>SW-DAMPER-212</t>
        </is>
      </c>
      <c r="C213" t="inlineStr">
        <is>
          <t>VAN GIÓ</t>
        </is>
      </c>
      <c r="D213" t="inlineStr">
        <is>
          <t>Van điều chỉnh lưu lượng VCD - Kích thước 300x300</t>
        </is>
      </c>
      <c r="E213" t="inlineStr">
        <is>
          <t>300x300</t>
        </is>
      </c>
      <c r="F213" t="inlineStr">
        <is>
          <t>Cái</t>
        </is>
      </c>
      <c r="G213" s="2" t="n">
        <v>2</v>
      </c>
      <c r="H213" s="2">
        <f>SUMIF('01_BOC_TACH_ONG'!B:B, B213, '01_BOC_TACH_ONG'!K:K)</f>
        <v/>
      </c>
      <c r="I213" s="2">
        <f>SUMIF('02_BOC_TACH_CUA'!B:B, B213, '02_BOC_TACH_CUA'!K:K)</f>
        <v/>
      </c>
      <c r="J213" s="2">
        <f>SUMIF('03_BOC_TACH_VAN'!B:B, B213, '03_BOC_TACH_VAN'!K:K)</f>
        <v/>
      </c>
      <c r="K213" s="2">
        <f>SUM(H213:J213)</f>
        <v/>
      </c>
      <c r="L213" s="2">
        <f>K213*0.25</f>
        <v/>
      </c>
      <c r="M213" s="2">
        <f>K213*0.10</f>
        <v/>
      </c>
      <c r="N213" s="2">
        <f>K213+L213+M213</f>
        <v/>
      </c>
      <c r="O213" s="2">
        <f>IF(G213&gt;0, N213/G213, 0)</f>
        <v/>
      </c>
      <c r="P213" s="3" t="n">
        <v>0.18</v>
      </c>
      <c r="Q213" s="2">
        <f>O213*(1+P213)</f>
        <v/>
      </c>
      <c r="R213" s="2">
        <f>G213*Q213</f>
        <v/>
      </c>
    </row>
    <row r="214">
      <c r="A214" t="n">
        <v>213</v>
      </c>
      <c r="B214" t="inlineStr">
        <is>
          <t>SW-DAMPER-213</t>
        </is>
      </c>
      <c r="C214" t="inlineStr">
        <is>
          <t>VAN GIÓ</t>
        </is>
      </c>
      <c r="D214" t="inlineStr">
        <is>
          <t>Van điều chỉnh lưu lượng VCD - Kích thước 350x300</t>
        </is>
      </c>
      <c r="E214" t="inlineStr">
        <is>
          <t>350x300</t>
        </is>
      </c>
      <c r="F214" t="inlineStr">
        <is>
          <t>Cái</t>
        </is>
      </c>
      <c r="G214" s="2" t="n">
        <v>3</v>
      </c>
      <c r="H214" s="2">
        <f>SUMIF('01_BOC_TACH_ONG'!B:B, B214, '01_BOC_TACH_ONG'!K:K)</f>
        <v/>
      </c>
      <c r="I214" s="2">
        <f>SUMIF('02_BOC_TACH_CUA'!B:B, B214, '02_BOC_TACH_CUA'!K:K)</f>
        <v/>
      </c>
      <c r="J214" s="2">
        <f>SUMIF('03_BOC_TACH_VAN'!B:B, B214, '03_BOC_TACH_VAN'!K:K)</f>
        <v/>
      </c>
      <c r="K214" s="2">
        <f>SUM(H214:J214)</f>
        <v/>
      </c>
      <c r="L214" s="2">
        <f>K214*0.25</f>
        <v/>
      </c>
      <c r="M214" s="2">
        <f>K214*0.10</f>
        <v/>
      </c>
      <c r="N214" s="2">
        <f>K214+L214+M214</f>
        <v/>
      </c>
      <c r="O214" s="2">
        <f>IF(G214&gt;0, N214/G214, 0)</f>
        <v/>
      </c>
      <c r="P214" s="3" t="n">
        <v>0.18</v>
      </c>
      <c r="Q214" s="2">
        <f>O214*(1+P214)</f>
        <v/>
      </c>
      <c r="R214" s="2">
        <f>G214*Q214</f>
        <v/>
      </c>
    </row>
    <row r="215">
      <c r="A215" t="n">
        <v>214</v>
      </c>
      <c r="B215" t="inlineStr">
        <is>
          <t>SW-DAMPER-214</t>
        </is>
      </c>
      <c r="C215" t="inlineStr">
        <is>
          <t>VAN GIÓ</t>
        </is>
      </c>
      <c r="D215" t="inlineStr">
        <is>
          <t>Van điều chỉnh lưu lượng VCD - Kích thước 350x350</t>
        </is>
      </c>
      <c r="E215" t="inlineStr">
        <is>
          <t>350x350</t>
        </is>
      </c>
      <c r="F215" t="inlineStr">
        <is>
          <t>Cái</t>
        </is>
      </c>
      <c r="G215" s="2" t="n">
        <v>1</v>
      </c>
      <c r="H215" s="2">
        <f>SUMIF('01_BOC_TACH_ONG'!B:B, B215, '01_BOC_TACH_ONG'!K:K)</f>
        <v/>
      </c>
      <c r="I215" s="2">
        <f>SUMIF('02_BOC_TACH_CUA'!B:B, B215, '02_BOC_TACH_CUA'!K:K)</f>
        <v/>
      </c>
      <c r="J215" s="2">
        <f>SUMIF('03_BOC_TACH_VAN'!B:B, B215, '03_BOC_TACH_VAN'!K:K)</f>
        <v/>
      </c>
      <c r="K215" s="2">
        <f>SUM(H215:J215)</f>
        <v/>
      </c>
      <c r="L215" s="2">
        <f>K215*0.25</f>
        <v/>
      </c>
      <c r="M215" s="2">
        <f>K215*0.10</f>
        <v/>
      </c>
      <c r="N215" s="2">
        <f>K215+L215+M215</f>
        <v/>
      </c>
      <c r="O215" s="2">
        <f>IF(G215&gt;0, N215/G215, 0)</f>
        <v/>
      </c>
      <c r="P215" s="3" t="n">
        <v>0.18</v>
      </c>
      <c r="Q215" s="2">
        <f>O215*(1+P215)</f>
        <v/>
      </c>
      <c r="R215" s="2">
        <f>G215*Q215</f>
        <v/>
      </c>
    </row>
    <row r="216">
      <c r="A216" t="n">
        <v>215</v>
      </c>
      <c r="B216" t="inlineStr">
        <is>
          <t>SW-DAMPER-215</t>
        </is>
      </c>
      <c r="C216" t="inlineStr">
        <is>
          <t>VAN GIÓ</t>
        </is>
      </c>
      <c r="D216" t="inlineStr">
        <is>
          <t>Van điều chỉnh lưu lượng VCD - Kích thước 400x350</t>
        </is>
      </c>
      <c r="E216" t="inlineStr">
        <is>
          <t>400x350</t>
        </is>
      </c>
      <c r="F216" t="inlineStr">
        <is>
          <t>Cái</t>
        </is>
      </c>
      <c r="G216" s="2" t="n">
        <v>1</v>
      </c>
      <c r="H216" s="2">
        <f>SUMIF('01_BOC_TACH_ONG'!B:B, B216, '01_BOC_TACH_ONG'!K:K)</f>
        <v/>
      </c>
      <c r="I216" s="2">
        <f>SUMIF('02_BOC_TACH_CUA'!B:B, B216, '02_BOC_TACH_CUA'!K:K)</f>
        <v/>
      </c>
      <c r="J216" s="2">
        <f>SUMIF('03_BOC_TACH_VAN'!B:B, B216, '03_BOC_TACH_VAN'!K:K)</f>
        <v/>
      </c>
      <c r="K216" s="2">
        <f>SUM(H216:J216)</f>
        <v/>
      </c>
      <c r="L216" s="2">
        <f>K216*0.25</f>
        <v/>
      </c>
      <c r="M216" s="2">
        <f>K216*0.10</f>
        <v/>
      </c>
      <c r="N216" s="2">
        <f>K216+L216+M216</f>
        <v/>
      </c>
      <c r="O216" s="2">
        <f>IF(G216&gt;0, N216/G216, 0)</f>
        <v/>
      </c>
      <c r="P216" s="3" t="n">
        <v>0.18</v>
      </c>
      <c r="Q216" s="2">
        <f>O216*(1+P216)</f>
        <v/>
      </c>
      <c r="R216" s="2">
        <f>G216*Q216</f>
        <v/>
      </c>
    </row>
    <row r="217">
      <c r="A217" t="n">
        <v>216</v>
      </c>
      <c r="B217" t="inlineStr">
        <is>
          <t>SW-DAMPER-216</t>
        </is>
      </c>
      <c r="C217" t="inlineStr">
        <is>
          <t>VAN GIÓ</t>
        </is>
      </c>
      <c r="D217" t="inlineStr">
        <is>
          <t>Van điều chỉnh lưu lượng VCD - Kích thước 450x200</t>
        </is>
      </c>
      <c r="E217" t="inlineStr">
        <is>
          <t>450x200</t>
        </is>
      </c>
      <c r="F217" t="inlineStr">
        <is>
          <t>Cái</t>
        </is>
      </c>
      <c r="G217" s="2" t="n">
        <v>3</v>
      </c>
      <c r="H217" s="2">
        <f>SUMIF('01_BOC_TACH_ONG'!B:B, B217, '01_BOC_TACH_ONG'!K:K)</f>
        <v/>
      </c>
      <c r="I217" s="2">
        <f>SUMIF('02_BOC_TACH_CUA'!B:B, B217, '02_BOC_TACH_CUA'!K:K)</f>
        <v/>
      </c>
      <c r="J217" s="2">
        <f>SUMIF('03_BOC_TACH_VAN'!B:B, B217, '03_BOC_TACH_VAN'!K:K)</f>
        <v/>
      </c>
      <c r="K217" s="2">
        <f>SUM(H217:J217)</f>
        <v/>
      </c>
      <c r="L217" s="2">
        <f>K217*0.25</f>
        <v/>
      </c>
      <c r="M217" s="2">
        <f>K217*0.10</f>
        <v/>
      </c>
      <c r="N217" s="2">
        <f>K217+L217+M217</f>
        <v/>
      </c>
      <c r="O217" s="2">
        <f>IF(G217&gt;0, N217/G217, 0)</f>
        <v/>
      </c>
      <c r="P217" s="3" t="n">
        <v>0.18</v>
      </c>
      <c r="Q217" s="2">
        <f>O217*(1+P217)</f>
        <v/>
      </c>
      <c r="R217" s="2">
        <f>G217*Q217</f>
        <v/>
      </c>
    </row>
    <row r="218">
      <c r="A218" t="n">
        <v>217</v>
      </c>
      <c r="B218" t="inlineStr">
        <is>
          <t>SW-DAMPER-217</t>
        </is>
      </c>
      <c r="C218" t="inlineStr">
        <is>
          <t>VAN GIÓ</t>
        </is>
      </c>
      <c r="D218" t="inlineStr">
        <is>
          <t>Van điều chỉnh lưu lượng VCD - Kích thước 600x200</t>
        </is>
      </c>
      <c r="E218" t="inlineStr">
        <is>
          <t>600x200</t>
        </is>
      </c>
      <c r="F218" t="inlineStr">
        <is>
          <t>Cái</t>
        </is>
      </c>
      <c r="G218" s="2" t="n">
        <v>2</v>
      </c>
      <c r="H218" s="2">
        <f>SUMIF('01_BOC_TACH_ONG'!B:B, B218, '01_BOC_TACH_ONG'!K:K)</f>
        <v/>
      </c>
      <c r="I218" s="2">
        <f>SUMIF('02_BOC_TACH_CUA'!B:B, B218, '02_BOC_TACH_CUA'!K:K)</f>
        <v/>
      </c>
      <c r="J218" s="2">
        <f>SUMIF('03_BOC_TACH_VAN'!B:B, B218, '03_BOC_TACH_VAN'!K:K)</f>
        <v/>
      </c>
      <c r="K218" s="2">
        <f>SUM(H218:J218)</f>
        <v/>
      </c>
      <c r="L218" s="2">
        <f>K218*0.25</f>
        <v/>
      </c>
      <c r="M218" s="2">
        <f>K218*0.10</f>
        <v/>
      </c>
      <c r="N218" s="2">
        <f>K218+L218+M218</f>
        <v/>
      </c>
      <c r="O218" s="2">
        <f>IF(G218&gt;0, N218/G218, 0)</f>
        <v/>
      </c>
      <c r="P218" s="3" t="n">
        <v>0.18</v>
      </c>
      <c r="Q218" s="2">
        <f>O218*(1+P218)</f>
        <v/>
      </c>
      <c r="R218" s="2">
        <f>G218*Q218</f>
        <v/>
      </c>
    </row>
    <row r="219">
      <c r="A219" t="n">
        <v>218</v>
      </c>
      <c r="B219" t="inlineStr">
        <is>
          <t>SW-DAMPER-218</t>
        </is>
      </c>
      <c r="C219" t="inlineStr">
        <is>
          <t>VAN GIÓ</t>
        </is>
      </c>
      <c r="D219" t="inlineStr">
        <is>
          <t>Van điều chỉnh lưu lượng VCD - Kích thước 600x300</t>
        </is>
      </c>
      <c r="E219" t="inlineStr">
        <is>
          <t>600x300</t>
        </is>
      </c>
      <c r="F219" t="inlineStr">
        <is>
          <t>Cái</t>
        </is>
      </c>
      <c r="G219" s="2" t="n">
        <v>2</v>
      </c>
      <c r="H219" s="2">
        <f>SUMIF('01_BOC_TACH_ONG'!B:B, B219, '01_BOC_TACH_ONG'!K:K)</f>
        <v/>
      </c>
      <c r="I219" s="2">
        <f>SUMIF('02_BOC_TACH_CUA'!B:B, B219, '02_BOC_TACH_CUA'!K:K)</f>
        <v/>
      </c>
      <c r="J219" s="2">
        <f>SUMIF('03_BOC_TACH_VAN'!B:B, B219, '03_BOC_TACH_VAN'!K:K)</f>
        <v/>
      </c>
      <c r="K219" s="2">
        <f>SUM(H219:J219)</f>
        <v/>
      </c>
      <c r="L219" s="2">
        <f>K219*0.25</f>
        <v/>
      </c>
      <c r="M219" s="2">
        <f>K219*0.10</f>
        <v/>
      </c>
      <c r="N219" s="2">
        <f>K219+L219+M219</f>
        <v/>
      </c>
      <c r="O219" s="2">
        <f>IF(G219&gt;0, N219/G219, 0)</f>
        <v/>
      </c>
      <c r="P219" s="3" t="n">
        <v>0.18</v>
      </c>
      <c r="Q219" s="2">
        <f>O219*(1+P219)</f>
        <v/>
      </c>
      <c r="R219" s="2">
        <f>G219*Q219</f>
        <v/>
      </c>
    </row>
    <row r="220">
      <c r="A220" t="n">
        <v>219</v>
      </c>
      <c r="B220" t="inlineStr">
        <is>
          <t>SW-DAMPER-219</t>
        </is>
      </c>
      <c r="C220" t="inlineStr">
        <is>
          <t>VAN GIÓ</t>
        </is>
      </c>
      <c r="D220" t="inlineStr">
        <is>
          <t>Van điều chỉnh lưu lượng VCD - Kích thước 700x400</t>
        </is>
      </c>
      <c r="E220" t="inlineStr">
        <is>
          <t>700x400</t>
        </is>
      </c>
      <c r="F220" t="inlineStr">
        <is>
          <t>Cái</t>
        </is>
      </c>
      <c r="G220" s="2" t="n">
        <v>2</v>
      </c>
      <c r="H220" s="2">
        <f>SUMIF('01_BOC_TACH_ONG'!B:B, B220, '01_BOC_TACH_ONG'!K:K)</f>
        <v/>
      </c>
      <c r="I220" s="2">
        <f>SUMIF('02_BOC_TACH_CUA'!B:B, B220, '02_BOC_TACH_CUA'!K:K)</f>
        <v/>
      </c>
      <c r="J220" s="2">
        <f>SUMIF('03_BOC_TACH_VAN'!B:B, B220, '03_BOC_TACH_VAN'!K:K)</f>
        <v/>
      </c>
      <c r="K220" s="2">
        <f>SUM(H220:J220)</f>
        <v/>
      </c>
      <c r="L220" s="2">
        <f>K220*0.25</f>
        <v/>
      </c>
      <c r="M220" s="2">
        <f>K220*0.10</f>
        <v/>
      </c>
      <c r="N220" s="2">
        <f>K220+L220+M220</f>
        <v/>
      </c>
      <c r="O220" s="2">
        <f>IF(G220&gt;0, N220/G220, 0)</f>
        <v/>
      </c>
      <c r="P220" s="3" t="n">
        <v>0.18</v>
      </c>
      <c r="Q220" s="2">
        <f>O220*(1+P220)</f>
        <v/>
      </c>
      <c r="R220" s="2">
        <f>G220*Q220</f>
        <v/>
      </c>
    </row>
    <row r="221">
      <c r="A221" t="n">
        <v>220</v>
      </c>
      <c r="B221" t="inlineStr">
        <is>
          <t>SW-DAMPER-220</t>
        </is>
      </c>
      <c r="C221" t="inlineStr">
        <is>
          <t>VAN GIÓ</t>
        </is>
      </c>
      <c r="D221" t="inlineStr">
        <is>
          <t>Van điều chỉnh lưu lượng VCD - Kích thước 900x500</t>
        </is>
      </c>
      <c r="E221" t="inlineStr">
        <is>
          <t>900x500</t>
        </is>
      </c>
      <c r="F221" t="inlineStr">
        <is>
          <t>Cái</t>
        </is>
      </c>
      <c r="G221" s="2" t="n">
        <v>3</v>
      </c>
      <c r="H221" s="2">
        <f>SUMIF('01_BOC_TACH_ONG'!B:B, B221, '01_BOC_TACH_ONG'!K:K)</f>
        <v/>
      </c>
      <c r="I221" s="2">
        <f>SUMIF('02_BOC_TACH_CUA'!B:B, B221, '02_BOC_TACH_CUA'!K:K)</f>
        <v/>
      </c>
      <c r="J221" s="2">
        <f>SUMIF('03_BOC_TACH_VAN'!B:B, B221, '03_BOC_TACH_VAN'!K:K)</f>
        <v/>
      </c>
      <c r="K221" s="2">
        <f>SUM(H221:J221)</f>
        <v/>
      </c>
      <c r="L221" s="2">
        <f>K221*0.25</f>
        <v/>
      </c>
      <c r="M221" s="2">
        <f>K221*0.10</f>
        <v/>
      </c>
      <c r="N221" s="2">
        <f>K221+L221+M221</f>
        <v/>
      </c>
      <c r="O221" s="2">
        <f>IF(G221&gt;0, N221/G221, 0)</f>
        <v/>
      </c>
      <c r="P221" s="3" t="n">
        <v>0.18</v>
      </c>
      <c r="Q221" s="2">
        <f>O221*(1+P221)</f>
        <v/>
      </c>
      <c r="R221" s="2">
        <f>G221*Q221</f>
        <v/>
      </c>
    </row>
    <row r="222">
      <c r="A222" t="n">
        <v>221</v>
      </c>
      <c r="B222" t="inlineStr">
        <is>
          <t>SW-DAMPER-221</t>
        </is>
      </c>
      <c r="C222" t="inlineStr">
        <is>
          <t>VAN GIÓ</t>
        </is>
      </c>
      <c r="D222" t="inlineStr">
        <is>
          <t>Van điều chỉnh lưu lượng VCD - Kích thước 1100x550</t>
        </is>
      </c>
      <c r="E222" t="inlineStr">
        <is>
          <t>1100x550</t>
        </is>
      </c>
      <c r="F222" t="inlineStr">
        <is>
          <t>Cái</t>
        </is>
      </c>
      <c r="G222" s="2" t="n">
        <v>2</v>
      </c>
      <c r="H222" s="2">
        <f>SUMIF('01_BOC_TACH_ONG'!B:B, B222, '01_BOC_TACH_ONG'!K:K)</f>
        <v/>
      </c>
      <c r="I222" s="2">
        <f>SUMIF('02_BOC_TACH_CUA'!B:B, B222, '02_BOC_TACH_CUA'!K:K)</f>
        <v/>
      </c>
      <c r="J222" s="2">
        <f>SUMIF('03_BOC_TACH_VAN'!B:B, B222, '03_BOC_TACH_VAN'!K:K)</f>
        <v/>
      </c>
      <c r="K222" s="2">
        <f>SUM(H222:J222)</f>
        <v/>
      </c>
      <c r="L222" s="2">
        <f>K222*0.25</f>
        <v/>
      </c>
      <c r="M222" s="2">
        <f>K222*0.10</f>
        <v/>
      </c>
      <c r="N222" s="2">
        <f>K222+L222+M222</f>
        <v/>
      </c>
      <c r="O222" s="2">
        <f>IF(G222&gt;0, N222/G222, 0)</f>
        <v/>
      </c>
      <c r="P222" s="3" t="n">
        <v>0.18</v>
      </c>
      <c r="Q222" s="2">
        <f>O222*(1+P222)</f>
        <v/>
      </c>
      <c r="R222" s="2">
        <f>G222*Q222</f>
        <v/>
      </c>
    </row>
    <row r="223">
      <c r="A223" t="n">
        <v>222</v>
      </c>
      <c r="B223" t="inlineStr">
        <is>
          <t>SW-DAMPER-222</t>
        </is>
      </c>
      <c r="C223" t="inlineStr">
        <is>
          <t>VAN GIÓ</t>
        </is>
      </c>
      <c r="D223" t="inlineStr">
        <is>
          <t>Van điều chỉnh lưu lượng VCD - Kích thước 1200x550</t>
        </is>
      </c>
      <c r="E223" t="inlineStr">
        <is>
          <t>1200x550</t>
        </is>
      </c>
      <c r="F223" t="inlineStr">
        <is>
          <t>Cái</t>
        </is>
      </c>
      <c r="G223" s="2" t="n">
        <v>1</v>
      </c>
      <c r="H223" s="2">
        <f>SUMIF('01_BOC_TACH_ONG'!B:B, B223, '01_BOC_TACH_ONG'!K:K)</f>
        <v/>
      </c>
      <c r="I223" s="2">
        <f>SUMIF('02_BOC_TACH_CUA'!B:B, B223, '02_BOC_TACH_CUA'!K:K)</f>
        <v/>
      </c>
      <c r="J223" s="2">
        <f>SUMIF('03_BOC_TACH_VAN'!B:B, B223, '03_BOC_TACH_VAN'!K:K)</f>
        <v/>
      </c>
      <c r="K223" s="2">
        <f>SUM(H223:J223)</f>
        <v/>
      </c>
      <c r="L223" s="2">
        <f>K223*0.25</f>
        <v/>
      </c>
      <c r="M223" s="2">
        <f>K223*0.10</f>
        <v/>
      </c>
      <c r="N223" s="2">
        <f>K223+L223+M223</f>
        <v/>
      </c>
      <c r="O223" s="2">
        <f>IF(G223&gt;0, N223/G223, 0)</f>
        <v/>
      </c>
      <c r="P223" s="3" t="n">
        <v>0.18</v>
      </c>
      <c r="Q223" s="2">
        <f>O223*(1+P223)</f>
        <v/>
      </c>
      <c r="R223" s="2">
        <f>G223*Q223</f>
        <v/>
      </c>
    </row>
    <row r="224">
      <c r="A224" t="n">
        <v>223</v>
      </c>
      <c r="B224" t="inlineStr">
        <is>
          <t>SW-DAMPER-223</t>
        </is>
      </c>
      <c r="C224" t="inlineStr">
        <is>
          <t>VAN GIÓ</t>
        </is>
      </c>
      <c r="D224" t="inlineStr">
        <is>
          <t>Van điều chỉnh lưu lượng VCD - Kích thước 1250x600</t>
        </is>
      </c>
      <c r="E224" t="inlineStr">
        <is>
          <t>1250x600</t>
        </is>
      </c>
      <c r="F224" t="inlineStr">
        <is>
          <t>Cái</t>
        </is>
      </c>
      <c r="G224" s="2" t="n">
        <v>2</v>
      </c>
      <c r="H224" s="2">
        <f>SUMIF('01_BOC_TACH_ONG'!B:B, B224, '01_BOC_TACH_ONG'!K:K)</f>
        <v/>
      </c>
      <c r="I224" s="2">
        <f>SUMIF('02_BOC_TACH_CUA'!B:B, B224, '02_BOC_TACH_CUA'!K:K)</f>
        <v/>
      </c>
      <c r="J224" s="2">
        <f>SUMIF('03_BOC_TACH_VAN'!B:B, B224, '03_BOC_TACH_VAN'!K:K)</f>
        <v/>
      </c>
      <c r="K224" s="2">
        <f>SUM(H224:J224)</f>
        <v/>
      </c>
      <c r="L224" s="2">
        <f>K224*0.25</f>
        <v/>
      </c>
      <c r="M224" s="2">
        <f>K224*0.10</f>
        <v/>
      </c>
      <c r="N224" s="2">
        <f>K224+L224+M224</f>
        <v/>
      </c>
      <c r="O224" s="2">
        <f>IF(G224&gt;0, N224/G224, 0)</f>
        <v/>
      </c>
      <c r="P224" s="3" t="n">
        <v>0.18</v>
      </c>
      <c r="Q224" s="2">
        <f>O224*(1+P224)</f>
        <v/>
      </c>
      <c r="R224" s="2">
        <f>G224*Q224</f>
        <v/>
      </c>
    </row>
    <row r="225">
      <c r="A225" t="n">
        <v>224</v>
      </c>
      <c r="B225" t="inlineStr">
        <is>
          <t>SW-DAMPER-224</t>
        </is>
      </c>
      <c r="C225" t="inlineStr">
        <is>
          <t>VAN GIÓ</t>
        </is>
      </c>
      <c r="D225" t="inlineStr">
        <is>
          <t>Van điều chỉnh lưu lượng VCD - Kích thước 1300x650</t>
        </is>
      </c>
      <c r="E225" t="inlineStr">
        <is>
          <t>1300x650</t>
        </is>
      </c>
      <c r="F225" t="inlineStr">
        <is>
          <t>Cái</t>
        </is>
      </c>
      <c r="G225" s="2" t="n">
        <v>1</v>
      </c>
      <c r="H225" s="2">
        <f>SUMIF('01_BOC_TACH_ONG'!B:B, B225, '01_BOC_TACH_ONG'!K:K)</f>
        <v/>
      </c>
      <c r="I225" s="2">
        <f>SUMIF('02_BOC_TACH_CUA'!B:B, B225, '02_BOC_TACH_CUA'!K:K)</f>
        <v/>
      </c>
      <c r="J225" s="2">
        <f>SUMIF('03_BOC_TACH_VAN'!B:B, B225, '03_BOC_TACH_VAN'!K:K)</f>
        <v/>
      </c>
      <c r="K225" s="2">
        <f>SUM(H225:J225)</f>
        <v/>
      </c>
      <c r="L225" s="2">
        <f>K225*0.25</f>
        <v/>
      </c>
      <c r="M225" s="2">
        <f>K225*0.10</f>
        <v/>
      </c>
      <c r="N225" s="2">
        <f>K225+L225+M225</f>
        <v/>
      </c>
      <c r="O225" s="2">
        <f>IF(G225&gt;0, N225/G225, 0)</f>
        <v/>
      </c>
      <c r="P225" s="3" t="n">
        <v>0.18</v>
      </c>
      <c r="Q225" s="2">
        <f>O225*(1+P225)</f>
        <v/>
      </c>
      <c r="R225" s="2">
        <f>G225*Q225</f>
        <v/>
      </c>
    </row>
    <row r="226">
      <c r="A226" t="n">
        <v>225</v>
      </c>
      <c r="B226" t="inlineStr">
        <is>
          <t>SW-DAMPER-225</t>
        </is>
      </c>
      <c r="C226" t="inlineStr">
        <is>
          <t>VAN GIÓ</t>
        </is>
      </c>
      <c r="D226" t="inlineStr">
        <is>
          <t>Van chặn lửa FD EI45 - Kích thước 300x200</t>
        </is>
      </c>
      <c r="E226" t="inlineStr">
        <is>
          <t>300x200</t>
        </is>
      </c>
      <c r="F226" t="inlineStr">
        <is>
          <t>Cái</t>
        </is>
      </c>
      <c r="G226" s="2" t="n">
        <v>12</v>
      </c>
      <c r="H226" s="2">
        <f>SUMIF('01_BOC_TACH_ONG'!B:B, B226, '01_BOC_TACH_ONG'!K:K)</f>
        <v/>
      </c>
      <c r="I226" s="2">
        <f>SUMIF('02_BOC_TACH_CUA'!B:B, B226, '02_BOC_TACH_CUA'!K:K)</f>
        <v/>
      </c>
      <c r="J226" s="2">
        <f>SUMIF('03_BOC_TACH_VAN'!B:B, B226, '03_BOC_TACH_VAN'!K:K)</f>
        <v/>
      </c>
      <c r="K226" s="2">
        <f>SUM(H226:J226)</f>
        <v/>
      </c>
      <c r="L226" s="2">
        <f>K226*0.25</f>
        <v/>
      </c>
      <c r="M226" s="2">
        <f>K226*0.10</f>
        <v/>
      </c>
      <c r="N226" s="2">
        <f>K226+L226+M226</f>
        <v/>
      </c>
      <c r="O226" s="2">
        <f>IF(G226&gt;0, N226/G226, 0)</f>
        <v/>
      </c>
      <c r="P226" s="3" t="n">
        <v>0.18</v>
      </c>
      <c r="Q226" s="2">
        <f>O226*(1+P226)</f>
        <v/>
      </c>
      <c r="R226" s="2">
        <f>G226*Q226</f>
        <v/>
      </c>
    </row>
    <row r="227">
      <c r="A227" t="n">
        <v>226</v>
      </c>
      <c r="B227" t="inlineStr">
        <is>
          <t>SW-DAMPER-226</t>
        </is>
      </c>
      <c r="C227" t="inlineStr">
        <is>
          <t>VAN GIÓ</t>
        </is>
      </c>
      <c r="D227" t="inlineStr">
        <is>
          <t>Van chặn lửa FD EI45 - Kích thước 350x300</t>
        </is>
      </c>
      <c r="E227" t="inlineStr">
        <is>
          <t>350x300</t>
        </is>
      </c>
      <c r="F227" t="inlineStr">
        <is>
          <t>Cái</t>
        </is>
      </c>
      <c r="G227" s="2" t="n">
        <v>3</v>
      </c>
      <c r="H227" s="2">
        <f>SUMIF('01_BOC_TACH_ONG'!B:B, B227, '01_BOC_TACH_ONG'!K:K)</f>
        <v/>
      </c>
      <c r="I227" s="2">
        <f>SUMIF('02_BOC_TACH_CUA'!B:B, B227, '02_BOC_TACH_CUA'!K:K)</f>
        <v/>
      </c>
      <c r="J227" s="2">
        <f>SUMIF('03_BOC_TACH_VAN'!B:B, B227, '03_BOC_TACH_VAN'!K:K)</f>
        <v/>
      </c>
      <c r="K227" s="2">
        <f>SUM(H227:J227)</f>
        <v/>
      </c>
      <c r="L227" s="2">
        <f>K227*0.25</f>
        <v/>
      </c>
      <c r="M227" s="2">
        <f>K227*0.10</f>
        <v/>
      </c>
      <c r="N227" s="2">
        <f>K227+L227+M227</f>
        <v/>
      </c>
      <c r="O227" s="2">
        <f>IF(G227&gt;0, N227/G227, 0)</f>
        <v/>
      </c>
      <c r="P227" s="3" t="n">
        <v>0.18</v>
      </c>
      <c r="Q227" s="2">
        <f>O227*(1+P227)</f>
        <v/>
      </c>
      <c r="R227" s="2">
        <f>G227*Q227</f>
        <v/>
      </c>
    </row>
    <row r="228">
      <c r="A228" t="n">
        <v>227</v>
      </c>
      <c r="B228" t="inlineStr">
        <is>
          <t>SW-DAMPER-227</t>
        </is>
      </c>
      <c r="C228" t="inlineStr">
        <is>
          <t>VAN GIÓ</t>
        </is>
      </c>
      <c r="D228" t="inlineStr">
        <is>
          <t>Van chặn lửa FD EI45 - Kích thước 350x350</t>
        </is>
      </c>
      <c r="E228" t="inlineStr">
        <is>
          <t>350x350</t>
        </is>
      </c>
      <c r="F228" t="inlineStr">
        <is>
          <t>Cái</t>
        </is>
      </c>
      <c r="G228" s="2" t="n">
        <v>1</v>
      </c>
      <c r="H228" s="2">
        <f>SUMIF('01_BOC_TACH_ONG'!B:B, B228, '01_BOC_TACH_ONG'!K:K)</f>
        <v/>
      </c>
      <c r="I228" s="2">
        <f>SUMIF('02_BOC_TACH_CUA'!B:B, B228, '02_BOC_TACH_CUA'!K:K)</f>
        <v/>
      </c>
      <c r="J228" s="2">
        <f>SUMIF('03_BOC_TACH_VAN'!B:B, B228, '03_BOC_TACH_VAN'!K:K)</f>
        <v/>
      </c>
      <c r="K228" s="2">
        <f>SUM(H228:J228)</f>
        <v/>
      </c>
      <c r="L228" s="2">
        <f>K228*0.25</f>
        <v/>
      </c>
      <c r="M228" s="2">
        <f>K228*0.10</f>
        <v/>
      </c>
      <c r="N228" s="2">
        <f>K228+L228+M228</f>
        <v/>
      </c>
      <c r="O228" s="2">
        <f>IF(G228&gt;0, N228/G228, 0)</f>
        <v/>
      </c>
      <c r="P228" s="3" t="n">
        <v>0.18</v>
      </c>
      <c r="Q228" s="2">
        <f>O228*(1+P228)</f>
        <v/>
      </c>
      <c r="R228" s="2">
        <f>G228*Q228</f>
        <v/>
      </c>
    </row>
    <row r="229">
      <c r="A229" t="n">
        <v>228</v>
      </c>
      <c r="B229" t="inlineStr">
        <is>
          <t>SW-DAMPER-228</t>
        </is>
      </c>
      <c r="C229" t="inlineStr">
        <is>
          <t>VAN GIÓ</t>
        </is>
      </c>
      <c r="D229" t="inlineStr">
        <is>
          <t>Van chặn lửa FD EI45 - Kích thước 400x350</t>
        </is>
      </c>
      <c r="E229" t="inlineStr">
        <is>
          <t>400x300</t>
        </is>
      </c>
      <c r="F229" t="inlineStr">
        <is>
          <t>Cái</t>
        </is>
      </c>
      <c r="G229" s="2" t="n">
        <v>3</v>
      </c>
      <c r="H229" s="2">
        <f>SUMIF('01_BOC_TACH_ONG'!B:B, B229, '01_BOC_TACH_ONG'!K:K)</f>
        <v/>
      </c>
      <c r="I229" s="2">
        <f>SUMIF('02_BOC_TACH_CUA'!B:B, B229, '02_BOC_TACH_CUA'!K:K)</f>
        <v/>
      </c>
      <c r="J229" s="2">
        <f>SUMIF('03_BOC_TACH_VAN'!B:B, B229, '03_BOC_TACH_VAN'!K:K)</f>
        <v/>
      </c>
      <c r="K229" s="2">
        <f>SUM(H229:J229)</f>
        <v/>
      </c>
      <c r="L229" s="2">
        <f>K229*0.25</f>
        <v/>
      </c>
      <c r="M229" s="2">
        <f>K229*0.10</f>
        <v/>
      </c>
      <c r="N229" s="2">
        <f>K229+L229+M229</f>
        <v/>
      </c>
      <c r="O229" s="2">
        <f>IF(G229&gt;0, N229/G229, 0)</f>
        <v/>
      </c>
      <c r="P229" s="3" t="n">
        <v>0.18</v>
      </c>
      <c r="Q229" s="2">
        <f>O229*(1+P229)</f>
        <v/>
      </c>
      <c r="R229" s="2">
        <f>G229*Q229</f>
        <v/>
      </c>
    </row>
    <row r="230">
      <c r="A230" t="n">
        <v>229</v>
      </c>
      <c r="B230" t="inlineStr">
        <is>
          <t>SW-DAMPER-229</t>
        </is>
      </c>
      <c r="C230" t="inlineStr">
        <is>
          <t>VAN GIÓ</t>
        </is>
      </c>
      <c r="D230" t="inlineStr">
        <is>
          <t>Van chặn lửa FD EI45 - Kích thước 450x200</t>
        </is>
      </c>
      <c r="E230" t="inlineStr">
        <is>
          <t>450x200</t>
        </is>
      </c>
      <c r="F230" t="inlineStr">
        <is>
          <t>Cái</t>
        </is>
      </c>
      <c r="G230" s="2" t="n">
        <v>3</v>
      </c>
      <c r="H230" s="2">
        <f>SUMIF('01_BOC_TACH_ONG'!B:B, B230, '01_BOC_TACH_ONG'!K:K)</f>
        <v/>
      </c>
      <c r="I230" s="2">
        <f>SUMIF('02_BOC_TACH_CUA'!B:B, B230, '02_BOC_TACH_CUA'!K:K)</f>
        <v/>
      </c>
      <c r="J230" s="2">
        <f>SUMIF('03_BOC_TACH_VAN'!B:B, B230, '03_BOC_TACH_VAN'!K:K)</f>
        <v/>
      </c>
      <c r="K230" s="2">
        <f>SUM(H230:J230)</f>
        <v/>
      </c>
      <c r="L230" s="2">
        <f>K230*0.25</f>
        <v/>
      </c>
      <c r="M230" s="2">
        <f>K230*0.10</f>
        <v/>
      </c>
      <c r="N230" s="2">
        <f>K230+L230+M230</f>
        <v/>
      </c>
      <c r="O230" s="2">
        <f>IF(G230&gt;0, N230/G230, 0)</f>
        <v/>
      </c>
      <c r="P230" s="3" t="n">
        <v>0.18</v>
      </c>
      <c r="Q230" s="2">
        <f>O230*(1+P230)</f>
        <v/>
      </c>
      <c r="R230" s="2">
        <f>G230*Q230</f>
        <v/>
      </c>
    </row>
    <row r="231">
      <c r="A231" t="n">
        <v>230</v>
      </c>
      <c r="B231" t="inlineStr">
        <is>
          <t>SW-DAMPER-230</t>
        </is>
      </c>
      <c r="C231" t="inlineStr">
        <is>
          <t>VAN GIÓ</t>
        </is>
      </c>
      <c r="D231" t="inlineStr">
        <is>
          <t>Van chặn lửa FD EI45 - Kích thước 600x200</t>
        </is>
      </c>
      <c r="E231" t="inlineStr">
        <is>
          <t>600x200</t>
        </is>
      </c>
      <c r="F231" t="inlineStr">
        <is>
          <t>Cái</t>
        </is>
      </c>
      <c r="G231" s="2" t="n">
        <v>2</v>
      </c>
      <c r="H231" s="2">
        <f>SUMIF('01_BOC_TACH_ONG'!B:B, B231, '01_BOC_TACH_ONG'!K:K)</f>
        <v/>
      </c>
      <c r="I231" s="2">
        <f>SUMIF('02_BOC_TACH_CUA'!B:B, B231, '02_BOC_TACH_CUA'!K:K)</f>
        <v/>
      </c>
      <c r="J231" s="2">
        <f>SUMIF('03_BOC_TACH_VAN'!B:B, B231, '03_BOC_TACH_VAN'!K:K)</f>
        <v/>
      </c>
      <c r="K231" s="2">
        <f>SUM(H231:J231)</f>
        <v/>
      </c>
      <c r="L231" s="2">
        <f>K231*0.25</f>
        <v/>
      </c>
      <c r="M231" s="2">
        <f>K231*0.10</f>
        <v/>
      </c>
      <c r="N231" s="2">
        <f>K231+L231+M231</f>
        <v/>
      </c>
      <c r="O231" s="2">
        <f>IF(G231&gt;0, N231/G231, 0)</f>
        <v/>
      </c>
      <c r="P231" s="3" t="n">
        <v>0.18</v>
      </c>
      <c r="Q231" s="2">
        <f>O231*(1+P231)</f>
        <v/>
      </c>
      <c r="R231" s="2">
        <f>G231*Q231</f>
        <v/>
      </c>
    </row>
    <row r="232">
      <c r="A232" t="n">
        <v>231</v>
      </c>
      <c r="B232" t="inlineStr">
        <is>
          <t>SW-DAMPER-231</t>
        </is>
      </c>
      <c r="C232" t="inlineStr">
        <is>
          <t>VAN GIÓ</t>
        </is>
      </c>
      <c r="D232" t="inlineStr">
        <is>
          <t>Van chặn lửa FD EI45 - Kích thước 600x300</t>
        </is>
      </c>
      <c r="E232" t="inlineStr">
        <is>
          <t>600x300</t>
        </is>
      </c>
      <c r="F232" t="inlineStr">
        <is>
          <t>Cái</t>
        </is>
      </c>
      <c r="G232" s="2" t="n">
        <v>2</v>
      </c>
      <c r="H232" s="2">
        <f>SUMIF('01_BOC_TACH_ONG'!B:B, B232, '01_BOC_TACH_ONG'!K:K)</f>
        <v/>
      </c>
      <c r="I232" s="2">
        <f>SUMIF('02_BOC_TACH_CUA'!B:B, B232, '02_BOC_TACH_CUA'!K:K)</f>
        <v/>
      </c>
      <c r="J232" s="2">
        <f>SUMIF('03_BOC_TACH_VAN'!B:B, B232, '03_BOC_TACH_VAN'!K:K)</f>
        <v/>
      </c>
      <c r="K232" s="2">
        <f>SUM(H232:J232)</f>
        <v/>
      </c>
      <c r="L232" s="2">
        <f>K232*0.25</f>
        <v/>
      </c>
      <c r="M232" s="2">
        <f>K232*0.10</f>
        <v/>
      </c>
      <c r="N232" s="2">
        <f>K232+L232+M232</f>
        <v/>
      </c>
      <c r="O232" s="2">
        <f>IF(G232&gt;0, N232/G232, 0)</f>
        <v/>
      </c>
      <c r="P232" s="3" t="n">
        <v>0.18</v>
      </c>
      <c r="Q232" s="2">
        <f>O232*(1+P232)</f>
        <v/>
      </c>
      <c r="R232" s="2">
        <f>G232*Q232</f>
        <v/>
      </c>
    </row>
    <row r="233">
      <c r="A233" t="n">
        <v>232</v>
      </c>
      <c r="B233" t="inlineStr">
        <is>
          <t>SW-DAMPER-232</t>
        </is>
      </c>
      <c r="C233" t="inlineStr">
        <is>
          <t>VAN GIÓ</t>
        </is>
      </c>
      <c r="D233" t="inlineStr">
        <is>
          <t>Van chặn lửa FD EI45 - Kích thước 750x450</t>
        </is>
      </c>
      <c r="E233" t="inlineStr">
        <is>
          <t>750x450</t>
        </is>
      </c>
      <c r="F233" t="inlineStr">
        <is>
          <t>Cái</t>
        </is>
      </c>
      <c r="G233" s="2" t="n">
        <v>4</v>
      </c>
      <c r="H233" s="2">
        <f>SUMIF('01_BOC_TACH_ONG'!B:B, B233, '01_BOC_TACH_ONG'!K:K)</f>
        <v/>
      </c>
      <c r="I233" s="2">
        <f>SUMIF('02_BOC_TACH_CUA'!B:B, B233, '02_BOC_TACH_CUA'!K:K)</f>
        <v/>
      </c>
      <c r="J233" s="2">
        <f>SUMIF('03_BOC_TACH_VAN'!B:B, B233, '03_BOC_TACH_VAN'!K:K)</f>
        <v/>
      </c>
      <c r="K233" s="2">
        <f>SUM(H233:J233)</f>
        <v/>
      </c>
      <c r="L233" s="2">
        <f>K233*0.25</f>
        <v/>
      </c>
      <c r="M233" s="2">
        <f>K233*0.10</f>
        <v/>
      </c>
      <c r="N233" s="2">
        <f>K233+L233+M233</f>
        <v/>
      </c>
      <c r="O233" s="2">
        <f>IF(G233&gt;0, N233/G233, 0)</f>
        <v/>
      </c>
      <c r="P233" s="3" t="n">
        <v>0.18</v>
      </c>
      <c r="Q233" s="2">
        <f>O233*(1+P233)</f>
        <v/>
      </c>
      <c r="R233" s="2">
        <f>G233*Q233</f>
        <v/>
      </c>
    </row>
    <row r="234">
      <c r="A234" t="n">
        <v>233</v>
      </c>
      <c r="B234" t="inlineStr">
        <is>
          <t>SW-DAMPER-233</t>
        </is>
      </c>
      <c r="C234" t="inlineStr">
        <is>
          <t>VAN GIÓ</t>
        </is>
      </c>
      <c r="D234" t="inlineStr">
        <is>
          <t>Van chặn lửa FD EI45 - Kích thước 900x500</t>
        </is>
      </c>
      <c r="E234" t="inlineStr">
        <is>
          <t>900x500</t>
        </is>
      </c>
      <c r="F234" t="inlineStr">
        <is>
          <t>Cái</t>
        </is>
      </c>
      <c r="G234" s="2" t="n">
        <v>4</v>
      </c>
      <c r="H234" s="2">
        <f>SUMIF('01_BOC_TACH_ONG'!B:B, B234, '01_BOC_TACH_ONG'!K:K)</f>
        <v/>
      </c>
      <c r="I234" s="2">
        <f>SUMIF('02_BOC_TACH_CUA'!B:B, B234, '02_BOC_TACH_CUA'!K:K)</f>
        <v/>
      </c>
      <c r="J234" s="2">
        <f>SUMIF('03_BOC_TACH_VAN'!B:B, B234, '03_BOC_TACH_VAN'!K:K)</f>
        <v/>
      </c>
      <c r="K234" s="2">
        <f>SUM(H234:J234)</f>
        <v/>
      </c>
      <c r="L234" s="2">
        <f>K234*0.25</f>
        <v/>
      </c>
      <c r="M234" s="2">
        <f>K234*0.10</f>
        <v/>
      </c>
      <c r="N234" s="2">
        <f>K234+L234+M234</f>
        <v/>
      </c>
      <c r="O234" s="2">
        <f>IF(G234&gt;0, N234/G234, 0)</f>
        <v/>
      </c>
      <c r="P234" s="3" t="n">
        <v>0.18</v>
      </c>
      <c r="Q234" s="2">
        <f>O234*(1+P234)</f>
        <v/>
      </c>
      <c r="R234" s="2">
        <f>G234*Q234</f>
        <v/>
      </c>
    </row>
    <row r="235">
      <c r="A235" t="n">
        <v>234</v>
      </c>
      <c r="B235" t="inlineStr">
        <is>
          <t>SW-DAMPER-234</t>
        </is>
      </c>
      <c r="C235" t="inlineStr">
        <is>
          <t>VAN GIÓ</t>
        </is>
      </c>
      <c r="D235" t="inlineStr">
        <is>
          <t>Van chặn lửa FD EI45 - Kích thước 1700x750</t>
        </is>
      </c>
      <c r="E235" t="inlineStr">
        <is>
          <t>1700x750</t>
        </is>
      </c>
      <c r="F235" t="inlineStr">
        <is>
          <t>Cái</t>
        </is>
      </c>
      <c r="G235" s="2" t="n">
        <v>2</v>
      </c>
      <c r="H235" s="2">
        <f>SUMIF('01_BOC_TACH_ONG'!B:B, B235, '01_BOC_TACH_ONG'!K:K)</f>
        <v/>
      </c>
      <c r="I235" s="2">
        <f>SUMIF('02_BOC_TACH_CUA'!B:B, B235, '02_BOC_TACH_CUA'!K:K)</f>
        <v/>
      </c>
      <c r="J235" s="2">
        <f>SUMIF('03_BOC_TACH_VAN'!B:B, B235, '03_BOC_TACH_VAN'!K:K)</f>
        <v/>
      </c>
      <c r="K235" s="2">
        <f>SUM(H235:J235)</f>
        <v/>
      </c>
      <c r="L235" s="2">
        <f>K235*0.25</f>
        <v/>
      </c>
      <c r="M235" s="2">
        <f>K235*0.10</f>
        <v/>
      </c>
      <c r="N235" s="2">
        <f>K235+L235+M235</f>
        <v/>
      </c>
      <c r="O235" s="2">
        <f>IF(G235&gt;0, N235/G235, 0)</f>
        <v/>
      </c>
      <c r="P235" s="3" t="n">
        <v>0.18</v>
      </c>
      <c r="Q235" s="2">
        <f>O235*(1+P235)</f>
        <v/>
      </c>
      <c r="R235" s="2">
        <f>G235*Q235</f>
        <v/>
      </c>
    </row>
    <row r="236">
      <c r="A236" t="n">
        <v>235</v>
      </c>
      <c r="B236" t="inlineStr">
        <is>
          <t>SW-DAMPER-235</t>
        </is>
      </c>
      <c r="C236" t="inlineStr">
        <is>
          <t>VAN GIÓ</t>
        </is>
      </c>
      <c r="D236" t="inlineStr">
        <is>
          <t>Van chặn lửa FD EI45 - Kích thước 2000x1000</t>
        </is>
      </c>
      <c r="E236" t="inlineStr">
        <is>
          <t>2000x1000</t>
        </is>
      </c>
      <c r="F236" t="inlineStr">
        <is>
          <t>Cái</t>
        </is>
      </c>
      <c r="G236" s="2" t="n">
        <v>4</v>
      </c>
      <c r="H236" s="2">
        <f>SUMIF('01_BOC_TACH_ONG'!B:B, B236, '01_BOC_TACH_ONG'!K:K)</f>
        <v/>
      </c>
      <c r="I236" s="2">
        <f>SUMIF('02_BOC_TACH_CUA'!B:B, B236, '02_BOC_TACH_CUA'!K:K)</f>
        <v/>
      </c>
      <c r="J236" s="2">
        <f>SUMIF('03_BOC_TACH_VAN'!B:B, B236, '03_BOC_TACH_VAN'!K:K)</f>
        <v/>
      </c>
      <c r="K236" s="2">
        <f>SUM(H236:J236)</f>
        <v/>
      </c>
      <c r="L236" s="2">
        <f>K236*0.25</f>
        <v/>
      </c>
      <c r="M236" s="2">
        <f>K236*0.10</f>
        <v/>
      </c>
      <c r="N236" s="2">
        <f>K236+L236+M236</f>
        <v/>
      </c>
      <c r="O236" s="2">
        <f>IF(G236&gt;0, N236/G236, 0)</f>
        <v/>
      </c>
      <c r="P236" s="3" t="n">
        <v>0.18</v>
      </c>
      <c r="Q236" s="2">
        <f>O236*(1+P236)</f>
        <v/>
      </c>
      <c r="R236" s="2">
        <f>G236*Q236</f>
        <v/>
      </c>
    </row>
    <row r="237">
      <c r="A237" t="n">
        <v>236</v>
      </c>
      <c r="B237" t="inlineStr">
        <is>
          <t>SW-DAMPER-236</t>
        </is>
      </c>
      <c r="C237" t="inlineStr">
        <is>
          <t>VAN GIÓ</t>
        </is>
      </c>
      <c r="D237" t="inlineStr">
        <is>
          <t>Van gió MD - Kích thước 300x300</t>
        </is>
      </c>
      <c r="E237" t="inlineStr">
        <is>
          <t>300x300</t>
        </is>
      </c>
      <c r="F237" t="inlineStr">
        <is>
          <t>Cái</t>
        </is>
      </c>
      <c r="G237" s="2" t="n">
        <v>1</v>
      </c>
      <c r="H237" s="2">
        <f>SUMIF('01_BOC_TACH_ONG'!B:B, B237, '01_BOC_TACH_ONG'!K:K)</f>
        <v/>
      </c>
      <c r="I237" s="2">
        <f>SUMIF('02_BOC_TACH_CUA'!B:B, B237, '02_BOC_TACH_CUA'!K:K)</f>
        <v/>
      </c>
      <c r="J237" s="2">
        <f>SUMIF('03_BOC_TACH_VAN'!B:B, B237, '03_BOC_TACH_VAN'!K:K)</f>
        <v/>
      </c>
      <c r="K237" s="2">
        <f>SUM(H237:J237)</f>
        <v/>
      </c>
      <c r="L237" s="2">
        <f>K237*0.25</f>
        <v/>
      </c>
      <c r="M237" s="2">
        <f>K237*0.10</f>
        <v/>
      </c>
      <c r="N237" s="2">
        <f>K237+L237+M237</f>
        <v/>
      </c>
      <c r="O237" s="2">
        <f>IF(G237&gt;0, N237/G237, 0)</f>
        <v/>
      </c>
      <c r="P237" s="3" t="n">
        <v>0.18</v>
      </c>
      <c r="Q237" s="2">
        <f>O237*(1+P237)</f>
        <v/>
      </c>
      <c r="R237" s="2">
        <f>G237*Q237</f>
        <v/>
      </c>
    </row>
    <row r="238">
      <c r="A238" t="n">
        <v>237</v>
      </c>
      <c r="B238" t="inlineStr">
        <is>
          <t>SW-DAMPER-237</t>
        </is>
      </c>
      <c r="C238" t="inlineStr">
        <is>
          <t>VAN GIÓ</t>
        </is>
      </c>
      <c r="D238" t="inlineStr">
        <is>
          <t>Van gió MD - Kích thước 500x400</t>
        </is>
      </c>
      <c r="E238" t="inlineStr">
        <is>
          <t>500x400</t>
        </is>
      </c>
      <c r="F238" t="inlineStr">
        <is>
          <t>Cái</t>
        </is>
      </c>
      <c r="G238" s="2" t="n">
        <v>1</v>
      </c>
      <c r="H238" s="2">
        <f>SUMIF('01_BOC_TACH_ONG'!B:B, B238, '01_BOC_TACH_ONG'!K:K)</f>
        <v/>
      </c>
      <c r="I238" s="2">
        <f>SUMIF('02_BOC_TACH_CUA'!B:B, B238, '02_BOC_TACH_CUA'!K:K)</f>
        <v/>
      </c>
      <c r="J238" s="2">
        <f>SUMIF('03_BOC_TACH_VAN'!B:B, B238, '03_BOC_TACH_VAN'!K:K)</f>
        <v/>
      </c>
      <c r="K238" s="2">
        <f>SUM(H238:J238)</f>
        <v/>
      </c>
      <c r="L238" s="2">
        <f>K238*0.25</f>
        <v/>
      </c>
      <c r="M238" s="2">
        <f>K238*0.10</f>
        <v/>
      </c>
      <c r="N238" s="2">
        <f>K238+L238+M238</f>
        <v/>
      </c>
      <c r="O238" s="2">
        <f>IF(G238&gt;0, N238/G238, 0)</f>
        <v/>
      </c>
      <c r="P238" s="3" t="n">
        <v>0.18</v>
      </c>
      <c r="Q238" s="2">
        <f>O238*(1+P238)</f>
        <v/>
      </c>
      <c r="R238" s="2">
        <f>G238*Q238</f>
        <v/>
      </c>
    </row>
    <row r="239">
      <c r="A239" t="n">
        <v>238</v>
      </c>
      <c r="B239" t="inlineStr">
        <is>
          <t>SW-DAMPER-238</t>
        </is>
      </c>
      <c r="C239" t="inlineStr">
        <is>
          <t>VAN GIÓ</t>
        </is>
      </c>
      <c r="D239" t="inlineStr">
        <is>
          <t>Van gió MD - Kích thước 550x450</t>
        </is>
      </c>
      <c r="E239" t="inlineStr">
        <is>
          <t>550x450</t>
        </is>
      </c>
      <c r="F239" t="inlineStr">
        <is>
          <t>Cái</t>
        </is>
      </c>
      <c r="G239" s="2" t="n">
        <v>1</v>
      </c>
      <c r="H239" s="2">
        <f>SUMIF('01_BOC_TACH_ONG'!B:B, B239, '01_BOC_TACH_ONG'!K:K)</f>
        <v/>
      </c>
      <c r="I239" s="2">
        <f>SUMIF('02_BOC_TACH_CUA'!B:B, B239, '02_BOC_TACH_CUA'!K:K)</f>
        <v/>
      </c>
      <c r="J239" s="2">
        <f>SUMIF('03_BOC_TACH_VAN'!B:B, B239, '03_BOC_TACH_VAN'!K:K)</f>
        <v/>
      </c>
      <c r="K239" s="2">
        <f>SUM(H239:J239)</f>
        <v/>
      </c>
      <c r="L239" s="2">
        <f>K239*0.25</f>
        <v/>
      </c>
      <c r="M239" s="2">
        <f>K239*0.10</f>
        <v/>
      </c>
      <c r="N239" s="2">
        <f>K239+L239+M239</f>
        <v/>
      </c>
      <c r="O239" s="2">
        <f>IF(G239&gt;0, N239/G239, 0)</f>
        <v/>
      </c>
      <c r="P239" s="3" t="n">
        <v>0.18</v>
      </c>
      <c r="Q239" s="2">
        <f>O239*(1+P239)</f>
        <v/>
      </c>
      <c r="R239" s="2">
        <f>G239*Q239</f>
        <v/>
      </c>
    </row>
    <row r="240">
      <c r="A240" t="n">
        <v>239</v>
      </c>
      <c r="B240" t="inlineStr">
        <is>
          <t>SW-DAMPER-239</t>
        </is>
      </c>
      <c r="C240" t="inlineStr">
        <is>
          <t>VAN GIÓ</t>
        </is>
      </c>
      <c r="D240" t="inlineStr">
        <is>
          <t>Van gió MD - Kích thước 600x200</t>
        </is>
      </c>
      <c r="E240" t="inlineStr">
        <is>
          <t>600x200</t>
        </is>
      </c>
      <c r="F240" t="inlineStr">
        <is>
          <t>Cái</t>
        </is>
      </c>
      <c r="G240" s="2" t="n">
        <v>1</v>
      </c>
      <c r="H240" s="2">
        <f>SUMIF('01_BOC_TACH_ONG'!B:B, B240, '01_BOC_TACH_ONG'!K:K)</f>
        <v/>
      </c>
      <c r="I240" s="2">
        <f>SUMIF('02_BOC_TACH_CUA'!B:B, B240, '02_BOC_TACH_CUA'!K:K)</f>
        <v/>
      </c>
      <c r="J240" s="2">
        <f>SUMIF('03_BOC_TACH_VAN'!B:B, B240, '03_BOC_TACH_VAN'!K:K)</f>
        <v/>
      </c>
      <c r="K240" s="2">
        <f>SUM(H240:J240)</f>
        <v/>
      </c>
      <c r="L240" s="2">
        <f>K240*0.25</f>
        <v/>
      </c>
      <c r="M240" s="2">
        <f>K240*0.10</f>
        <v/>
      </c>
      <c r="N240" s="2">
        <f>K240+L240+M240</f>
        <v/>
      </c>
      <c r="O240" s="2">
        <f>IF(G240&gt;0, N240/G240, 0)</f>
        <v/>
      </c>
      <c r="P240" s="3" t="n">
        <v>0.18</v>
      </c>
      <c r="Q240" s="2">
        <f>O240*(1+P240)</f>
        <v/>
      </c>
      <c r="R240" s="2">
        <f>G240*Q240</f>
        <v/>
      </c>
    </row>
    <row r="241">
      <c r="A241" t="n">
        <v>240</v>
      </c>
      <c r="B241" t="inlineStr">
        <is>
          <t>SW-DAMPER-240</t>
        </is>
      </c>
      <c r="C241" t="inlineStr">
        <is>
          <t>VAN GIÓ</t>
        </is>
      </c>
      <c r="D241" t="inlineStr">
        <is>
          <t>Van gió MD - Kích thước 600x450</t>
        </is>
      </c>
      <c r="E241" t="inlineStr">
        <is>
          <t>600x450</t>
        </is>
      </c>
      <c r="F241" t="inlineStr">
        <is>
          <t>Cái</t>
        </is>
      </c>
      <c r="G241" s="2" t="n">
        <v>1</v>
      </c>
      <c r="H241" s="2">
        <f>SUMIF('01_BOC_TACH_ONG'!B:B, B241, '01_BOC_TACH_ONG'!K:K)</f>
        <v/>
      </c>
      <c r="I241" s="2">
        <f>SUMIF('02_BOC_TACH_CUA'!B:B, B241, '02_BOC_TACH_CUA'!K:K)</f>
        <v/>
      </c>
      <c r="J241" s="2">
        <f>SUMIF('03_BOC_TACH_VAN'!B:B, B241, '03_BOC_TACH_VAN'!K:K)</f>
        <v/>
      </c>
      <c r="K241" s="2">
        <f>SUM(H241:J241)</f>
        <v/>
      </c>
      <c r="L241" s="2">
        <f>K241*0.25</f>
        <v/>
      </c>
      <c r="M241" s="2">
        <f>K241*0.10</f>
        <v/>
      </c>
      <c r="N241" s="2">
        <f>K241+L241+M241</f>
        <v/>
      </c>
      <c r="O241" s="2">
        <f>IF(G241&gt;0, N241/G241, 0)</f>
        <v/>
      </c>
      <c r="P241" s="3" t="n">
        <v>0.18</v>
      </c>
      <c r="Q241" s="2">
        <f>O241*(1+P241)</f>
        <v/>
      </c>
      <c r="R241" s="2">
        <f>G241*Q241</f>
        <v/>
      </c>
    </row>
    <row r="242">
      <c r="A242" t="n">
        <v>241</v>
      </c>
      <c r="B242" t="inlineStr">
        <is>
          <t>SW-DAMPER-241</t>
        </is>
      </c>
      <c r="C242" t="inlineStr">
        <is>
          <t>VAN GIÓ</t>
        </is>
      </c>
      <c r="D242" t="inlineStr">
        <is>
          <t>Van gió MD - Kích thước 600x600</t>
        </is>
      </c>
      <c r="E242" t="inlineStr">
        <is>
          <t>600x600</t>
        </is>
      </c>
      <c r="F242" t="inlineStr">
        <is>
          <t>Cái</t>
        </is>
      </c>
      <c r="G242" s="2" t="n">
        <v>1</v>
      </c>
      <c r="H242" s="2">
        <f>SUMIF('01_BOC_TACH_ONG'!B:B, B242, '01_BOC_TACH_ONG'!K:K)</f>
        <v/>
      </c>
      <c r="I242" s="2">
        <f>SUMIF('02_BOC_TACH_CUA'!B:B, B242, '02_BOC_TACH_CUA'!K:K)</f>
        <v/>
      </c>
      <c r="J242" s="2">
        <f>SUMIF('03_BOC_TACH_VAN'!B:B, B242, '03_BOC_TACH_VAN'!K:K)</f>
        <v/>
      </c>
      <c r="K242" s="2">
        <f>SUM(H242:J242)</f>
        <v/>
      </c>
      <c r="L242" s="2">
        <f>K242*0.25</f>
        <v/>
      </c>
      <c r="M242" s="2">
        <f>K242*0.10</f>
        <v/>
      </c>
      <c r="N242" s="2">
        <f>K242+L242+M242</f>
        <v/>
      </c>
      <c r="O242" s="2">
        <f>IF(G242&gt;0, N242/G242, 0)</f>
        <v/>
      </c>
      <c r="P242" s="3" t="n">
        <v>0.18</v>
      </c>
      <c r="Q242" s="2">
        <f>O242*(1+P242)</f>
        <v/>
      </c>
      <c r="R242" s="2">
        <f>G242*Q242</f>
        <v/>
      </c>
    </row>
    <row r="243">
      <c r="A243" t="n">
        <v>242</v>
      </c>
      <c r="B243" t="inlineStr">
        <is>
          <t>SW-DAMPER-242</t>
        </is>
      </c>
      <c r="C243" t="inlineStr">
        <is>
          <t>VAN GIÓ</t>
        </is>
      </c>
      <c r="D243" t="inlineStr">
        <is>
          <t>Van gió MD - Kích thước 650x400</t>
        </is>
      </c>
      <c r="E243" t="inlineStr">
        <is>
          <t>650x400</t>
        </is>
      </c>
      <c r="F243" t="inlineStr">
        <is>
          <t>Cái</t>
        </is>
      </c>
      <c r="G243" s="2" t="n">
        <v>1</v>
      </c>
      <c r="H243" s="2">
        <f>SUMIF('01_BOC_TACH_ONG'!B:B, B243, '01_BOC_TACH_ONG'!K:K)</f>
        <v/>
      </c>
      <c r="I243" s="2">
        <f>SUMIF('02_BOC_TACH_CUA'!B:B, B243, '02_BOC_TACH_CUA'!K:K)</f>
        <v/>
      </c>
      <c r="J243" s="2">
        <f>SUMIF('03_BOC_TACH_VAN'!B:B, B243, '03_BOC_TACH_VAN'!K:K)</f>
        <v/>
      </c>
      <c r="K243" s="2">
        <f>SUM(H243:J243)</f>
        <v/>
      </c>
      <c r="L243" s="2">
        <f>K243*0.25</f>
        <v/>
      </c>
      <c r="M243" s="2">
        <f>K243*0.10</f>
        <v/>
      </c>
      <c r="N243" s="2">
        <f>K243+L243+M243</f>
        <v/>
      </c>
      <c r="O243" s="2">
        <f>IF(G243&gt;0, N243/G243, 0)</f>
        <v/>
      </c>
      <c r="P243" s="3" t="n">
        <v>0.18</v>
      </c>
      <c r="Q243" s="2">
        <f>O243*(1+P243)</f>
        <v/>
      </c>
      <c r="R243" s="2">
        <f>G243*Q243</f>
        <v/>
      </c>
    </row>
    <row r="244">
      <c r="A244" t="n">
        <v>243</v>
      </c>
      <c r="B244" t="inlineStr">
        <is>
          <t>SW-DAMPER-243</t>
        </is>
      </c>
      <c r="C244" t="inlineStr">
        <is>
          <t>VAN GIÓ</t>
        </is>
      </c>
      <c r="D244" t="inlineStr">
        <is>
          <t>Van gió MD - Kích thước 750x600</t>
        </is>
      </c>
      <c r="E244" t="inlineStr">
        <is>
          <t>750x600</t>
        </is>
      </c>
      <c r="F244" t="inlineStr">
        <is>
          <t>Cái</t>
        </is>
      </c>
      <c r="G244" s="2" t="n">
        <v>1</v>
      </c>
      <c r="H244" s="2">
        <f>SUMIF('01_BOC_TACH_ONG'!B:B, B244, '01_BOC_TACH_ONG'!K:K)</f>
        <v/>
      </c>
      <c r="I244" s="2">
        <f>SUMIF('02_BOC_TACH_CUA'!B:B, B244, '02_BOC_TACH_CUA'!K:K)</f>
        <v/>
      </c>
      <c r="J244" s="2">
        <f>SUMIF('03_BOC_TACH_VAN'!B:B, B244, '03_BOC_TACH_VAN'!K:K)</f>
        <v/>
      </c>
      <c r="K244" s="2">
        <f>SUM(H244:J244)</f>
        <v/>
      </c>
      <c r="L244" s="2">
        <f>K244*0.25</f>
        <v/>
      </c>
      <c r="M244" s="2">
        <f>K244*0.10</f>
        <v/>
      </c>
      <c r="N244" s="2">
        <f>K244+L244+M244</f>
        <v/>
      </c>
      <c r="O244" s="2">
        <f>IF(G244&gt;0, N244/G244, 0)</f>
        <v/>
      </c>
      <c r="P244" s="3" t="n">
        <v>0.18</v>
      </c>
      <c r="Q244" s="2">
        <f>O244*(1+P244)</f>
        <v/>
      </c>
      <c r="R244" s="2">
        <f>G244*Q244</f>
        <v/>
      </c>
    </row>
    <row r="245">
      <c r="A245" t="n">
        <v>244</v>
      </c>
      <c r="B245" t="inlineStr">
        <is>
          <t>SW-DAMPER-244</t>
        </is>
      </c>
      <c r="C245" t="inlineStr">
        <is>
          <t>VAN GIÓ</t>
        </is>
      </c>
      <c r="D245" t="inlineStr">
        <is>
          <t>Van gió MD - Kích thước: D500 (theo đường kính quạt)</t>
        </is>
      </c>
      <c r="E245" t="inlineStr">
        <is>
          <t>500x500</t>
        </is>
      </c>
      <c r="F245" t="inlineStr">
        <is>
          <t>Cái</t>
        </is>
      </c>
      <c r="G245" s="2" t="n">
        <v>2</v>
      </c>
      <c r="H245" s="2">
        <f>SUMIF('01_BOC_TACH_ONG'!B:B, B245, '01_BOC_TACH_ONG'!K:K)</f>
        <v/>
      </c>
      <c r="I245" s="2">
        <f>SUMIF('02_BOC_TACH_CUA'!B:B, B245, '02_BOC_TACH_CUA'!K:K)</f>
        <v/>
      </c>
      <c r="J245" s="2">
        <f>SUMIF('03_BOC_TACH_VAN'!B:B, B245, '03_BOC_TACH_VAN'!K:K)</f>
        <v/>
      </c>
      <c r="K245" s="2">
        <f>SUM(H245:J245)</f>
        <v/>
      </c>
      <c r="L245" s="2">
        <f>K245*0.25</f>
        <v/>
      </c>
      <c r="M245" s="2">
        <f>K245*0.10</f>
        <v/>
      </c>
      <c r="N245" s="2">
        <f>K245+L245+M245</f>
        <v/>
      </c>
      <c r="O245" s="2">
        <f>IF(G245&gt;0, N245/G245, 0)</f>
        <v/>
      </c>
      <c r="P245" s="3" t="n">
        <v>0.18</v>
      </c>
      <c r="Q245" s="2">
        <f>O245*(1+P245)</f>
        <v/>
      </c>
      <c r="R245" s="2">
        <f>G245*Q245</f>
        <v/>
      </c>
    </row>
    <row r="246">
      <c r="A246" t="n">
        <v>245</v>
      </c>
      <c r="B246" t="inlineStr">
        <is>
          <t>SW-DAMPER-245</t>
        </is>
      </c>
      <c r="C246" t="inlineStr">
        <is>
          <t>VAN GIÓ</t>
        </is>
      </c>
      <c r="D246" t="inlineStr">
        <is>
          <t>Van gió MD - Kích thước: D700 (theo đường kính quạt)</t>
        </is>
      </c>
      <c r="E246" t="inlineStr">
        <is>
          <t>700x700</t>
        </is>
      </c>
      <c r="F246" t="inlineStr">
        <is>
          <t>Cái</t>
        </is>
      </c>
      <c r="G246" s="2" t="n">
        <v>6</v>
      </c>
      <c r="H246" s="2">
        <f>SUMIF('01_BOC_TACH_ONG'!B:B, B246, '01_BOC_TACH_ONG'!K:K)</f>
        <v/>
      </c>
      <c r="I246" s="2">
        <f>SUMIF('02_BOC_TACH_CUA'!B:B, B246, '02_BOC_TACH_CUA'!K:K)</f>
        <v/>
      </c>
      <c r="J246" s="2">
        <f>SUMIF('03_BOC_TACH_VAN'!B:B, B246, '03_BOC_TACH_VAN'!K:K)</f>
        <v/>
      </c>
      <c r="K246" s="2">
        <f>SUM(H246:J246)</f>
        <v/>
      </c>
      <c r="L246" s="2">
        <f>K246*0.25</f>
        <v/>
      </c>
      <c r="M246" s="2">
        <f>K246*0.10</f>
        <v/>
      </c>
      <c r="N246" s="2">
        <f>K246+L246+M246</f>
        <v/>
      </c>
      <c r="O246" s="2">
        <f>IF(G246&gt;0, N246/G246, 0)</f>
        <v/>
      </c>
      <c r="P246" s="3" t="n">
        <v>0.18</v>
      </c>
      <c r="Q246" s="2">
        <f>O246*(1+P246)</f>
        <v/>
      </c>
      <c r="R246" s="2">
        <f>G246*Q246</f>
        <v/>
      </c>
    </row>
    <row r="247">
      <c r="A247" t="n">
        <v>246</v>
      </c>
      <c r="B247" t="inlineStr">
        <is>
          <t>SW-DAMPER-246</t>
        </is>
      </c>
      <c r="C247" t="inlineStr">
        <is>
          <t>VAN GIÓ</t>
        </is>
      </c>
      <c r="D247" t="inlineStr">
        <is>
          <t>Van gió MD - Kích thước: D800 (theo đường kính quạt)</t>
        </is>
      </c>
      <c r="E247" t="inlineStr">
        <is>
          <t>800x800</t>
        </is>
      </c>
      <c r="F247" t="inlineStr">
        <is>
          <t>Cái</t>
        </is>
      </c>
      <c r="G247" s="2" t="n">
        <v>12</v>
      </c>
      <c r="H247" s="2">
        <f>SUMIF('01_BOC_TACH_ONG'!B:B, B247, '01_BOC_TACH_ONG'!K:K)</f>
        <v/>
      </c>
      <c r="I247" s="2">
        <f>SUMIF('02_BOC_TACH_CUA'!B:B, B247, '02_BOC_TACH_CUA'!K:K)</f>
        <v/>
      </c>
      <c r="J247" s="2">
        <f>SUMIF('03_BOC_TACH_VAN'!B:B, B247, '03_BOC_TACH_VAN'!K:K)</f>
        <v/>
      </c>
      <c r="K247" s="2">
        <f>SUM(H247:J247)</f>
        <v/>
      </c>
      <c r="L247" s="2">
        <f>K247*0.25</f>
        <v/>
      </c>
      <c r="M247" s="2">
        <f>K247*0.10</f>
        <v/>
      </c>
      <c r="N247" s="2">
        <f>K247+L247+M247</f>
        <v/>
      </c>
      <c r="O247" s="2">
        <f>IF(G247&gt;0, N247/G247, 0)</f>
        <v/>
      </c>
      <c r="P247" s="3" t="n">
        <v>0.18</v>
      </c>
      <c r="Q247" s="2">
        <f>O247*(1+P247)</f>
        <v/>
      </c>
      <c r="R247" s="2">
        <f>G247*Q247</f>
        <v/>
      </c>
    </row>
    <row r="248">
      <c r="A248" t="n">
        <v>247</v>
      </c>
      <c r="B248" t="inlineStr">
        <is>
          <t>SW-DAMPER-247</t>
        </is>
      </c>
      <c r="C248" t="inlineStr">
        <is>
          <t>VAN GIÓ</t>
        </is>
      </c>
      <c r="D248" t="inlineStr">
        <is>
          <t>Van chặn lửa MFD EI45 - Kích thước 150x150</t>
        </is>
      </c>
      <c r="E248" t="inlineStr">
        <is>
          <t>150x150</t>
        </is>
      </c>
      <c r="F248" t="inlineStr">
        <is>
          <t>Cái</t>
        </is>
      </c>
      <c r="G248" s="2" t="n">
        <v>102</v>
      </c>
      <c r="H248" s="2">
        <f>SUMIF('01_BOC_TACH_ONG'!B:B, B248, '01_BOC_TACH_ONG'!K:K)</f>
        <v/>
      </c>
      <c r="I248" s="2">
        <f>SUMIF('02_BOC_TACH_CUA'!B:B, B248, '02_BOC_TACH_CUA'!K:K)</f>
        <v/>
      </c>
      <c r="J248" s="2">
        <f>SUMIF('03_BOC_TACH_VAN'!B:B, B248, '03_BOC_TACH_VAN'!K:K)</f>
        <v/>
      </c>
      <c r="K248" s="2">
        <f>SUM(H248:J248)</f>
        <v/>
      </c>
      <c r="L248" s="2">
        <f>K248*0.25</f>
        <v/>
      </c>
      <c r="M248" s="2">
        <f>K248*0.10</f>
        <v/>
      </c>
      <c r="N248" s="2">
        <f>K248+L248+M248</f>
        <v/>
      </c>
      <c r="O248" s="2">
        <f>IF(G248&gt;0, N248/G248, 0)</f>
        <v/>
      </c>
      <c r="P248" s="3" t="n">
        <v>0.18</v>
      </c>
      <c r="Q248" s="2">
        <f>O248*(1+P248)</f>
        <v/>
      </c>
      <c r="R248" s="2">
        <f>G248*Q248</f>
        <v/>
      </c>
    </row>
    <row r="249">
      <c r="A249" t="n">
        <v>248</v>
      </c>
      <c r="B249" t="inlineStr">
        <is>
          <t>SW-DAMPER-248</t>
        </is>
      </c>
      <c r="C249" t="inlineStr">
        <is>
          <t>VAN GIÓ</t>
        </is>
      </c>
      <c r="D249" t="inlineStr">
        <is>
          <t>Van chặn lửa MFD EI45 - Kích thước 200x100</t>
        </is>
      </c>
      <c r="E249" t="inlineStr">
        <is>
          <t>200x150</t>
        </is>
      </c>
      <c r="F249" t="inlineStr">
        <is>
          <t>Cái</t>
        </is>
      </c>
      <c r="G249" s="2" t="n">
        <v>1</v>
      </c>
      <c r="H249" s="2">
        <f>SUMIF('01_BOC_TACH_ONG'!B:B, B249, '01_BOC_TACH_ONG'!K:K)</f>
        <v/>
      </c>
      <c r="I249" s="2">
        <f>SUMIF('02_BOC_TACH_CUA'!B:B, B249, '02_BOC_TACH_CUA'!K:K)</f>
        <v/>
      </c>
      <c r="J249" s="2">
        <f>SUMIF('03_BOC_TACH_VAN'!B:B, B249, '03_BOC_TACH_VAN'!K:K)</f>
        <v/>
      </c>
      <c r="K249" s="2">
        <f>SUM(H249:J249)</f>
        <v/>
      </c>
      <c r="L249" s="2">
        <f>K249*0.25</f>
        <v/>
      </c>
      <c r="M249" s="2">
        <f>K249*0.10</f>
        <v/>
      </c>
      <c r="N249" s="2">
        <f>K249+L249+M249</f>
        <v/>
      </c>
      <c r="O249" s="2">
        <f>IF(G249&gt;0, N249/G249, 0)</f>
        <v/>
      </c>
      <c r="P249" s="3" t="n">
        <v>0.18</v>
      </c>
      <c r="Q249" s="2">
        <f>O249*(1+P249)</f>
        <v/>
      </c>
      <c r="R249" s="2">
        <f>G249*Q249</f>
        <v/>
      </c>
    </row>
    <row r="250">
      <c r="A250" t="n">
        <v>249</v>
      </c>
      <c r="B250" t="inlineStr">
        <is>
          <t>SW-DAMPER-249</t>
        </is>
      </c>
      <c r="C250" t="inlineStr">
        <is>
          <t>VAN GIÓ</t>
        </is>
      </c>
      <c r="D250" t="inlineStr">
        <is>
          <t>Van chặn lửa MFD EI90 - Kích thước 200x100</t>
        </is>
      </c>
      <c r="E250" t="inlineStr">
        <is>
          <t>200x150</t>
        </is>
      </c>
      <c r="F250" t="inlineStr">
        <is>
          <t>Cái</t>
        </is>
      </c>
      <c r="G250" s="2" t="n">
        <v>1</v>
      </c>
      <c r="H250" s="2">
        <f>SUMIF('01_BOC_TACH_ONG'!B:B, B250, '01_BOC_TACH_ONG'!K:K)</f>
        <v/>
      </c>
      <c r="I250" s="2">
        <f>SUMIF('02_BOC_TACH_CUA'!B:B, B250, '02_BOC_TACH_CUA'!K:K)</f>
        <v/>
      </c>
      <c r="J250" s="2">
        <f>SUMIF('03_BOC_TACH_VAN'!B:B, B250, '03_BOC_TACH_VAN'!K:K)</f>
        <v/>
      </c>
      <c r="K250" s="2">
        <f>SUM(H250:J250)</f>
        <v/>
      </c>
      <c r="L250" s="2">
        <f>K250*0.25</f>
        <v/>
      </c>
      <c r="M250" s="2">
        <f>K250*0.10</f>
        <v/>
      </c>
      <c r="N250" s="2">
        <f>K250+L250+M250</f>
        <v/>
      </c>
      <c r="O250" s="2">
        <f>IF(G250&gt;0, N250/G250, 0)</f>
        <v/>
      </c>
      <c r="P250" s="3" t="n">
        <v>0.18</v>
      </c>
      <c r="Q250" s="2">
        <f>O250*(1+P250)</f>
        <v/>
      </c>
      <c r="R250" s="2">
        <f>G250*Q250</f>
        <v/>
      </c>
    </row>
    <row r="251">
      <c r="A251" t="n">
        <v>250</v>
      </c>
      <c r="B251" t="inlineStr">
        <is>
          <t>SW-DAMPER-250</t>
        </is>
      </c>
      <c r="C251" t="inlineStr">
        <is>
          <t>VAN GIÓ</t>
        </is>
      </c>
      <c r="D251" t="inlineStr">
        <is>
          <t>Van chặn lửa MFD EI120 - Kích thước 200x100</t>
        </is>
      </c>
      <c r="E251" t="inlineStr">
        <is>
          <t>200x150</t>
        </is>
      </c>
      <c r="F251" t="inlineStr">
        <is>
          <t>Cái</t>
        </is>
      </c>
      <c r="G251" s="2" t="n">
        <v>45</v>
      </c>
      <c r="H251" s="2">
        <f>SUMIF('01_BOC_TACH_ONG'!B:B, B251, '01_BOC_TACH_ONG'!K:K)</f>
        <v/>
      </c>
      <c r="I251" s="2">
        <f>SUMIF('02_BOC_TACH_CUA'!B:B, B251, '02_BOC_TACH_CUA'!K:K)</f>
        <v/>
      </c>
      <c r="J251" s="2">
        <f>SUMIF('03_BOC_TACH_VAN'!B:B, B251, '03_BOC_TACH_VAN'!K:K)</f>
        <v/>
      </c>
      <c r="K251" s="2">
        <f>SUM(H251:J251)</f>
        <v/>
      </c>
      <c r="L251" s="2">
        <f>K251*0.25</f>
        <v/>
      </c>
      <c r="M251" s="2">
        <f>K251*0.10</f>
        <v/>
      </c>
      <c r="N251" s="2">
        <f>K251+L251+M251</f>
        <v/>
      </c>
      <c r="O251" s="2">
        <f>IF(G251&gt;0, N251/G251, 0)</f>
        <v/>
      </c>
      <c r="P251" s="3" t="n">
        <v>0.18</v>
      </c>
      <c r="Q251" s="2">
        <f>O251*(1+P251)</f>
        <v/>
      </c>
      <c r="R251" s="2">
        <f>G251*Q251</f>
        <v/>
      </c>
    </row>
    <row r="252">
      <c r="A252" t="n">
        <v>251</v>
      </c>
      <c r="B252" t="inlineStr">
        <is>
          <t>SW-DAMPER-251</t>
        </is>
      </c>
      <c r="C252" t="inlineStr">
        <is>
          <t>VAN GIÓ</t>
        </is>
      </c>
      <c r="D252" t="inlineStr">
        <is>
          <t>Van chặn lửa MFD EI45 - Kích thước 200x200</t>
        </is>
      </c>
      <c r="E252" t="inlineStr">
        <is>
          <t>200x200</t>
        </is>
      </c>
      <c r="F252" t="inlineStr">
        <is>
          <t>Cái</t>
        </is>
      </c>
      <c r="G252" s="2" t="n">
        <v>26</v>
      </c>
      <c r="H252" s="2">
        <f>SUMIF('01_BOC_TACH_ONG'!B:B, B252, '01_BOC_TACH_ONG'!K:K)</f>
        <v/>
      </c>
      <c r="I252" s="2">
        <f>SUMIF('02_BOC_TACH_CUA'!B:B, B252, '02_BOC_TACH_CUA'!K:K)</f>
        <v/>
      </c>
      <c r="J252" s="2">
        <f>SUMIF('03_BOC_TACH_VAN'!B:B, B252, '03_BOC_TACH_VAN'!K:K)</f>
        <v/>
      </c>
      <c r="K252" s="2">
        <f>SUM(H252:J252)</f>
        <v/>
      </c>
      <c r="L252" s="2">
        <f>K252*0.25</f>
        <v/>
      </c>
      <c r="M252" s="2">
        <f>K252*0.10</f>
        <v/>
      </c>
      <c r="N252" s="2">
        <f>K252+L252+M252</f>
        <v/>
      </c>
      <c r="O252" s="2">
        <f>IF(G252&gt;0, N252/G252, 0)</f>
        <v/>
      </c>
      <c r="P252" s="3" t="n">
        <v>0.18</v>
      </c>
      <c r="Q252" s="2">
        <f>O252*(1+P252)</f>
        <v/>
      </c>
      <c r="R252" s="2">
        <f>G252*Q252</f>
        <v/>
      </c>
    </row>
    <row r="253">
      <c r="A253" t="n">
        <v>252</v>
      </c>
      <c r="B253" t="inlineStr">
        <is>
          <t>SW-DAMPER-252</t>
        </is>
      </c>
      <c r="C253" t="inlineStr">
        <is>
          <t>VAN GIÓ</t>
        </is>
      </c>
      <c r="D253" t="inlineStr">
        <is>
          <t>Van chặn lửa MFD EI90 - Kích thước 300x300</t>
        </is>
      </c>
      <c r="E253" t="inlineStr">
        <is>
          <t>300x300</t>
        </is>
      </c>
      <c r="F253" t="inlineStr">
        <is>
          <t>Cái</t>
        </is>
      </c>
      <c r="G253" s="2" t="n">
        <v>1</v>
      </c>
      <c r="H253" s="2">
        <f>SUMIF('01_BOC_TACH_ONG'!B:B, B253, '01_BOC_TACH_ONG'!K:K)</f>
        <v/>
      </c>
      <c r="I253" s="2">
        <f>SUMIF('02_BOC_TACH_CUA'!B:B, B253, '02_BOC_TACH_CUA'!K:K)</f>
        <v/>
      </c>
      <c r="J253" s="2">
        <f>SUMIF('03_BOC_TACH_VAN'!B:B, B253, '03_BOC_TACH_VAN'!K:K)</f>
        <v/>
      </c>
      <c r="K253" s="2">
        <f>SUM(H253:J253)</f>
        <v/>
      </c>
      <c r="L253" s="2">
        <f>K253*0.25</f>
        <v/>
      </c>
      <c r="M253" s="2">
        <f>K253*0.10</f>
        <v/>
      </c>
      <c r="N253" s="2">
        <f>K253+L253+M253</f>
        <v/>
      </c>
      <c r="O253" s="2">
        <f>IF(G253&gt;0, N253/G253, 0)</f>
        <v/>
      </c>
      <c r="P253" s="3" t="n">
        <v>0.18</v>
      </c>
      <c r="Q253" s="2">
        <f>O253*(1+P253)</f>
        <v/>
      </c>
      <c r="R253" s="2">
        <f>G253*Q253</f>
        <v/>
      </c>
    </row>
    <row r="254">
      <c r="A254" t="n">
        <v>253</v>
      </c>
      <c r="B254" t="inlineStr">
        <is>
          <t>SW-DAMPER-253</t>
        </is>
      </c>
      <c r="C254" t="inlineStr">
        <is>
          <t>VAN GIÓ</t>
        </is>
      </c>
      <c r="D254" t="inlineStr">
        <is>
          <t>Van chặn lửa MFD EI45 - Kích thước 500x400</t>
        </is>
      </c>
      <c r="E254" t="inlineStr">
        <is>
          <t>500x400</t>
        </is>
      </c>
      <c r="F254" t="inlineStr">
        <is>
          <t>Cái</t>
        </is>
      </c>
      <c r="G254" s="2" t="n">
        <v>1</v>
      </c>
      <c r="H254" s="2">
        <f>SUMIF('01_BOC_TACH_ONG'!B:B, B254, '01_BOC_TACH_ONG'!K:K)</f>
        <v/>
      </c>
      <c r="I254" s="2">
        <f>SUMIF('02_BOC_TACH_CUA'!B:B, B254, '02_BOC_TACH_CUA'!K:K)</f>
        <v/>
      </c>
      <c r="J254" s="2">
        <f>SUMIF('03_BOC_TACH_VAN'!B:B, B254, '03_BOC_TACH_VAN'!K:K)</f>
        <v/>
      </c>
      <c r="K254" s="2">
        <f>SUM(H254:J254)</f>
        <v/>
      </c>
      <c r="L254" s="2">
        <f>K254*0.25</f>
        <v/>
      </c>
      <c r="M254" s="2">
        <f>K254*0.10</f>
        <v/>
      </c>
      <c r="N254" s="2">
        <f>K254+L254+M254</f>
        <v/>
      </c>
      <c r="O254" s="2">
        <f>IF(G254&gt;0, N254/G254, 0)</f>
        <v/>
      </c>
      <c r="P254" s="3" t="n">
        <v>0.18</v>
      </c>
      <c r="Q254" s="2">
        <f>O254*(1+P254)</f>
        <v/>
      </c>
      <c r="R254" s="2">
        <f>G254*Q254</f>
        <v/>
      </c>
    </row>
    <row r="255">
      <c r="A255" t="n">
        <v>254</v>
      </c>
      <c r="B255" t="inlineStr">
        <is>
          <t>SW-DAMPER-254</t>
        </is>
      </c>
      <c r="C255" t="inlineStr">
        <is>
          <t>VAN GIÓ</t>
        </is>
      </c>
      <c r="D255" t="inlineStr">
        <is>
          <t>Van chặn lửa MFD EI45 - Kích thước 550x450</t>
        </is>
      </c>
      <c r="E255" t="inlineStr">
        <is>
          <t>550x450</t>
        </is>
      </c>
      <c r="F255" t="inlineStr">
        <is>
          <t>Cái</t>
        </is>
      </c>
      <c r="G255" s="2" t="n">
        <v>1</v>
      </c>
      <c r="H255" s="2">
        <f>SUMIF('01_BOC_TACH_ONG'!B:B, B255, '01_BOC_TACH_ONG'!K:K)</f>
        <v/>
      </c>
      <c r="I255" s="2">
        <f>SUMIF('02_BOC_TACH_CUA'!B:B, B255, '02_BOC_TACH_CUA'!K:K)</f>
        <v/>
      </c>
      <c r="J255" s="2">
        <f>SUMIF('03_BOC_TACH_VAN'!B:B, B255, '03_BOC_TACH_VAN'!K:K)</f>
        <v/>
      </c>
      <c r="K255" s="2">
        <f>SUM(H255:J255)</f>
        <v/>
      </c>
      <c r="L255" s="2">
        <f>K255*0.25</f>
        <v/>
      </c>
      <c r="M255" s="2">
        <f>K255*0.10</f>
        <v/>
      </c>
      <c r="N255" s="2">
        <f>K255+L255+M255</f>
        <v/>
      </c>
      <c r="O255" s="2">
        <f>IF(G255&gt;0, N255/G255, 0)</f>
        <v/>
      </c>
      <c r="P255" s="3" t="n">
        <v>0.18</v>
      </c>
      <c r="Q255" s="2">
        <f>O255*(1+P255)</f>
        <v/>
      </c>
      <c r="R255" s="2">
        <f>G255*Q255</f>
        <v/>
      </c>
    </row>
    <row r="256">
      <c r="A256" t="n">
        <v>255</v>
      </c>
      <c r="B256" t="inlineStr">
        <is>
          <t>SW-DAMPER-255</t>
        </is>
      </c>
      <c r="C256" t="inlineStr">
        <is>
          <t>VAN GIÓ</t>
        </is>
      </c>
      <c r="D256" t="inlineStr">
        <is>
          <t>Van chặn lửa MFD EI45 - Kích thước 600x200</t>
        </is>
      </c>
      <c r="E256" t="inlineStr">
        <is>
          <t>600x200</t>
        </is>
      </c>
      <c r="F256" t="inlineStr">
        <is>
          <t>Cái</t>
        </is>
      </c>
      <c r="G256" s="2" t="n">
        <v>2</v>
      </c>
      <c r="H256" s="2">
        <f>SUMIF('01_BOC_TACH_ONG'!B:B, B256, '01_BOC_TACH_ONG'!K:K)</f>
        <v/>
      </c>
      <c r="I256" s="2">
        <f>SUMIF('02_BOC_TACH_CUA'!B:B, B256, '02_BOC_TACH_CUA'!K:K)</f>
        <v/>
      </c>
      <c r="J256" s="2">
        <f>SUMIF('03_BOC_TACH_VAN'!B:B, B256, '03_BOC_TACH_VAN'!K:K)</f>
        <v/>
      </c>
      <c r="K256" s="2">
        <f>SUM(H256:J256)</f>
        <v/>
      </c>
      <c r="L256" s="2">
        <f>K256*0.25</f>
        <v/>
      </c>
      <c r="M256" s="2">
        <f>K256*0.10</f>
        <v/>
      </c>
      <c r="N256" s="2">
        <f>K256+L256+M256</f>
        <v/>
      </c>
      <c r="O256" s="2">
        <f>IF(G256&gt;0, N256/G256, 0)</f>
        <v/>
      </c>
      <c r="P256" s="3" t="n">
        <v>0.18</v>
      </c>
      <c r="Q256" s="2">
        <f>O256*(1+P256)</f>
        <v/>
      </c>
      <c r="R256" s="2">
        <f>G256*Q256</f>
        <v/>
      </c>
    </row>
    <row r="257">
      <c r="A257" t="n">
        <v>256</v>
      </c>
      <c r="B257" t="inlineStr">
        <is>
          <t>SW-DAMPER-256</t>
        </is>
      </c>
      <c r="C257" t="inlineStr">
        <is>
          <t>VAN GIÓ</t>
        </is>
      </c>
      <c r="D257" t="inlineStr">
        <is>
          <t>Van chặn lửa MFD EI90 - Kích thước 600x450</t>
        </is>
      </c>
      <c r="E257" t="inlineStr">
        <is>
          <t>600x450</t>
        </is>
      </c>
      <c r="F257" t="inlineStr">
        <is>
          <t>Cái</t>
        </is>
      </c>
      <c r="G257" s="2" t="n">
        <v>3</v>
      </c>
      <c r="H257" s="2">
        <f>SUMIF('01_BOC_TACH_ONG'!B:B, B257, '01_BOC_TACH_ONG'!K:K)</f>
        <v/>
      </c>
      <c r="I257" s="2">
        <f>SUMIF('02_BOC_TACH_CUA'!B:B, B257, '02_BOC_TACH_CUA'!K:K)</f>
        <v/>
      </c>
      <c r="J257" s="2">
        <f>SUMIF('03_BOC_TACH_VAN'!B:B, B257, '03_BOC_TACH_VAN'!K:K)</f>
        <v/>
      </c>
      <c r="K257" s="2">
        <f>SUM(H257:J257)</f>
        <v/>
      </c>
      <c r="L257" s="2">
        <f>K257*0.25</f>
        <v/>
      </c>
      <c r="M257" s="2">
        <f>K257*0.10</f>
        <v/>
      </c>
      <c r="N257" s="2">
        <f>K257+L257+M257</f>
        <v/>
      </c>
      <c r="O257" s="2">
        <f>IF(G257&gt;0, N257/G257, 0)</f>
        <v/>
      </c>
      <c r="P257" s="3" t="n">
        <v>0.18</v>
      </c>
      <c r="Q257" s="2">
        <f>O257*(1+P257)</f>
        <v/>
      </c>
      <c r="R257" s="2">
        <f>G257*Q257</f>
        <v/>
      </c>
    </row>
    <row r="258">
      <c r="A258" t="n">
        <v>257</v>
      </c>
      <c r="B258" t="inlineStr">
        <is>
          <t>SW-DAMPER-257</t>
        </is>
      </c>
      <c r="C258" t="inlineStr">
        <is>
          <t>VAN GIÓ</t>
        </is>
      </c>
      <c r="D258" t="inlineStr">
        <is>
          <t>Van chặn lửa MFD EI90 - Kích thước 600x600</t>
        </is>
      </c>
      <c r="E258" t="inlineStr">
        <is>
          <t>600x600</t>
        </is>
      </c>
      <c r="F258" t="inlineStr">
        <is>
          <t>Cái</t>
        </is>
      </c>
      <c r="G258" s="2" t="n">
        <v>1</v>
      </c>
      <c r="H258" s="2">
        <f>SUMIF('01_BOC_TACH_ONG'!B:B, B258, '01_BOC_TACH_ONG'!K:K)</f>
        <v/>
      </c>
      <c r="I258" s="2">
        <f>SUMIF('02_BOC_TACH_CUA'!B:B, B258, '02_BOC_TACH_CUA'!K:K)</f>
        <v/>
      </c>
      <c r="J258" s="2">
        <f>SUMIF('03_BOC_TACH_VAN'!B:B, B258, '03_BOC_TACH_VAN'!K:K)</f>
        <v/>
      </c>
      <c r="K258" s="2">
        <f>SUM(H258:J258)</f>
        <v/>
      </c>
      <c r="L258" s="2">
        <f>K258*0.25</f>
        <v/>
      </c>
      <c r="M258" s="2">
        <f>K258*0.10</f>
        <v/>
      </c>
      <c r="N258" s="2">
        <f>K258+L258+M258</f>
        <v/>
      </c>
      <c r="O258" s="2">
        <f>IF(G258&gt;0, N258/G258, 0)</f>
        <v/>
      </c>
      <c r="P258" s="3" t="n">
        <v>0.18</v>
      </c>
      <c r="Q258" s="2">
        <f>O258*(1+P258)</f>
        <v/>
      </c>
      <c r="R258" s="2">
        <f>G258*Q258</f>
        <v/>
      </c>
    </row>
    <row r="259">
      <c r="A259" t="n">
        <v>258</v>
      </c>
      <c r="B259" t="inlineStr">
        <is>
          <t>SW-DAMPER-258</t>
        </is>
      </c>
      <c r="C259" t="inlineStr">
        <is>
          <t>VAN GIÓ</t>
        </is>
      </c>
      <c r="D259" t="inlineStr">
        <is>
          <t>Van chặn lửa MFD EI45 - Kích thước 750x600</t>
        </is>
      </c>
      <c r="E259" t="inlineStr">
        <is>
          <t>750x600</t>
        </is>
      </c>
      <c r="F259" t="inlineStr">
        <is>
          <t>Cái</t>
        </is>
      </c>
      <c r="G259" s="2" t="n">
        <v>2</v>
      </c>
      <c r="H259" s="2">
        <f>SUMIF('01_BOC_TACH_ONG'!B:B, B259, '01_BOC_TACH_ONG'!K:K)</f>
        <v/>
      </c>
      <c r="I259" s="2">
        <f>SUMIF('02_BOC_TACH_CUA'!B:B, B259, '02_BOC_TACH_CUA'!K:K)</f>
        <v/>
      </c>
      <c r="J259" s="2">
        <f>SUMIF('03_BOC_TACH_VAN'!B:B, B259, '03_BOC_TACH_VAN'!K:K)</f>
        <v/>
      </c>
      <c r="K259" s="2">
        <f>SUM(H259:J259)</f>
        <v/>
      </c>
      <c r="L259" s="2">
        <f>K259*0.25</f>
        <v/>
      </c>
      <c r="M259" s="2">
        <f>K259*0.10</f>
        <v/>
      </c>
      <c r="N259" s="2">
        <f>K259+L259+M259</f>
        <v/>
      </c>
      <c r="O259" s="2">
        <f>IF(G259&gt;0, N259/G259, 0)</f>
        <v/>
      </c>
      <c r="P259" s="3" t="n">
        <v>0.18</v>
      </c>
      <c r="Q259" s="2">
        <f>O259*(1+P259)</f>
        <v/>
      </c>
      <c r="R259" s="2">
        <f>G259*Q259</f>
        <v/>
      </c>
    </row>
    <row r="260">
      <c r="A260" t="n">
        <v>259</v>
      </c>
      <c r="B260" t="inlineStr">
        <is>
          <t>SW-DAMPER-259</t>
        </is>
      </c>
      <c r="C260" t="inlineStr">
        <is>
          <t>VAN GIÓ</t>
        </is>
      </c>
      <c r="D260" t="inlineStr">
        <is>
          <t>Van chặn lửa MFD EI90 - Kích thước 800x700</t>
        </is>
      </c>
      <c r="E260" t="inlineStr">
        <is>
          <t>800x700</t>
        </is>
      </c>
      <c r="F260" t="inlineStr">
        <is>
          <t>Cái</t>
        </is>
      </c>
      <c r="G260" s="2" t="n">
        <v>6</v>
      </c>
      <c r="H260" s="2">
        <f>SUMIF('01_BOC_TACH_ONG'!B:B, B260, '01_BOC_TACH_ONG'!K:K)</f>
        <v/>
      </c>
      <c r="I260" s="2">
        <f>SUMIF('02_BOC_TACH_CUA'!B:B, B260, '02_BOC_TACH_CUA'!K:K)</f>
        <v/>
      </c>
      <c r="J260" s="2">
        <f>SUMIF('03_BOC_TACH_VAN'!B:B, B260, '03_BOC_TACH_VAN'!K:K)</f>
        <v/>
      </c>
      <c r="K260" s="2">
        <f>SUM(H260:J260)</f>
        <v/>
      </c>
      <c r="L260" s="2">
        <f>K260*0.25</f>
        <v/>
      </c>
      <c r="M260" s="2">
        <f>K260*0.10</f>
        <v/>
      </c>
      <c r="N260" s="2">
        <f>K260+L260+M260</f>
        <v/>
      </c>
      <c r="O260" s="2">
        <f>IF(G260&gt;0, N260/G260, 0)</f>
        <v/>
      </c>
      <c r="P260" s="3" t="n">
        <v>0.18</v>
      </c>
      <c r="Q260" s="2">
        <f>O260*(1+P260)</f>
        <v/>
      </c>
      <c r="R260" s="2">
        <f>G260*Q260</f>
        <v/>
      </c>
    </row>
    <row r="261">
      <c r="A261" t="n">
        <v>260</v>
      </c>
      <c r="B261" t="inlineStr">
        <is>
          <t>SW-DAMPER-260</t>
        </is>
      </c>
      <c r="C261" t="inlineStr">
        <is>
          <t>VAN GIÓ</t>
        </is>
      </c>
      <c r="D261" t="inlineStr">
        <is>
          <t>Van chặn lửa MFD EI120 - Kích thước 900x300</t>
        </is>
      </c>
      <c r="E261" t="inlineStr">
        <is>
          <t>900x300</t>
        </is>
      </c>
      <c r="F261" t="inlineStr">
        <is>
          <t>Cái</t>
        </is>
      </c>
      <c r="G261" s="2" t="n">
        <v>1</v>
      </c>
      <c r="H261" s="2">
        <f>SUMIF('01_BOC_TACH_ONG'!B:B, B261, '01_BOC_TACH_ONG'!K:K)</f>
        <v/>
      </c>
      <c r="I261" s="2">
        <f>SUMIF('02_BOC_TACH_CUA'!B:B, B261, '02_BOC_TACH_CUA'!K:K)</f>
        <v/>
      </c>
      <c r="J261" s="2">
        <f>SUMIF('03_BOC_TACH_VAN'!B:B, B261, '03_BOC_TACH_VAN'!K:K)</f>
        <v/>
      </c>
      <c r="K261" s="2">
        <f>SUM(H261:J261)</f>
        <v/>
      </c>
      <c r="L261" s="2">
        <f>K261*0.25</f>
        <v/>
      </c>
      <c r="M261" s="2">
        <f>K261*0.10</f>
        <v/>
      </c>
      <c r="N261" s="2">
        <f>K261+L261+M261</f>
        <v/>
      </c>
      <c r="O261" s="2">
        <f>IF(G261&gt;0, N261/G261, 0)</f>
        <v/>
      </c>
      <c r="P261" s="3" t="n">
        <v>0.18</v>
      </c>
      <c r="Q261" s="2">
        <f>O261*(1+P261)</f>
        <v/>
      </c>
      <c r="R261" s="2">
        <f>G261*Q261</f>
        <v/>
      </c>
    </row>
    <row r="262">
      <c r="A262" t="n">
        <v>261</v>
      </c>
      <c r="B262" t="inlineStr">
        <is>
          <t>SW-DAMPER-261</t>
        </is>
      </c>
      <c r="C262" t="inlineStr">
        <is>
          <t>VAN GIÓ</t>
        </is>
      </c>
      <c r="D262" t="inlineStr">
        <is>
          <t>Van chặn lửa MFD EI45 - Kích thước 900x200</t>
        </is>
      </c>
      <c r="E262" t="inlineStr">
        <is>
          <t>900x200</t>
        </is>
      </c>
      <c r="F262" t="inlineStr">
        <is>
          <t>Cái</t>
        </is>
      </c>
      <c r="G262" s="2" t="n">
        <v>1</v>
      </c>
      <c r="H262" s="2">
        <f>SUMIF('01_BOC_TACH_ONG'!B:B, B262, '01_BOC_TACH_ONG'!K:K)</f>
        <v/>
      </c>
      <c r="I262" s="2">
        <f>SUMIF('02_BOC_TACH_CUA'!B:B, B262, '02_BOC_TACH_CUA'!K:K)</f>
        <v/>
      </c>
      <c r="J262" s="2">
        <f>SUMIF('03_BOC_TACH_VAN'!B:B, B262, '03_BOC_TACH_VAN'!K:K)</f>
        <v/>
      </c>
      <c r="K262" s="2">
        <f>SUM(H262:J262)</f>
        <v/>
      </c>
      <c r="L262" s="2">
        <f>K262*0.25</f>
        <v/>
      </c>
      <c r="M262" s="2">
        <f>K262*0.10</f>
        <v/>
      </c>
      <c r="N262" s="2">
        <f>K262+L262+M262</f>
        <v/>
      </c>
      <c r="O262" s="2">
        <f>IF(G262&gt;0, N262/G262, 0)</f>
        <v/>
      </c>
      <c r="P262" s="3" t="n">
        <v>0.18</v>
      </c>
      <c r="Q262" s="2">
        <f>O262*(1+P262)</f>
        <v/>
      </c>
      <c r="R262" s="2">
        <f>G262*Q262</f>
        <v/>
      </c>
    </row>
    <row r="263">
      <c r="A263" t="n">
        <v>262</v>
      </c>
      <c r="B263" t="inlineStr">
        <is>
          <t>SW-DAMPER-262</t>
        </is>
      </c>
      <c r="C263" t="inlineStr">
        <is>
          <t>VAN GIÓ</t>
        </is>
      </c>
      <c r="D263" t="inlineStr">
        <is>
          <t>Van chặn lửa MFD EI90 - Kích thước 900x200</t>
        </is>
      </c>
      <c r="E263" t="inlineStr">
        <is>
          <t>900x200</t>
        </is>
      </c>
      <c r="F263" t="inlineStr">
        <is>
          <t>Cái</t>
        </is>
      </c>
      <c r="G263" s="2" t="n">
        <v>1</v>
      </c>
      <c r="H263" s="2">
        <f>SUMIF('01_BOC_TACH_ONG'!B:B, B263, '01_BOC_TACH_ONG'!K:K)</f>
        <v/>
      </c>
      <c r="I263" s="2">
        <f>SUMIF('02_BOC_TACH_CUA'!B:B, B263, '02_BOC_TACH_CUA'!K:K)</f>
        <v/>
      </c>
      <c r="J263" s="2">
        <f>SUMIF('03_BOC_TACH_VAN'!B:B, B263, '03_BOC_TACH_VAN'!K:K)</f>
        <v/>
      </c>
      <c r="K263" s="2">
        <f>SUM(H263:J263)</f>
        <v/>
      </c>
      <c r="L263" s="2">
        <f>K263*0.25</f>
        <v/>
      </c>
      <c r="M263" s="2">
        <f>K263*0.10</f>
        <v/>
      </c>
      <c r="N263" s="2">
        <f>K263+L263+M263</f>
        <v/>
      </c>
      <c r="O263" s="2">
        <f>IF(G263&gt;0, N263/G263, 0)</f>
        <v/>
      </c>
      <c r="P263" s="3" t="n">
        <v>0.18</v>
      </c>
      <c r="Q263" s="2">
        <f>O263*(1+P263)</f>
        <v/>
      </c>
      <c r="R263" s="2">
        <f>G263*Q263</f>
        <v/>
      </c>
    </row>
    <row r="264">
      <c r="A264" t="n">
        <v>263</v>
      </c>
      <c r="B264" t="inlineStr">
        <is>
          <t>SW-DAMPER-263</t>
        </is>
      </c>
      <c r="C264" t="inlineStr">
        <is>
          <t>VAN GIÓ</t>
        </is>
      </c>
      <c r="D264" t="inlineStr">
        <is>
          <t>Van chặn lửa MFD EI90 - Kích thước 1000x600</t>
        </is>
      </c>
      <c r="E264" t="inlineStr">
        <is>
          <t>1000x600</t>
        </is>
      </c>
      <c r="F264" t="inlineStr">
        <is>
          <t>Cái</t>
        </is>
      </c>
      <c r="G264" s="2" t="n">
        <v>11</v>
      </c>
      <c r="H264" s="2">
        <f>SUMIF('01_BOC_TACH_ONG'!B:B, B264, '01_BOC_TACH_ONG'!K:K)</f>
        <v/>
      </c>
      <c r="I264" s="2">
        <f>SUMIF('02_BOC_TACH_CUA'!B:B, B264, '02_BOC_TACH_CUA'!K:K)</f>
        <v/>
      </c>
      <c r="J264" s="2">
        <f>SUMIF('03_BOC_TACH_VAN'!B:B, B264, '03_BOC_TACH_VAN'!K:K)</f>
        <v/>
      </c>
      <c r="K264" s="2">
        <f>SUM(H264:J264)</f>
        <v/>
      </c>
      <c r="L264" s="2">
        <f>K264*0.25</f>
        <v/>
      </c>
      <c r="M264" s="2">
        <f>K264*0.10</f>
        <v/>
      </c>
      <c r="N264" s="2">
        <f>K264+L264+M264</f>
        <v/>
      </c>
      <c r="O264" s="2">
        <f>IF(G264&gt;0, N264/G264, 0)</f>
        <v/>
      </c>
      <c r="P264" s="3" t="n">
        <v>0.18</v>
      </c>
      <c r="Q264" s="2">
        <f>O264*(1+P264)</f>
        <v/>
      </c>
      <c r="R264" s="2">
        <f>G264*Q264</f>
        <v/>
      </c>
    </row>
    <row r="265">
      <c r="A265" t="n">
        <v>264</v>
      </c>
      <c r="B265" t="inlineStr">
        <is>
          <t>SW-DAMPER-264</t>
        </is>
      </c>
      <c r="C265" t="inlineStr">
        <is>
          <t>VAN GIÓ</t>
        </is>
      </c>
      <c r="D265" t="inlineStr">
        <is>
          <t>Van chặn lửa MFD EI90 - Kích thước 1000x800</t>
        </is>
      </c>
      <c r="E265" t="inlineStr">
        <is>
          <t>1000x800</t>
        </is>
      </c>
      <c r="F265" t="inlineStr">
        <is>
          <t>Cái</t>
        </is>
      </c>
      <c r="G265" s="2" t="n">
        <v>1</v>
      </c>
      <c r="H265" s="2">
        <f>SUMIF('01_BOC_TACH_ONG'!B:B, B265, '01_BOC_TACH_ONG'!K:K)</f>
        <v/>
      </c>
      <c r="I265" s="2">
        <f>SUMIF('02_BOC_TACH_CUA'!B:B, B265, '02_BOC_TACH_CUA'!K:K)</f>
        <v/>
      </c>
      <c r="J265" s="2">
        <f>SUMIF('03_BOC_TACH_VAN'!B:B, B265, '03_BOC_TACH_VAN'!K:K)</f>
        <v/>
      </c>
      <c r="K265" s="2">
        <f>SUM(H265:J265)</f>
        <v/>
      </c>
      <c r="L265" s="2">
        <f>K265*0.25</f>
        <v/>
      </c>
      <c r="M265" s="2">
        <f>K265*0.10</f>
        <v/>
      </c>
      <c r="N265" s="2">
        <f>K265+L265+M265</f>
        <v/>
      </c>
      <c r="O265" s="2">
        <f>IF(G265&gt;0, N265/G265, 0)</f>
        <v/>
      </c>
      <c r="P265" s="3" t="n">
        <v>0.18</v>
      </c>
      <c r="Q265" s="2">
        <f>O265*(1+P265)</f>
        <v/>
      </c>
      <c r="R265" s="2">
        <f>G265*Q265</f>
        <v/>
      </c>
    </row>
    <row r="266">
      <c r="A266" t="n">
        <v>265</v>
      </c>
      <c r="B266" t="inlineStr">
        <is>
          <t>SW-DAMPER-265</t>
        </is>
      </c>
      <c r="C266" t="inlineStr">
        <is>
          <t>VAN GIÓ</t>
        </is>
      </c>
      <c r="D266" t="inlineStr">
        <is>
          <t>Van chặn lửa MFD EI120 - Kích thước 1000x800</t>
        </is>
      </c>
      <c r="E266" t="inlineStr">
        <is>
          <t>1000x800</t>
        </is>
      </c>
      <c r="F266" t="inlineStr">
        <is>
          <t>Cái</t>
        </is>
      </c>
      <c r="G266" s="2" t="n">
        <v>1</v>
      </c>
      <c r="H266" s="2">
        <f>SUMIF('01_BOC_TACH_ONG'!B:B, B266, '01_BOC_TACH_ONG'!K:K)</f>
        <v/>
      </c>
      <c r="I266" s="2">
        <f>SUMIF('02_BOC_TACH_CUA'!B:B, B266, '02_BOC_TACH_CUA'!K:K)</f>
        <v/>
      </c>
      <c r="J266" s="2">
        <f>SUMIF('03_BOC_TACH_VAN'!B:B, B266, '03_BOC_TACH_VAN'!K:K)</f>
        <v/>
      </c>
      <c r="K266" s="2">
        <f>SUM(H266:J266)</f>
        <v/>
      </c>
      <c r="L266" s="2">
        <f>K266*0.25</f>
        <v/>
      </c>
      <c r="M266" s="2">
        <f>K266*0.10</f>
        <v/>
      </c>
      <c r="N266" s="2">
        <f>K266+L266+M266</f>
        <v/>
      </c>
      <c r="O266" s="2">
        <f>IF(G266&gt;0, N266/G266, 0)</f>
        <v/>
      </c>
      <c r="P266" s="3" t="n">
        <v>0.18</v>
      </c>
      <c r="Q266" s="2">
        <f>O266*(1+P266)</f>
        <v/>
      </c>
      <c r="R266" s="2">
        <f>G266*Q266</f>
        <v/>
      </c>
    </row>
    <row r="267">
      <c r="A267" t="n">
        <v>266</v>
      </c>
      <c r="B267" t="inlineStr">
        <is>
          <t>SW-DIFF-266</t>
        </is>
      </c>
      <c r="C267" t="inlineStr">
        <is>
          <t>CỬA GIÓ</t>
        </is>
      </c>
      <c r="D267" t="inlineStr">
        <is>
          <t>KTM 450x450 + OBD</t>
        </is>
      </c>
      <c r="E267" t="inlineStr">
        <is>
          <t>450x450</t>
        </is>
      </c>
      <c r="F267" t="inlineStr">
        <is>
          <t>Cái</t>
        </is>
      </c>
      <c r="G267" s="2" t="n">
        <v>1</v>
      </c>
      <c r="H267" s="2">
        <f>SUMIF('01_BOC_TACH_ONG'!B:B, B267, '01_BOC_TACH_ONG'!K:K)</f>
        <v/>
      </c>
      <c r="I267" s="2">
        <f>SUMIF('02_BOC_TACH_CUA'!B:B, B267, '02_BOC_TACH_CUA'!K:K)</f>
        <v/>
      </c>
      <c r="J267" s="2">
        <f>SUMIF('03_BOC_TACH_VAN'!B:B, B267, '03_BOC_TACH_VAN'!K:K)</f>
        <v/>
      </c>
      <c r="K267" s="2">
        <f>SUM(H267:J267)</f>
        <v/>
      </c>
      <c r="L267" s="2">
        <f>K267*0.25</f>
        <v/>
      </c>
      <c r="M267" s="2">
        <f>K267*0.10</f>
        <v/>
      </c>
      <c r="N267" s="2">
        <f>K267+L267+M267</f>
        <v/>
      </c>
      <c r="O267" s="2">
        <f>IF(G267&gt;0, N267/G267, 0)</f>
        <v/>
      </c>
      <c r="P267" s="3" t="n">
        <v>0.18</v>
      </c>
      <c r="Q267" s="2">
        <f>O267*(1+P267)</f>
        <v/>
      </c>
      <c r="R267" s="2">
        <f>G267*Q267</f>
        <v/>
      </c>
    </row>
    <row r="268">
      <c r="A268" t="n">
        <v>267</v>
      </c>
      <c r="B268" t="inlineStr">
        <is>
          <t>SW-DIFF-267</t>
        </is>
      </c>
      <c r="C268" t="inlineStr">
        <is>
          <t>CỬA GIÓ</t>
        </is>
      </c>
      <c r="D268" t="inlineStr">
        <is>
          <t>KTM 600x600 + OBD</t>
        </is>
      </c>
      <c r="E268" t="inlineStr">
        <is>
          <t>600x600</t>
        </is>
      </c>
      <c r="F268" t="inlineStr">
        <is>
          <t>Cái</t>
        </is>
      </c>
      <c r="G268" s="2" t="n">
        <v>95</v>
      </c>
      <c r="H268" s="2">
        <f>SUMIF('01_BOC_TACH_ONG'!B:B, B268, '01_BOC_TACH_ONG'!K:K)</f>
        <v/>
      </c>
      <c r="I268" s="2">
        <f>SUMIF('02_BOC_TACH_CUA'!B:B, B268, '02_BOC_TACH_CUA'!K:K)</f>
        <v/>
      </c>
      <c r="J268" s="2">
        <f>SUMIF('03_BOC_TACH_VAN'!B:B, B268, '03_BOC_TACH_VAN'!K:K)</f>
        <v/>
      </c>
      <c r="K268" s="2">
        <f>SUM(H268:J268)</f>
        <v/>
      </c>
      <c r="L268" s="2">
        <f>K268*0.25</f>
        <v/>
      </c>
      <c r="M268" s="2">
        <f>K268*0.10</f>
        <v/>
      </c>
      <c r="N268" s="2">
        <f>K268+L268+M268</f>
        <v/>
      </c>
      <c r="O268" s="2">
        <f>IF(G268&gt;0, N268/G268, 0)</f>
        <v/>
      </c>
      <c r="P268" s="3" t="n">
        <v>0.18</v>
      </c>
      <c r="Q268" s="2">
        <f>O268*(1+P268)</f>
        <v/>
      </c>
      <c r="R268" s="2">
        <f>G268*Q268</f>
        <v/>
      </c>
    </row>
    <row r="269">
      <c r="A269" t="n">
        <v>268</v>
      </c>
      <c r="B269" t="inlineStr">
        <is>
          <t>SW-DIFF-268</t>
        </is>
      </c>
      <c r="C269" t="inlineStr">
        <is>
          <t>CỬA GIÓ</t>
        </is>
      </c>
      <c r="D269" t="inlineStr">
        <is>
          <t>KTM 600x600 + OBD</t>
        </is>
      </c>
      <c r="E269" t="inlineStr">
        <is>
          <t>600x600</t>
        </is>
      </c>
      <c r="F269" t="inlineStr">
        <is>
          <t>Cái</t>
        </is>
      </c>
      <c r="G269" s="2" t="n">
        <v>77</v>
      </c>
      <c r="H269" s="2">
        <f>SUMIF('01_BOC_TACH_ONG'!B:B, B269, '01_BOC_TACH_ONG'!K:K)</f>
        <v/>
      </c>
      <c r="I269" s="2">
        <f>SUMIF('02_BOC_TACH_CUA'!B:B, B269, '02_BOC_TACH_CUA'!K:K)</f>
        <v/>
      </c>
      <c r="J269" s="2">
        <f>SUMIF('03_BOC_TACH_VAN'!B:B, B269, '03_BOC_TACH_VAN'!K:K)</f>
        <v/>
      </c>
      <c r="K269" s="2">
        <f>SUM(H269:J269)</f>
        <v/>
      </c>
      <c r="L269" s="2">
        <f>K269*0.25</f>
        <v/>
      </c>
      <c r="M269" s="2">
        <f>K269*0.10</f>
        <v/>
      </c>
      <c r="N269" s="2">
        <f>K269+L269+M269</f>
        <v/>
      </c>
      <c r="O269" s="2">
        <f>IF(G269&gt;0, N269/G269, 0)</f>
        <v/>
      </c>
      <c r="P269" s="3" t="n">
        <v>0.18</v>
      </c>
      <c r="Q269" s="2">
        <f>O269*(1+P269)</f>
        <v/>
      </c>
      <c r="R269" s="2">
        <f>G269*Q269</f>
        <v/>
      </c>
    </row>
    <row r="270">
      <c r="A270" t="n">
        <v>269</v>
      </c>
      <c r="B270" t="inlineStr">
        <is>
          <t>SW-DIFF-269</t>
        </is>
      </c>
      <c r="C270" t="inlineStr">
        <is>
          <t>CỬA GIÓ</t>
        </is>
      </c>
      <c r="D270" t="inlineStr">
        <is>
          <t>KTM 600x600 + OBD</t>
        </is>
      </c>
      <c r="E270" t="inlineStr">
        <is>
          <t>600x600</t>
        </is>
      </c>
      <c r="F270" t="inlineStr">
        <is>
          <t>Cái</t>
        </is>
      </c>
      <c r="G270" s="2" t="n">
        <v>24</v>
      </c>
      <c r="H270" s="2">
        <f>SUMIF('01_BOC_TACH_ONG'!B:B, B270, '01_BOC_TACH_ONG'!K:K)</f>
        <v/>
      </c>
      <c r="I270" s="2">
        <f>SUMIF('02_BOC_TACH_CUA'!B:B, B270, '02_BOC_TACH_CUA'!K:K)</f>
        <v/>
      </c>
      <c r="J270" s="2">
        <f>SUMIF('03_BOC_TACH_VAN'!B:B, B270, '03_BOC_TACH_VAN'!K:K)</f>
        <v/>
      </c>
      <c r="K270" s="2">
        <f>SUM(H270:J270)</f>
        <v/>
      </c>
      <c r="L270" s="2">
        <f>K270*0.25</f>
        <v/>
      </c>
      <c r="M270" s="2">
        <f>K270*0.10</f>
        <v/>
      </c>
      <c r="N270" s="2">
        <f>K270+L270+M270</f>
        <v/>
      </c>
      <c r="O270" s="2">
        <f>IF(G270&gt;0, N270/G270, 0)</f>
        <v/>
      </c>
      <c r="P270" s="3" t="n">
        <v>0.18</v>
      </c>
      <c r="Q270" s="2">
        <f>O270*(1+P270)</f>
        <v/>
      </c>
      <c r="R270" s="2">
        <f>G270*Q270</f>
        <v/>
      </c>
    </row>
    <row r="271">
      <c r="A271" t="n">
        <v>270</v>
      </c>
      <c r="B271" t="inlineStr">
        <is>
          <t>SW-DIFF-270</t>
        </is>
      </c>
      <c r="C271" t="inlineStr">
        <is>
          <t>CỬA GIÓ</t>
        </is>
      </c>
      <c r="D271" t="inlineStr">
        <is>
          <t>KTM 600x600 + OBD</t>
        </is>
      </c>
      <c r="E271" t="inlineStr">
        <is>
          <t>600x600</t>
        </is>
      </c>
      <c r="F271" t="inlineStr">
        <is>
          <t>Cái</t>
        </is>
      </c>
      <c r="G271" s="2" t="n">
        <v>26</v>
      </c>
      <c r="H271" s="2">
        <f>SUMIF('01_BOC_TACH_ONG'!B:B, B271, '01_BOC_TACH_ONG'!K:K)</f>
        <v/>
      </c>
      <c r="I271" s="2">
        <f>SUMIF('02_BOC_TACH_CUA'!B:B, B271, '02_BOC_TACH_CUA'!K:K)</f>
        <v/>
      </c>
      <c r="J271" s="2">
        <f>SUMIF('03_BOC_TACH_VAN'!B:B, B271, '03_BOC_TACH_VAN'!K:K)</f>
        <v/>
      </c>
      <c r="K271" s="2">
        <f>SUM(H271:J271)</f>
        <v/>
      </c>
      <c r="L271" s="2">
        <f>K271*0.25</f>
        <v/>
      </c>
      <c r="M271" s="2">
        <f>K271*0.10</f>
        <v/>
      </c>
      <c r="N271" s="2">
        <f>K271+L271+M271</f>
        <v/>
      </c>
      <c r="O271" s="2">
        <f>IF(G271&gt;0, N271/G271, 0)</f>
        <v/>
      </c>
      <c r="P271" s="3" t="n">
        <v>0.18</v>
      </c>
      <c r="Q271" s="2">
        <f>O271*(1+P271)</f>
        <v/>
      </c>
      <c r="R271" s="2">
        <f>G271*Q271</f>
        <v/>
      </c>
    </row>
    <row r="272">
      <c r="A272" t="n">
        <v>271</v>
      </c>
      <c r="B272" t="inlineStr">
        <is>
          <t>SW-DIFF-271</t>
        </is>
      </c>
      <c r="C272" t="inlineStr">
        <is>
          <t>CỬA GIÓ</t>
        </is>
      </c>
      <c r="D272" t="inlineStr">
        <is>
          <t>Louver gió tươi FAL - Kích thước: 1400x350</t>
        </is>
      </c>
      <c r="E272" t="inlineStr">
        <is>
          <t>1400x350</t>
        </is>
      </c>
      <c r="F272" t="inlineStr">
        <is>
          <t>Cái</t>
        </is>
      </c>
      <c r="G272" s="2" t="n">
        <v>1</v>
      </c>
      <c r="H272" s="2">
        <f>SUMIF('01_BOC_TACH_ONG'!B:B, B272, '01_BOC_TACH_ONG'!K:K)</f>
        <v/>
      </c>
      <c r="I272" s="2">
        <f>SUMIF('02_BOC_TACH_CUA'!B:B, B272, '02_BOC_TACH_CUA'!K:K)</f>
        <v/>
      </c>
      <c r="J272" s="2">
        <f>SUMIF('03_BOC_TACH_VAN'!B:B, B272, '03_BOC_TACH_VAN'!K:K)</f>
        <v/>
      </c>
      <c r="K272" s="2">
        <f>SUM(H272:J272)</f>
        <v/>
      </c>
      <c r="L272" s="2">
        <f>K272*0.25</f>
        <v/>
      </c>
      <c r="M272" s="2">
        <f>K272*0.10</f>
        <v/>
      </c>
      <c r="N272" s="2">
        <f>K272+L272+M272</f>
        <v/>
      </c>
      <c r="O272" s="2">
        <f>IF(G272&gt;0, N272/G272, 0)</f>
        <v/>
      </c>
      <c r="P272" s="3" t="n">
        <v>0.18</v>
      </c>
      <c r="Q272" s="2">
        <f>O272*(1+P272)</f>
        <v/>
      </c>
      <c r="R272" s="2">
        <f>G272*Q272</f>
        <v/>
      </c>
    </row>
    <row r="273">
      <c r="A273" t="n">
        <v>272</v>
      </c>
      <c r="B273" t="inlineStr">
        <is>
          <t>SW-DIFF-272</t>
        </is>
      </c>
      <c r="C273" t="inlineStr">
        <is>
          <t>CỬA GIÓ</t>
        </is>
      </c>
      <c r="D273" t="inlineStr">
        <is>
          <t>Louver gió tươi FAL - Kích thước: 1600x600</t>
        </is>
      </c>
      <c r="E273" t="inlineStr">
        <is>
          <t>1600x600</t>
        </is>
      </c>
      <c r="F273" t="inlineStr">
        <is>
          <t>Cái</t>
        </is>
      </c>
      <c r="G273" s="2" t="n">
        <v>1</v>
      </c>
      <c r="H273" s="2">
        <f>SUMIF('01_BOC_TACH_ONG'!B:B, B273, '01_BOC_TACH_ONG'!K:K)</f>
        <v/>
      </c>
      <c r="I273" s="2">
        <f>SUMIF('02_BOC_TACH_CUA'!B:B, B273, '02_BOC_TACH_CUA'!K:K)</f>
        <v/>
      </c>
      <c r="J273" s="2">
        <f>SUMIF('03_BOC_TACH_VAN'!B:B, B273, '03_BOC_TACH_VAN'!K:K)</f>
        <v/>
      </c>
      <c r="K273" s="2">
        <f>SUM(H273:J273)</f>
        <v/>
      </c>
      <c r="L273" s="2">
        <f>K273*0.25</f>
        <v/>
      </c>
      <c r="M273" s="2">
        <f>K273*0.10</f>
        <v/>
      </c>
      <c r="N273" s="2">
        <f>K273+L273+M273</f>
        <v/>
      </c>
      <c r="O273" s="2">
        <f>IF(G273&gt;0, N273/G273, 0)</f>
        <v/>
      </c>
      <c r="P273" s="3" t="n">
        <v>0.18</v>
      </c>
      <c r="Q273" s="2">
        <f>O273*(1+P273)</f>
        <v/>
      </c>
      <c r="R273" s="2">
        <f>G273*Q273</f>
        <v/>
      </c>
    </row>
    <row r="274">
      <c r="A274" t="n">
        <v>273</v>
      </c>
      <c r="B274" t="inlineStr">
        <is>
          <t>SW-DAMPER-273</t>
        </is>
      </c>
      <c r="C274" t="inlineStr">
        <is>
          <t>VAN GIÓ</t>
        </is>
      </c>
      <c r="D274" t="inlineStr">
        <is>
          <t>Van gió MD - Kích thước 600x300</t>
        </is>
      </c>
      <c r="E274" t="inlineStr">
        <is>
          <t>600x300</t>
        </is>
      </c>
      <c r="F274" t="inlineStr">
        <is>
          <t>Cái</t>
        </is>
      </c>
      <c r="G274" s="2" t="n">
        <v>2</v>
      </c>
      <c r="H274" s="2">
        <f>SUMIF('01_BOC_TACH_ONG'!B:B, B274, '01_BOC_TACH_ONG'!K:K)</f>
        <v/>
      </c>
      <c r="I274" s="2">
        <f>SUMIF('02_BOC_TACH_CUA'!B:B, B274, '02_BOC_TACH_CUA'!K:K)</f>
        <v/>
      </c>
      <c r="J274" s="2">
        <f>SUMIF('03_BOC_TACH_VAN'!B:B, B274, '03_BOC_TACH_VAN'!K:K)</f>
        <v/>
      </c>
      <c r="K274" s="2">
        <f>SUM(H274:J274)</f>
        <v/>
      </c>
      <c r="L274" s="2">
        <f>K274*0.25</f>
        <v/>
      </c>
      <c r="M274" s="2">
        <f>K274*0.10</f>
        <v/>
      </c>
      <c r="N274" s="2">
        <f>K274+L274+M274</f>
        <v/>
      </c>
      <c r="O274" s="2">
        <f>IF(G274&gt;0, N274/G274, 0)</f>
        <v/>
      </c>
      <c r="P274" s="3" t="n">
        <v>0.18</v>
      </c>
      <c r="Q274" s="2">
        <f>O274*(1+P274)</f>
        <v/>
      </c>
      <c r="R274" s="2">
        <f>G274*Q274</f>
        <v/>
      </c>
    </row>
    <row r="275">
      <c r="A275" t="n">
        <v>274</v>
      </c>
      <c r="B275" t="inlineStr">
        <is>
          <t>SW-DAMPER-274</t>
        </is>
      </c>
      <c r="C275" t="inlineStr">
        <is>
          <t>VAN GIÓ</t>
        </is>
      </c>
      <c r="D275" t="inlineStr">
        <is>
          <t>Van gió MD - Kích thước 600x450</t>
        </is>
      </c>
      <c r="E275" t="inlineStr">
        <is>
          <t>600x450</t>
        </is>
      </c>
      <c r="F275" t="inlineStr">
        <is>
          <t>Cái</t>
        </is>
      </c>
      <c r="G275" s="2" t="n">
        <v>2</v>
      </c>
      <c r="H275" s="2">
        <f>SUMIF('01_BOC_TACH_ONG'!B:B, B275, '01_BOC_TACH_ONG'!K:K)</f>
        <v/>
      </c>
      <c r="I275" s="2">
        <f>SUMIF('02_BOC_TACH_CUA'!B:B, B275, '02_BOC_TACH_CUA'!K:K)</f>
        <v/>
      </c>
      <c r="J275" s="2">
        <f>SUMIF('03_BOC_TACH_VAN'!B:B, B275, '03_BOC_TACH_VAN'!K:K)</f>
        <v/>
      </c>
      <c r="K275" s="2">
        <f>SUM(H275:J275)</f>
        <v/>
      </c>
      <c r="L275" s="2">
        <f>K275*0.25</f>
        <v/>
      </c>
      <c r="M275" s="2">
        <f>K275*0.10</f>
        <v/>
      </c>
      <c r="N275" s="2">
        <f>K275+L275+M275</f>
        <v/>
      </c>
      <c r="O275" s="2">
        <f>IF(G275&gt;0, N275/G275, 0)</f>
        <v/>
      </c>
      <c r="P275" s="3" t="n">
        <v>0.18</v>
      </c>
      <c r="Q275" s="2">
        <f>O275*(1+P275)</f>
        <v/>
      </c>
      <c r="R275" s="2">
        <f>G275*Q275</f>
        <v/>
      </c>
    </row>
    <row r="276">
      <c r="A276" t="n">
        <v>275</v>
      </c>
      <c r="B276" t="inlineStr">
        <is>
          <t>SW-DAMPER-275</t>
        </is>
      </c>
      <c r="C276" t="inlineStr">
        <is>
          <t>VAN GIÓ</t>
        </is>
      </c>
      <c r="D276" t="inlineStr">
        <is>
          <t>Van gió MD - Kích thước 1000x500</t>
        </is>
      </c>
      <c r="E276" t="inlineStr">
        <is>
          <t>1000x500</t>
        </is>
      </c>
      <c r="F276" t="inlineStr">
        <is>
          <t>Cái</t>
        </is>
      </c>
      <c r="G276" s="2" t="n">
        <v>1</v>
      </c>
      <c r="H276" s="2">
        <f>SUMIF('01_BOC_TACH_ONG'!B:B, B276, '01_BOC_TACH_ONG'!K:K)</f>
        <v/>
      </c>
      <c r="I276" s="2">
        <f>SUMIF('02_BOC_TACH_CUA'!B:B, B276, '02_BOC_TACH_CUA'!K:K)</f>
        <v/>
      </c>
      <c r="J276" s="2">
        <f>SUMIF('03_BOC_TACH_VAN'!B:B, B276, '03_BOC_TACH_VAN'!K:K)</f>
        <v/>
      </c>
      <c r="K276" s="2">
        <f>SUM(H276:J276)</f>
        <v/>
      </c>
      <c r="L276" s="2">
        <f>K276*0.25</f>
        <v/>
      </c>
      <c r="M276" s="2">
        <f>K276*0.10</f>
        <v/>
      </c>
      <c r="N276" s="2">
        <f>K276+L276+M276</f>
        <v/>
      </c>
      <c r="O276" s="2">
        <f>IF(G276&gt;0, N276/G276, 0)</f>
        <v/>
      </c>
      <c r="P276" s="3" t="n">
        <v>0.18</v>
      </c>
      <c r="Q276" s="2">
        <f>O276*(1+P276)</f>
        <v/>
      </c>
      <c r="R276" s="2">
        <f>G276*Q276</f>
        <v/>
      </c>
    </row>
    <row r="277">
      <c r="A277" t="n">
        <v>276</v>
      </c>
      <c r="B277" t="inlineStr">
        <is>
          <t>SW-DAMPER-276</t>
        </is>
      </c>
      <c r="C277" t="inlineStr">
        <is>
          <t>VAN GIÓ</t>
        </is>
      </c>
      <c r="D277" t="inlineStr">
        <is>
          <t>Van gió MD - Kích thước 1000x600</t>
        </is>
      </c>
      <c r="E277" t="inlineStr">
        <is>
          <t>1000x600</t>
        </is>
      </c>
      <c r="F277" t="inlineStr">
        <is>
          <t>Cái</t>
        </is>
      </c>
      <c r="G277" s="2" t="n">
        <v>2</v>
      </c>
      <c r="H277" s="2">
        <f>SUMIF('01_BOC_TACH_ONG'!B:B, B277, '01_BOC_TACH_ONG'!K:K)</f>
        <v/>
      </c>
      <c r="I277" s="2">
        <f>SUMIF('02_BOC_TACH_CUA'!B:B, B277, '02_BOC_TACH_CUA'!K:K)</f>
        <v/>
      </c>
      <c r="J277" s="2">
        <f>SUMIF('03_BOC_TACH_VAN'!B:B, B277, '03_BOC_TACH_VAN'!K:K)</f>
        <v/>
      </c>
      <c r="K277" s="2">
        <f>SUM(H277:J277)</f>
        <v/>
      </c>
      <c r="L277" s="2">
        <f>K277*0.25</f>
        <v/>
      </c>
      <c r="M277" s="2">
        <f>K277*0.10</f>
        <v/>
      </c>
      <c r="N277" s="2">
        <f>K277+L277+M277</f>
        <v/>
      </c>
      <c r="O277" s="2">
        <f>IF(G277&gt;0, N277/G277, 0)</f>
        <v/>
      </c>
      <c r="P277" s="3" t="n">
        <v>0.18</v>
      </c>
      <c r="Q277" s="2">
        <f>O277*(1+P277)</f>
        <v/>
      </c>
      <c r="R277" s="2">
        <f>G277*Q277</f>
        <v/>
      </c>
    </row>
    <row r="278">
      <c r="A278" t="n">
        <v>277</v>
      </c>
      <c r="B278" t="inlineStr">
        <is>
          <t>SW-DAMPER-277</t>
        </is>
      </c>
      <c r="C278" t="inlineStr">
        <is>
          <t>VAN GIÓ</t>
        </is>
      </c>
      <c r="D278" t="inlineStr">
        <is>
          <t>Van gió MD - Kích thước 1200x900</t>
        </is>
      </c>
      <c r="E278" t="inlineStr">
        <is>
          <t>1200x900</t>
        </is>
      </c>
      <c r="F278" t="inlineStr">
        <is>
          <t>Cái</t>
        </is>
      </c>
      <c r="G278" s="2" t="n">
        <v>1</v>
      </c>
      <c r="H278" s="2">
        <f>SUMIF('01_BOC_TACH_ONG'!B:B, B278, '01_BOC_TACH_ONG'!K:K)</f>
        <v/>
      </c>
      <c r="I278" s="2">
        <f>SUMIF('02_BOC_TACH_CUA'!B:B, B278, '02_BOC_TACH_CUA'!K:K)</f>
        <v/>
      </c>
      <c r="J278" s="2">
        <f>SUMIF('03_BOC_TACH_VAN'!B:B, B278, '03_BOC_TACH_VAN'!K:K)</f>
        <v/>
      </c>
      <c r="K278" s="2">
        <f>SUM(H278:J278)</f>
        <v/>
      </c>
      <c r="L278" s="2">
        <f>K278*0.25</f>
        <v/>
      </c>
      <c r="M278" s="2">
        <f>K278*0.10</f>
        <v/>
      </c>
      <c r="N278" s="2">
        <f>K278+L278+M278</f>
        <v/>
      </c>
      <c r="O278" s="2">
        <f>IF(G278&gt;0, N278/G278, 0)</f>
        <v/>
      </c>
      <c r="P278" s="3" t="n">
        <v>0.18</v>
      </c>
      <c r="Q278" s="2">
        <f>O278*(1+P278)</f>
        <v/>
      </c>
      <c r="R278" s="2">
        <f>G278*Q278</f>
        <v/>
      </c>
    </row>
    <row r="279">
      <c r="A279" t="n">
        <v>278</v>
      </c>
      <c r="B279" t="inlineStr">
        <is>
          <t>SW-DAMPER-278</t>
        </is>
      </c>
      <c r="C279" t="inlineStr">
        <is>
          <t>VAN GIÓ</t>
        </is>
      </c>
      <c r="D279" t="inlineStr">
        <is>
          <t>Van gió MD - Kích thước D600 (theo đường kính quạt)</t>
        </is>
      </c>
      <c r="E279" t="inlineStr">
        <is>
          <t>600x600</t>
        </is>
      </c>
      <c r="F279" t="inlineStr">
        <is>
          <t>Cái</t>
        </is>
      </c>
      <c r="G279" s="2" t="n">
        <v>1</v>
      </c>
      <c r="H279" s="2">
        <f>SUMIF('01_BOC_TACH_ONG'!B:B, B279, '01_BOC_TACH_ONG'!K:K)</f>
        <v/>
      </c>
      <c r="I279" s="2">
        <f>SUMIF('02_BOC_TACH_CUA'!B:B, B279, '02_BOC_TACH_CUA'!K:K)</f>
        <v/>
      </c>
      <c r="J279" s="2">
        <f>SUMIF('03_BOC_TACH_VAN'!B:B, B279, '03_BOC_TACH_VAN'!K:K)</f>
        <v/>
      </c>
      <c r="K279" s="2">
        <f>SUM(H279:J279)</f>
        <v/>
      </c>
      <c r="L279" s="2">
        <f>K279*0.25</f>
        <v/>
      </c>
      <c r="M279" s="2">
        <f>K279*0.10</f>
        <v/>
      </c>
      <c r="N279" s="2">
        <f>K279+L279+M279</f>
        <v/>
      </c>
      <c r="O279" s="2">
        <f>IF(G279&gt;0, N279/G279, 0)</f>
        <v/>
      </c>
      <c r="P279" s="3" t="n">
        <v>0.18</v>
      </c>
      <c r="Q279" s="2">
        <f>O279*(1+P279)</f>
        <v/>
      </c>
      <c r="R279" s="2">
        <f>G279*Q279</f>
        <v/>
      </c>
    </row>
    <row r="280">
      <c r="A280" t="n">
        <v>279</v>
      </c>
      <c r="B280" t="inlineStr">
        <is>
          <t>SW-DAMPER-279</t>
        </is>
      </c>
      <c r="C280" t="inlineStr">
        <is>
          <t>VAN GIÓ</t>
        </is>
      </c>
      <c r="D280" t="inlineStr">
        <is>
          <t>Van gió MD - Kích thước D750 (theo đường kính quạt)</t>
        </is>
      </c>
      <c r="E280" t="inlineStr">
        <is>
          <t>750x750</t>
        </is>
      </c>
      <c r="F280" t="inlineStr">
        <is>
          <t>Cái</t>
        </is>
      </c>
      <c r="G280" s="2" t="n">
        <v>1</v>
      </c>
      <c r="H280" s="2">
        <f>SUMIF('01_BOC_TACH_ONG'!B:B, B280, '01_BOC_TACH_ONG'!K:K)</f>
        <v/>
      </c>
      <c r="I280" s="2">
        <f>SUMIF('02_BOC_TACH_CUA'!B:B, B280, '02_BOC_TACH_CUA'!K:K)</f>
        <v/>
      </c>
      <c r="J280" s="2">
        <f>SUMIF('03_BOC_TACH_VAN'!B:B, B280, '03_BOC_TACH_VAN'!K:K)</f>
        <v/>
      </c>
      <c r="K280" s="2">
        <f>SUM(H280:J280)</f>
        <v/>
      </c>
      <c r="L280" s="2">
        <f>K280*0.25</f>
        <v/>
      </c>
      <c r="M280" s="2">
        <f>K280*0.10</f>
        <v/>
      </c>
      <c r="N280" s="2">
        <f>K280+L280+M280</f>
        <v/>
      </c>
      <c r="O280" s="2">
        <f>IF(G280&gt;0, N280/G280, 0)</f>
        <v/>
      </c>
      <c r="P280" s="3" t="n">
        <v>0.18</v>
      </c>
      <c r="Q280" s="2">
        <f>O280*(1+P280)</f>
        <v/>
      </c>
      <c r="R280" s="2">
        <f>G280*Q280</f>
        <v/>
      </c>
    </row>
    <row r="281">
      <c r="A281" t="n">
        <v>280</v>
      </c>
      <c r="B281" t="inlineStr">
        <is>
          <t>SW-DAMPER-280</t>
        </is>
      </c>
      <c r="C281" t="inlineStr">
        <is>
          <t>VAN GIÓ</t>
        </is>
      </c>
      <c r="D281" t="inlineStr">
        <is>
          <t>Van chặn lửa MFD EI45 - Kích thước 600x250</t>
        </is>
      </c>
      <c r="E281" t="inlineStr">
        <is>
          <t>600x250</t>
        </is>
      </c>
      <c r="F281" t="inlineStr">
        <is>
          <t>Cái</t>
        </is>
      </c>
      <c r="G281" s="2" t="n">
        <v>97</v>
      </c>
      <c r="H281" s="2">
        <f>SUMIF('01_BOC_TACH_ONG'!B:B, B281, '01_BOC_TACH_ONG'!K:K)</f>
        <v/>
      </c>
      <c r="I281" s="2">
        <f>SUMIF('02_BOC_TACH_CUA'!B:B, B281, '02_BOC_TACH_CUA'!K:K)</f>
        <v/>
      </c>
      <c r="J281" s="2">
        <f>SUMIF('03_BOC_TACH_VAN'!B:B, B281, '03_BOC_TACH_VAN'!K:K)</f>
        <v/>
      </c>
      <c r="K281" s="2">
        <f>SUM(H281:J281)</f>
        <v/>
      </c>
      <c r="L281" s="2">
        <f>K281*0.25</f>
        <v/>
      </c>
      <c r="M281" s="2">
        <f>K281*0.10</f>
        <v/>
      </c>
      <c r="N281" s="2">
        <f>K281+L281+M281</f>
        <v/>
      </c>
      <c r="O281" s="2">
        <f>IF(G281&gt;0, N281/G281, 0)</f>
        <v/>
      </c>
      <c r="P281" s="3" t="n">
        <v>0.18</v>
      </c>
      <c r="Q281" s="2">
        <f>O281*(1+P281)</f>
        <v/>
      </c>
      <c r="R281" s="2">
        <f>G281*Q281</f>
        <v/>
      </c>
    </row>
    <row r="282">
      <c r="A282" t="n">
        <v>281</v>
      </c>
      <c r="B282" t="inlineStr">
        <is>
          <t>SW-DAMPER-281</t>
        </is>
      </c>
      <c r="C282" t="inlineStr">
        <is>
          <t>VAN GIÓ</t>
        </is>
      </c>
      <c r="D282" t="inlineStr">
        <is>
          <t>Van chặn lửa MFD EI45 - Kích thước 600x300</t>
        </is>
      </c>
      <c r="E282" t="inlineStr">
        <is>
          <t>600x300</t>
        </is>
      </c>
      <c r="F282" t="inlineStr">
        <is>
          <t>Cái</t>
        </is>
      </c>
      <c r="G282" s="2" t="n">
        <v>2</v>
      </c>
      <c r="H282" s="2">
        <f>SUMIF('01_BOC_TACH_ONG'!B:B, B282, '01_BOC_TACH_ONG'!K:K)</f>
        <v/>
      </c>
      <c r="I282" s="2">
        <f>SUMIF('02_BOC_TACH_CUA'!B:B, B282, '02_BOC_TACH_CUA'!K:K)</f>
        <v/>
      </c>
      <c r="J282" s="2">
        <f>SUMIF('03_BOC_TACH_VAN'!B:B, B282, '03_BOC_TACH_VAN'!K:K)</f>
        <v/>
      </c>
      <c r="K282" s="2">
        <f>SUM(H282:J282)</f>
        <v/>
      </c>
      <c r="L282" s="2">
        <f>K282*0.25</f>
        <v/>
      </c>
      <c r="M282" s="2">
        <f>K282*0.10</f>
        <v/>
      </c>
      <c r="N282" s="2">
        <f>K282+L282+M282</f>
        <v/>
      </c>
      <c r="O282" s="2">
        <f>IF(G282&gt;0, N282/G282, 0)</f>
        <v/>
      </c>
      <c r="P282" s="3" t="n">
        <v>0.18</v>
      </c>
      <c r="Q282" s="2">
        <f>O282*(1+P282)</f>
        <v/>
      </c>
      <c r="R282" s="2">
        <f>G282*Q282</f>
        <v/>
      </c>
    </row>
    <row r="283">
      <c r="A283" t="n">
        <v>282</v>
      </c>
      <c r="B283" t="inlineStr">
        <is>
          <t>SW-DAMPER-282</t>
        </is>
      </c>
      <c r="C283" t="inlineStr">
        <is>
          <t>VAN GIÓ</t>
        </is>
      </c>
      <c r="D283" t="inlineStr">
        <is>
          <t>Van chặn lửa MFD EI90 - Kích thước 600x300</t>
        </is>
      </c>
      <c r="E283" t="inlineStr">
        <is>
          <t>600x300</t>
        </is>
      </c>
      <c r="F283" t="inlineStr">
        <is>
          <t>Cái</t>
        </is>
      </c>
      <c r="G283" s="2" t="n">
        <v>1</v>
      </c>
      <c r="H283" s="2">
        <f>SUMIF('01_BOC_TACH_ONG'!B:B, B283, '01_BOC_TACH_ONG'!K:K)</f>
        <v/>
      </c>
      <c r="I283" s="2">
        <f>SUMIF('02_BOC_TACH_CUA'!B:B, B283, '02_BOC_TACH_CUA'!K:K)</f>
        <v/>
      </c>
      <c r="J283" s="2">
        <f>SUMIF('03_BOC_TACH_VAN'!B:B, B283, '03_BOC_TACH_VAN'!K:K)</f>
        <v/>
      </c>
      <c r="K283" s="2">
        <f>SUM(H283:J283)</f>
        <v/>
      </c>
      <c r="L283" s="2">
        <f>K283*0.25</f>
        <v/>
      </c>
      <c r="M283" s="2">
        <f>K283*0.10</f>
        <v/>
      </c>
      <c r="N283" s="2">
        <f>K283+L283+M283</f>
        <v/>
      </c>
      <c r="O283" s="2">
        <f>IF(G283&gt;0, N283/G283, 0)</f>
        <v/>
      </c>
      <c r="P283" s="3" t="n">
        <v>0.18</v>
      </c>
      <c r="Q283" s="2">
        <f>O283*(1+P283)</f>
        <v/>
      </c>
      <c r="R283" s="2">
        <f>G283*Q283</f>
        <v/>
      </c>
    </row>
    <row r="284">
      <c r="A284" t="n">
        <v>283</v>
      </c>
      <c r="B284" t="inlineStr">
        <is>
          <t>SW-DAMPER-283</t>
        </is>
      </c>
      <c r="C284" t="inlineStr">
        <is>
          <t>VAN GIÓ</t>
        </is>
      </c>
      <c r="D284" t="inlineStr">
        <is>
          <t>Van chặn lửa MFD EI45 - Kích thước 600x400</t>
        </is>
      </c>
      <c r="E284" t="inlineStr">
        <is>
          <t>600x400</t>
        </is>
      </c>
      <c r="F284" t="inlineStr">
        <is>
          <t>Cái</t>
        </is>
      </c>
      <c r="G284" s="2" t="n">
        <v>1</v>
      </c>
      <c r="H284" s="2">
        <f>SUMIF('01_BOC_TACH_ONG'!B:B, B284, '01_BOC_TACH_ONG'!K:K)</f>
        <v/>
      </c>
      <c r="I284" s="2">
        <f>SUMIF('02_BOC_TACH_CUA'!B:B, B284, '02_BOC_TACH_CUA'!K:K)</f>
        <v/>
      </c>
      <c r="J284" s="2">
        <f>SUMIF('03_BOC_TACH_VAN'!B:B, B284, '03_BOC_TACH_VAN'!K:K)</f>
        <v/>
      </c>
      <c r="K284" s="2">
        <f>SUM(H284:J284)</f>
        <v/>
      </c>
      <c r="L284" s="2">
        <f>K284*0.25</f>
        <v/>
      </c>
      <c r="M284" s="2">
        <f>K284*0.10</f>
        <v/>
      </c>
      <c r="N284" s="2">
        <f>K284+L284+M284</f>
        <v/>
      </c>
      <c r="O284" s="2">
        <f>IF(G284&gt;0, N284/G284, 0)</f>
        <v/>
      </c>
      <c r="P284" s="3" t="n">
        <v>0.18</v>
      </c>
      <c r="Q284" s="2">
        <f>O284*(1+P284)</f>
        <v/>
      </c>
      <c r="R284" s="2">
        <f>G284*Q284</f>
        <v/>
      </c>
    </row>
    <row r="285">
      <c r="A285" t="n">
        <v>284</v>
      </c>
      <c r="B285" t="inlineStr">
        <is>
          <t>SW-DAMPER-284</t>
        </is>
      </c>
      <c r="C285" t="inlineStr">
        <is>
          <t>VAN GIÓ</t>
        </is>
      </c>
      <c r="D285" t="inlineStr">
        <is>
          <t>Van chặn lửa MFD EI45 - Kích thước 600x450</t>
        </is>
      </c>
      <c r="E285" t="inlineStr">
        <is>
          <t>600x450</t>
        </is>
      </c>
      <c r="F285" t="inlineStr">
        <is>
          <t>Cái</t>
        </is>
      </c>
      <c r="G285" s="2" t="n">
        <v>2</v>
      </c>
      <c r="H285" s="2">
        <f>SUMIF('01_BOC_TACH_ONG'!B:B, B285, '01_BOC_TACH_ONG'!K:K)</f>
        <v/>
      </c>
      <c r="I285" s="2">
        <f>SUMIF('02_BOC_TACH_CUA'!B:B, B285, '02_BOC_TACH_CUA'!K:K)</f>
        <v/>
      </c>
      <c r="J285" s="2">
        <f>SUMIF('03_BOC_TACH_VAN'!B:B, B285, '03_BOC_TACH_VAN'!K:K)</f>
        <v/>
      </c>
      <c r="K285" s="2">
        <f>SUM(H285:J285)</f>
        <v/>
      </c>
      <c r="L285" s="2">
        <f>K285*0.25</f>
        <v/>
      </c>
      <c r="M285" s="2">
        <f>K285*0.10</f>
        <v/>
      </c>
      <c r="N285" s="2">
        <f>K285+L285+M285</f>
        <v/>
      </c>
      <c r="O285" s="2">
        <f>IF(G285&gt;0, N285/G285, 0)</f>
        <v/>
      </c>
      <c r="P285" s="3" t="n">
        <v>0.18</v>
      </c>
      <c r="Q285" s="2">
        <f>O285*(1+P285)</f>
        <v/>
      </c>
      <c r="R285" s="2">
        <f>G285*Q285</f>
        <v/>
      </c>
    </row>
    <row r="286">
      <c r="A286" t="n">
        <v>285</v>
      </c>
      <c r="B286" t="inlineStr">
        <is>
          <t>SW-DAMPER-285</t>
        </is>
      </c>
      <c r="C286" t="inlineStr">
        <is>
          <t>VAN GIÓ</t>
        </is>
      </c>
      <c r="D286" t="inlineStr">
        <is>
          <t>Van chặn lửa MFD EI90 - Kích thước 600x450</t>
        </is>
      </c>
      <c r="E286" t="inlineStr">
        <is>
          <t>600x450</t>
        </is>
      </c>
      <c r="F286" t="inlineStr">
        <is>
          <t>Cái</t>
        </is>
      </c>
      <c r="G286" s="2" t="n">
        <v>2</v>
      </c>
      <c r="H286" s="2">
        <f>SUMIF('01_BOC_TACH_ONG'!B:B, B286, '01_BOC_TACH_ONG'!K:K)</f>
        <v/>
      </c>
      <c r="I286" s="2">
        <f>SUMIF('02_BOC_TACH_CUA'!B:B, B286, '02_BOC_TACH_CUA'!K:K)</f>
        <v/>
      </c>
      <c r="J286" s="2">
        <f>SUMIF('03_BOC_TACH_VAN'!B:B, B286, '03_BOC_TACH_VAN'!K:K)</f>
        <v/>
      </c>
      <c r="K286" s="2">
        <f>SUM(H286:J286)</f>
        <v/>
      </c>
      <c r="L286" s="2">
        <f>K286*0.25</f>
        <v/>
      </c>
      <c r="M286" s="2">
        <f>K286*0.10</f>
        <v/>
      </c>
      <c r="N286" s="2">
        <f>K286+L286+M286</f>
        <v/>
      </c>
      <c r="O286" s="2">
        <f>IF(G286&gt;0, N286/G286, 0)</f>
        <v/>
      </c>
      <c r="P286" s="3" t="n">
        <v>0.18</v>
      </c>
      <c r="Q286" s="2">
        <f>O286*(1+P286)</f>
        <v/>
      </c>
      <c r="R286" s="2">
        <f>G286*Q286</f>
        <v/>
      </c>
    </row>
    <row r="287">
      <c r="A287" t="n">
        <v>286</v>
      </c>
      <c r="B287" t="inlineStr">
        <is>
          <t>SW-DAMPER-286</t>
        </is>
      </c>
      <c r="C287" t="inlineStr">
        <is>
          <t>VAN GIÓ</t>
        </is>
      </c>
      <c r="D287" t="inlineStr">
        <is>
          <t>Van chặn lửa MFD EI45 - Kích thước 750x350</t>
        </is>
      </c>
      <c r="E287" t="inlineStr">
        <is>
          <t>750x350</t>
        </is>
      </c>
      <c r="F287" t="inlineStr">
        <is>
          <t>Cái</t>
        </is>
      </c>
      <c r="G287" s="2" t="n">
        <v>1</v>
      </c>
      <c r="H287" s="2">
        <f>SUMIF('01_BOC_TACH_ONG'!B:B, B287, '01_BOC_TACH_ONG'!K:K)</f>
        <v/>
      </c>
      <c r="I287" s="2">
        <f>SUMIF('02_BOC_TACH_CUA'!B:B, B287, '02_BOC_TACH_CUA'!K:K)</f>
        <v/>
      </c>
      <c r="J287" s="2">
        <f>SUMIF('03_BOC_TACH_VAN'!B:B, B287, '03_BOC_TACH_VAN'!K:K)</f>
        <v/>
      </c>
      <c r="K287" s="2">
        <f>SUM(H287:J287)</f>
        <v/>
      </c>
      <c r="L287" s="2">
        <f>K287*0.25</f>
        <v/>
      </c>
      <c r="M287" s="2">
        <f>K287*0.10</f>
        <v/>
      </c>
      <c r="N287" s="2">
        <f>K287+L287+M287</f>
        <v/>
      </c>
      <c r="O287" s="2">
        <f>IF(G287&gt;0, N287/G287, 0)</f>
        <v/>
      </c>
      <c r="P287" s="3" t="n">
        <v>0.18</v>
      </c>
      <c r="Q287" s="2">
        <f>O287*(1+P287)</f>
        <v/>
      </c>
      <c r="R287" s="2">
        <f>G287*Q287</f>
        <v/>
      </c>
    </row>
    <row r="288">
      <c r="A288" t="n">
        <v>287</v>
      </c>
      <c r="B288" t="inlineStr">
        <is>
          <t>SW-DAMPER-287</t>
        </is>
      </c>
      <c r="C288" t="inlineStr">
        <is>
          <t>VAN GIÓ</t>
        </is>
      </c>
      <c r="D288" t="inlineStr">
        <is>
          <t>Van chặn lửa MFD EI90 - Kích thước 750x350</t>
        </is>
      </c>
      <c r="E288" t="inlineStr">
        <is>
          <t>750x350</t>
        </is>
      </c>
      <c r="F288" t="inlineStr">
        <is>
          <t>Cái</t>
        </is>
      </c>
      <c r="G288" s="2" t="n">
        <v>1</v>
      </c>
      <c r="H288" s="2">
        <f>SUMIF('01_BOC_TACH_ONG'!B:B, B288, '01_BOC_TACH_ONG'!K:K)</f>
        <v/>
      </c>
      <c r="I288" s="2">
        <f>SUMIF('02_BOC_TACH_CUA'!B:B, B288, '02_BOC_TACH_CUA'!K:K)</f>
        <v/>
      </c>
      <c r="J288" s="2">
        <f>SUMIF('03_BOC_TACH_VAN'!B:B, B288, '03_BOC_TACH_VAN'!K:K)</f>
        <v/>
      </c>
      <c r="K288" s="2">
        <f>SUM(H288:J288)</f>
        <v/>
      </c>
      <c r="L288" s="2">
        <f>K288*0.25</f>
        <v/>
      </c>
      <c r="M288" s="2">
        <f>K288*0.10</f>
        <v/>
      </c>
      <c r="N288" s="2">
        <f>K288+L288+M288</f>
        <v/>
      </c>
      <c r="O288" s="2">
        <f>IF(G288&gt;0, N288/G288, 0)</f>
        <v/>
      </c>
      <c r="P288" s="3" t="n">
        <v>0.18</v>
      </c>
      <c r="Q288" s="2">
        <f>O288*(1+P288)</f>
        <v/>
      </c>
      <c r="R288" s="2">
        <f>G288*Q288</f>
        <v/>
      </c>
    </row>
    <row r="289">
      <c r="A289" t="n">
        <v>288</v>
      </c>
      <c r="B289" t="inlineStr">
        <is>
          <t>SW-DAMPER-288</t>
        </is>
      </c>
      <c r="C289" t="inlineStr">
        <is>
          <t>VAN GIÓ</t>
        </is>
      </c>
      <c r="D289" t="inlineStr">
        <is>
          <t>Van chặn lửa MFD EI45 - Kích thước 1000x600</t>
        </is>
      </c>
      <c r="E289" t="inlineStr">
        <is>
          <t>1000x600</t>
        </is>
      </c>
      <c r="F289" t="inlineStr">
        <is>
          <t>Cái</t>
        </is>
      </c>
      <c r="G289" s="2" t="n">
        <v>3</v>
      </c>
      <c r="H289" s="2">
        <f>SUMIF('01_BOC_TACH_ONG'!B:B, B289, '01_BOC_TACH_ONG'!K:K)</f>
        <v/>
      </c>
      <c r="I289" s="2">
        <f>SUMIF('02_BOC_TACH_CUA'!B:B, B289, '02_BOC_TACH_CUA'!K:K)</f>
        <v/>
      </c>
      <c r="J289" s="2">
        <f>SUMIF('03_BOC_TACH_VAN'!B:B, B289, '03_BOC_TACH_VAN'!K:K)</f>
        <v/>
      </c>
      <c r="K289" s="2">
        <f>SUM(H289:J289)</f>
        <v/>
      </c>
      <c r="L289" s="2">
        <f>K289*0.25</f>
        <v/>
      </c>
      <c r="M289" s="2">
        <f>K289*0.10</f>
        <v/>
      </c>
      <c r="N289" s="2">
        <f>K289+L289+M289</f>
        <v/>
      </c>
      <c r="O289" s="2">
        <f>IF(G289&gt;0, N289/G289, 0)</f>
        <v/>
      </c>
      <c r="P289" s="3" t="n">
        <v>0.18</v>
      </c>
      <c r="Q289" s="2">
        <f>O289*(1+P289)</f>
        <v/>
      </c>
      <c r="R289" s="2">
        <f>G289*Q289</f>
        <v/>
      </c>
    </row>
    <row r="290">
      <c r="A290" t="n">
        <v>289</v>
      </c>
      <c r="B290" t="inlineStr">
        <is>
          <t>SW-DAMPER-289</t>
        </is>
      </c>
      <c r="C290" t="inlineStr">
        <is>
          <t>VAN GIÓ</t>
        </is>
      </c>
      <c r="D290" t="inlineStr">
        <is>
          <t>Van chặn lửa MFD EI45 - Kích thước 1200x900</t>
        </is>
      </c>
      <c r="E290" t="inlineStr">
        <is>
          <t>1200x900</t>
        </is>
      </c>
      <c r="F290" t="inlineStr">
        <is>
          <t>Cái</t>
        </is>
      </c>
      <c r="G290" s="2" t="n">
        <v>1</v>
      </c>
      <c r="H290" s="2">
        <f>SUMIF('01_BOC_TACH_ONG'!B:B, B290, '01_BOC_TACH_ONG'!K:K)</f>
        <v/>
      </c>
      <c r="I290" s="2">
        <f>SUMIF('02_BOC_TACH_CUA'!B:B, B290, '02_BOC_TACH_CUA'!K:K)</f>
        <v/>
      </c>
      <c r="J290" s="2">
        <f>SUMIF('03_BOC_TACH_VAN'!B:B, B290, '03_BOC_TACH_VAN'!K:K)</f>
        <v/>
      </c>
      <c r="K290" s="2">
        <f>SUM(H290:J290)</f>
        <v/>
      </c>
      <c r="L290" s="2">
        <f>K290*0.25</f>
        <v/>
      </c>
      <c r="M290" s="2">
        <f>K290*0.10</f>
        <v/>
      </c>
      <c r="N290" s="2">
        <f>K290+L290+M290</f>
        <v/>
      </c>
      <c r="O290" s="2">
        <f>IF(G290&gt;0, N290/G290, 0)</f>
        <v/>
      </c>
      <c r="P290" s="3" t="n">
        <v>0.18</v>
      </c>
      <c r="Q290" s="2">
        <f>O290*(1+P290)</f>
        <v/>
      </c>
      <c r="R290" s="2">
        <f>G290*Q290</f>
        <v/>
      </c>
    </row>
    <row r="291">
      <c r="A291" t="n">
        <v>290</v>
      </c>
      <c r="B291" t="inlineStr">
        <is>
          <t>SW-DIFF-290</t>
        </is>
      </c>
      <c r="C291" t="inlineStr">
        <is>
          <t>CỬA GIÓ</t>
        </is>
      </c>
      <c r="D291" t="inlineStr">
        <is>
          <t>KTM 200x300 + OBD</t>
        </is>
      </c>
      <c r="E291" t="inlineStr">
        <is>
          <t>200x300</t>
        </is>
      </c>
      <c r="F291" t="inlineStr">
        <is>
          <t>Cái</t>
        </is>
      </c>
      <c r="G291" s="2" t="n">
        <v>11</v>
      </c>
      <c r="H291" s="2">
        <f>SUMIF('01_BOC_TACH_ONG'!B:B, B291, '01_BOC_TACH_ONG'!K:K)</f>
        <v/>
      </c>
      <c r="I291" s="2">
        <f>SUMIF('02_BOC_TACH_CUA'!B:B, B291, '02_BOC_TACH_CUA'!K:K)</f>
        <v/>
      </c>
      <c r="J291" s="2">
        <f>SUMIF('03_BOC_TACH_VAN'!B:B, B291, '03_BOC_TACH_VAN'!K:K)</f>
        <v/>
      </c>
      <c r="K291" s="2">
        <f>SUM(H291:J291)</f>
        <v/>
      </c>
      <c r="L291" s="2">
        <f>K291*0.25</f>
        <v/>
      </c>
      <c r="M291" s="2">
        <f>K291*0.10</f>
        <v/>
      </c>
      <c r="N291" s="2">
        <f>K291+L291+M291</f>
        <v/>
      </c>
      <c r="O291" s="2">
        <f>IF(G291&gt;0, N291/G291, 0)</f>
        <v/>
      </c>
      <c r="P291" s="3" t="n">
        <v>0.18</v>
      </c>
      <c r="Q291" s="2">
        <f>O291*(1+P291)</f>
        <v/>
      </c>
      <c r="R291" s="2">
        <f>G291*Q291</f>
        <v/>
      </c>
    </row>
    <row r="292">
      <c r="A292" t="n">
        <v>291</v>
      </c>
      <c r="B292" t="inlineStr">
        <is>
          <t>SW-DIFF-291</t>
        </is>
      </c>
      <c r="C292" t="inlineStr">
        <is>
          <t>CỬA GIÓ</t>
        </is>
      </c>
      <c r="D292" t="inlineStr">
        <is>
          <t>KTM 200x200 + OBD</t>
        </is>
      </c>
      <c r="E292" t="inlineStr">
        <is>
          <t>200x200</t>
        </is>
      </c>
      <c r="F292" t="inlineStr">
        <is>
          <t>Cái</t>
        </is>
      </c>
      <c r="G292" s="2" t="n">
        <v>51</v>
      </c>
      <c r="H292" s="2">
        <f>SUMIF('01_BOC_TACH_ONG'!B:B, B292, '01_BOC_TACH_ONG'!K:K)</f>
        <v/>
      </c>
      <c r="I292" s="2">
        <f>SUMIF('02_BOC_TACH_CUA'!B:B, B292, '02_BOC_TACH_CUA'!K:K)</f>
        <v/>
      </c>
      <c r="J292" s="2">
        <f>SUMIF('03_BOC_TACH_VAN'!B:B, B292, '03_BOC_TACH_VAN'!K:K)</f>
        <v/>
      </c>
      <c r="K292" s="2">
        <f>SUM(H292:J292)</f>
        <v/>
      </c>
      <c r="L292" s="2">
        <f>K292*0.25</f>
        <v/>
      </c>
      <c r="M292" s="2">
        <f>K292*0.10</f>
        <v/>
      </c>
      <c r="N292" s="2">
        <f>K292+L292+M292</f>
        <v/>
      </c>
      <c r="O292" s="2">
        <f>IF(G292&gt;0, N292/G292, 0)</f>
        <v/>
      </c>
      <c r="P292" s="3" t="n">
        <v>0.18</v>
      </c>
      <c r="Q292" s="2">
        <f>O292*(1+P292)</f>
        <v/>
      </c>
      <c r="R292" s="2">
        <f>G292*Q292</f>
        <v/>
      </c>
    </row>
    <row r="293">
      <c r="A293" t="n">
        <v>292</v>
      </c>
      <c r="B293" t="inlineStr">
        <is>
          <t>SW-DIFF-292</t>
        </is>
      </c>
      <c r="C293" t="inlineStr">
        <is>
          <t>CỬA GIÓ</t>
        </is>
      </c>
      <c r="D293" t="inlineStr">
        <is>
          <t>KTM 300x300 + OBD</t>
        </is>
      </c>
      <c r="E293" t="inlineStr">
        <is>
          <t>300x300</t>
        </is>
      </c>
      <c r="F293" t="inlineStr">
        <is>
          <t>Cái</t>
        </is>
      </c>
      <c r="G293" s="2" t="n">
        <v>32</v>
      </c>
      <c r="H293" s="2">
        <f>SUMIF('01_BOC_TACH_ONG'!B:B, B293, '01_BOC_TACH_ONG'!K:K)</f>
        <v/>
      </c>
      <c r="I293" s="2">
        <f>SUMIF('02_BOC_TACH_CUA'!B:B, B293, '02_BOC_TACH_CUA'!K:K)</f>
        <v/>
      </c>
      <c r="J293" s="2">
        <f>SUMIF('03_BOC_TACH_VAN'!B:B, B293, '03_BOC_TACH_VAN'!K:K)</f>
        <v/>
      </c>
      <c r="K293" s="2">
        <f>SUM(H293:J293)</f>
        <v/>
      </c>
      <c r="L293" s="2">
        <f>K293*0.25</f>
        <v/>
      </c>
      <c r="M293" s="2">
        <f>K293*0.10</f>
        <v/>
      </c>
      <c r="N293" s="2">
        <f>K293+L293+M293</f>
        <v/>
      </c>
      <c r="O293" s="2">
        <f>IF(G293&gt;0, N293/G293, 0)</f>
        <v/>
      </c>
      <c r="P293" s="3" t="n">
        <v>0.18</v>
      </c>
      <c r="Q293" s="2">
        <f>O293*(1+P293)</f>
        <v/>
      </c>
      <c r="R293" s="2">
        <f>G293*Q293</f>
        <v/>
      </c>
    </row>
    <row r="294">
      <c r="A294" t="n">
        <v>293</v>
      </c>
      <c r="B294" t="inlineStr">
        <is>
          <t>SW-DAMPER-293</t>
        </is>
      </c>
      <c r="C294" t="inlineStr">
        <is>
          <t>VAN GIÓ</t>
        </is>
      </c>
      <c r="D294" t="inlineStr">
        <is>
          <t>Van gió MD - Kích thước 600x450</t>
        </is>
      </c>
      <c r="E294" t="inlineStr">
        <is>
          <t>800x450</t>
        </is>
      </c>
      <c r="F294" t="inlineStr">
        <is>
          <t>Cái</t>
        </is>
      </c>
      <c r="G294" s="2" t="n">
        <v>1</v>
      </c>
      <c r="H294" s="2">
        <f>SUMIF('01_BOC_TACH_ONG'!B:B, B294, '01_BOC_TACH_ONG'!K:K)</f>
        <v/>
      </c>
      <c r="I294" s="2">
        <f>SUMIF('02_BOC_TACH_CUA'!B:B, B294, '02_BOC_TACH_CUA'!K:K)</f>
        <v/>
      </c>
      <c r="J294" s="2">
        <f>SUMIF('03_BOC_TACH_VAN'!B:B, B294, '03_BOC_TACH_VAN'!K:K)</f>
        <v/>
      </c>
      <c r="K294" s="2">
        <f>SUM(H294:J294)</f>
        <v/>
      </c>
      <c r="L294" s="2">
        <f>K294*0.25</f>
        <v/>
      </c>
      <c r="M294" s="2">
        <f>K294*0.10</f>
        <v/>
      </c>
      <c r="N294" s="2">
        <f>K294+L294+M294</f>
        <v/>
      </c>
      <c r="O294" s="2">
        <f>IF(G294&gt;0, N294/G294, 0)</f>
        <v/>
      </c>
      <c r="P294" s="3" t="n">
        <v>0.18</v>
      </c>
      <c r="Q294" s="2">
        <f>O294*(1+P294)</f>
        <v/>
      </c>
      <c r="R294" s="2">
        <f>G294*Q294</f>
        <v/>
      </c>
    </row>
    <row r="295">
      <c r="A295" t="n">
        <v>294</v>
      </c>
      <c r="B295" t="inlineStr">
        <is>
          <t>SW-DAMPER-294</t>
        </is>
      </c>
      <c r="C295" t="inlineStr">
        <is>
          <t>VAN GIÓ</t>
        </is>
      </c>
      <c r="D295" t="inlineStr">
        <is>
          <t>Van gió MD - Kích thước 800x350</t>
        </is>
      </c>
      <c r="E295" t="inlineStr">
        <is>
          <t>800x350</t>
        </is>
      </c>
      <c r="F295" t="inlineStr">
        <is>
          <t>Cái</t>
        </is>
      </c>
      <c r="G295" s="2" t="n">
        <v>2</v>
      </c>
      <c r="H295" s="2">
        <f>SUMIF('01_BOC_TACH_ONG'!B:B, B295, '01_BOC_TACH_ONG'!K:K)</f>
        <v/>
      </c>
      <c r="I295" s="2">
        <f>SUMIF('02_BOC_TACH_CUA'!B:B, B295, '02_BOC_TACH_CUA'!K:K)</f>
        <v/>
      </c>
      <c r="J295" s="2">
        <f>SUMIF('03_BOC_TACH_VAN'!B:B, B295, '03_BOC_TACH_VAN'!K:K)</f>
        <v/>
      </c>
      <c r="K295" s="2">
        <f>SUM(H295:J295)</f>
        <v/>
      </c>
      <c r="L295" s="2">
        <f>K295*0.25</f>
        <v/>
      </c>
      <c r="M295" s="2">
        <f>K295*0.10</f>
        <v/>
      </c>
      <c r="N295" s="2">
        <f>K295+L295+M295</f>
        <v/>
      </c>
      <c r="O295" s="2">
        <f>IF(G295&gt;0, N295/G295, 0)</f>
        <v/>
      </c>
      <c r="P295" s="3" t="n">
        <v>0.18</v>
      </c>
      <c r="Q295" s="2">
        <f>O295*(1+P295)</f>
        <v/>
      </c>
      <c r="R295" s="2">
        <f>G295*Q295</f>
        <v/>
      </c>
    </row>
    <row r="296">
      <c r="A296" t="n">
        <v>295</v>
      </c>
      <c r="B296" t="inlineStr">
        <is>
          <t>SW-DAMPER-295</t>
        </is>
      </c>
      <c r="C296" t="inlineStr">
        <is>
          <t>VAN GIÓ</t>
        </is>
      </c>
      <c r="D296" t="inlineStr">
        <is>
          <t>Van chặn lửa MFD EI90 - Kích thước 600x450</t>
        </is>
      </c>
      <c r="E296" t="inlineStr">
        <is>
          <t>600x450</t>
        </is>
      </c>
      <c r="F296" t="inlineStr">
        <is>
          <t>Cái</t>
        </is>
      </c>
      <c r="G296" s="2" t="n">
        <v>14</v>
      </c>
      <c r="H296" s="2">
        <f>SUMIF('01_BOC_TACH_ONG'!B:B, B296, '01_BOC_TACH_ONG'!K:K)</f>
        <v/>
      </c>
      <c r="I296" s="2">
        <f>SUMIF('02_BOC_TACH_CUA'!B:B, B296, '02_BOC_TACH_CUA'!K:K)</f>
        <v/>
      </c>
      <c r="J296" s="2">
        <f>SUMIF('03_BOC_TACH_VAN'!B:B, B296, '03_BOC_TACH_VAN'!K:K)</f>
        <v/>
      </c>
      <c r="K296" s="2">
        <f>SUM(H296:J296)</f>
        <v/>
      </c>
      <c r="L296" s="2">
        <f>K296*0.25</f>
        <v/>
      </c>
      <c r="M296" s="2">
        <f>K296*0.10</f>
        <v/>
      </c>
      <c r="N296" s="2">
        <f>K296+L296+M296</f>
        <v/>
      </c>
      <c r="O296" s="2">
        <f>IF(G296&gt;0, N296/G296, 0)</f>
        <v/>
      </c>
      <c r="P296" s="3" t="n">
        <v>0.18</v>
      </c>
      <c r="Q296" s="2">
        <f>O296*(1+P296)</f>
        <v/>
      </c>
      <c r="R296" s="2">
        <f>G296*Q296</f>
        <v/>
      </c>
    </row>
    <row r="297">
      <c r="A297" t="n">
        <v>296</v>
      </c>
      <c r="B297" t="inlineStr">
        <is>
          <t>SW-DIFF-296</t>
        </is>
      </c>
      <c r="C297" t="inlineStr">
        <is>
          <t>CỬA GIÓ</t>
        </is>
      </c>
      <c r="D297" t="inlineStr">
        <is>
          <t>Louver gió tươi - Kích thước: 1500x100</t>
        </is>
      </c>
      <c r="E297" t="inlineStr">
        <is>
          <t>1500x100</t>
        </is>
      </c>
      <c r="F297" t="inlineStr">
        <is>
          <t>Cái</t>
        </is>
      </c>
      <c r="G297" s="2" t="n">
        <v>1</v>
      </c>
      <c r="H297" s="2">
        <f>SUMIF('01_BOC_TACH_ONG'!B:B, B297, '01_BOC_TACH_ONG'!K:K)</f>
        <v/>
      </c>
      <c r="I297" s="2">
        <f>SUMIF('02_BOC_TACH_CUA'!B:B, B297, '02_BOC_TACH_CUA'!K:K)</f>
        <v/>
      </c>
      <c r="J297" s="2">
        <f>SUMIF('03_BOC_TACH_VAN'!B:B, B297, '03_BOC_TACH_VAN'!K:K)</f>
        <v/>
      </c>
      <c r="K297" s="2">
        <f>SUM(H297:J297)</f>
        <v/>
      </c>
      <c r="L297" s="2">
        <f>K297*0.25</f>
        <v/>
      </c>
      <c r="M297" s="2">
        <f>K297*0.10</f>
        <v/>
      </c>
      <c r="N297" s="2">
        <f>K297+L297+M297</f>
        <v/>
      </c>
      <c r="O297" s="2">
        <f>IF(G297&gt;0, N297/G297, 0)</f>
        <v/>
      </c>
      <c r="P297" s="3" t="n">
        <v>0.18</v>
      </c>
      <c r="Q297" s="2">
        <f>O297*(1+P297)</f>
        <v/>
      </c>
      <c r="R297" s="2">
        <f>G297*Q297</f>
        <v/>
      </c>
    </row>
    <row r="298">
      <c r="A298" t="n">
        <v>297</v>
      </c>
      <c r="B298" t="inlineStr">
        <is>
          <t>SW-DIFF-297</t>
        </is>
      </c>
      <c r="C298" t="inlineStr">
        <is>
          <t>CỬA GIÓ</t>
        </is>
      </c>
      <c r="D298" t="inlineStr">
        <is>
          <t>Louver gió tươi - Kích thước: 2050x750</t>
        </is>
      </c>
      <c r="E298" t="inlineStr">
        <is>
          <t>2050x750</t>
        </is>
      </c>
      <c r="F298" t="inlineStr">
        <is>
          <t>Cái</t>
        </is>
      </c>
      <c r="G298" s="2" t="n">
        <v>1</v>
      </c>
      <c r="H298" s="2">
        <f>SUMIF('01_BOC_TACH_ONG'!B:B, B298, '01_BOC_TACH_ONG'!K:K)</f>
        <v/>
      </c>
      <c r="I298" s="2">
        <f>SUMIF('02_BOC_TACH_CUA'!B:B, B298, '02_BOC_TACH_CUA'!K:K)</f>
        <v/>
      </c>
      <c r="J298" s="2">
        <f>SUMIF('03_BOC_TACH_VAN'!B:B, B298, '03_BOC_TACH_VAN'!K:K)</f>
        <v/>
      </c>
      <c r="K298" s="2">
        <f>SUM(H298:J298)</f>
        <v/>
      </c>
      <c r="L298" s="2">
        <f>K298*0.25</f>
        <v/>
      </c>
      <c r="M298" s="2">
        <f>K298*0.10</f>
        <v/>
      </c>
      <c r="N298" s="2">
        <f>K298+L298+M298</f>
        <v/>
      </c>
      <c r="O298" s="2">
        <f>IF(G298&gt;0, N298/G298, 0)</f>
        <v/>
      </c>
      <c r="P298" s="3" t="n">
        <v>0.18</v>
      </c>
      <c r="Q298" s="2">
        <f>O298*(1+P298)</f>
        <v/>
      </c>
      <c r="R298" s="2">
        <f>G298*Q298</f>
        <v/>
      </c>
    </row>
    <row r="299">
      <c r="A299" t="n">
        <v>298</v>
      </c>
      <c r="B299" t="inlineStr">
        <is>
          <t>SW-DAMPER-298</t>
        </is>
      </c>
      <c r="C299" t="inlineStr">
        <is>
          <t>VAN GIÓ</t>
        </is>
      </c>
      <c r="D299" t="inlineStr">
        <is>
          <t>Van chặn lửa MFD - EI45 - Kích thước: 150x100</t>
        </is>
      </c>
      <c r="E299" t="inlineStr">
        <is>
          <t>150x150</t>
        </is>
      </c>
      <c r="F299" t="inlineStr">
        <is>
          <t>Cái</t>
        </is>
      </c>
      <c r="G299" s="2" t="n">
        <v>550</v>
      </c>
      <c r="H299" s="2">
        <f>SUMIF('01_BOC_TACH_ONG'!B:B, B299, '01_BOC_TACH_ONG'!K:K)</f>
        <v/>
      </c>
      <c r="I299" s="2">
        <f>SUMIF('02_BOC_TACH_CUA'!B:B, B299, '02_BOC_TACH_CUA'!K:K)</f>
        <v/>
      </c>
      <c r="J299" s="2">
        <f>SUMIF('03_BOC_TACH_VAN'!B:B, B299, '03_BOC_TACH_VAN'!K:K)</f>
        <v/>
      </c>
      <c r="K299" s="2">
        <f>SUM(H299:J299)</f>
        <v/>
      </c>
      <c r="L299" s="2">
        <f>K299*0.25</f>
        <v/>
      </c>
      <c r="M299" s="2">
        <f>K299*0.10</f>
        <v/>
      </c>
      <c r="N299" s="2">
        <f>K299+L299+M299</f>
        <v/>
      </c>
      <c r="O299" s="2">
        <f>IF(G299&gt;0, N299/G299, 0)</f>
        <v/>
      </c>
      <c r="P299" s="3" t="n">
        <v>0.18</v>
      </c>
      <c r="Q299" s="2">
        <f>O299*(1+P299)</f>
        <v/>
      </c>
      <c r="R299" s="2">
        <f>G299*Q299</f>
        <v/>
      </c>
    </row>
    <row r="300">
      <c r="A300" t="n">
        <v>299</v>
      </c>
      <c r="B300" t="inlineStr">
        <is>
          <t>SW-DAMPER-299</t>
        </is>
      </c>
      <c r="C300" t="inlineStr">
        <is>
          <t>VAN GIÓ</t>
        </is>
      </c>
      <c r="D300" t="inlineStr">
        <is>
          <t>Van chặn lửa MFD - EI45 - Kích thước: 150x150</t>
        </is>
      </c>
      <c r="E300" t="inlineStr">
        <is>
          <t>150x150</t>
        </is>
      </c>
      <c r="F300" t="inlineStr">
        <is>
          <t>Cái</t>
        </is>
      </c>
      <c r="G300" s="2" t="n">
        <v>593</v>
      </c>
      <c r="H300" s="2">
        <f>SUMIF('01_BOC_TACH_ONG'!B:B, B300, '01_BOC_TACH_ONG'!K:K)</f>
        <v/>
      </c>
      <c r="I300" s="2">
        <f>SUMIF('02_BOC_TACH_CUA'!B:B, B300, '02_BOC_TACH_CUA'!K:K)</f>
        <v/>
      </c>
      <c r="J300" s="2">
        <f>SUMIF('03_BOC_TACH_VAN'!B:B, B300, '03_BOC_TACH_VAN'!K:K)</f>
        <v/>
      </c>
      <c r="K300" s="2">
        <f>SUM(H300:J300)</f>
        <v/>
      </c>
      <c r="L300" s="2">
        <f>K300*0.25</f>
        <v/>
      </c>
      <c r="M300" s="2">
        <f>K300*0.10</f>
        <v/>
      </c>
      <c r="N300" s="2">
        <f>K300+L300+M300</f>
        <v/>
      </c>
      <c r="O300" s="2">
        <f>IF(G300&gt;0, N300/G300, 0)</f>
        <v/>
      </c>
      <c r="P300" s="3" t="n">
        <v>0.18</v>
      </c>
      <c r="Q300" s="2">
        <f>O300*(1+P300)</f>
        <v/>
      </c>
      <c r="R300" s="2">
        <f>G300*Q300</f>
        <v/>
      </c>
    </row>
    <row r="301">
      <c r="A301" t="n">
        <v>300</v>
      </c>
      <c r="B301" t="inlineStr">
        <is>
          <t>SW-DAMPER-300</t>
        </is>
      </c>
      <c r="C301" t="inlineStr">
        <is>
          <t>VAN GIÓ</t>
        </is>
      </c>
      <c r="D301" t="inlineStr">
        <is>
          <t>Van điều chỉnh lưu lượng VCD - Kích thước: 150x100</t>
        </is>
      </c>
      <c r="E301" t="inlineStr">
        <is>
          <t>150x100</t>
        </is>
      </c>
      <c r="F301" t="inlineStr">
        <is>
          <t>Cái</t>
        </is>
      </c>
      <c r="G301" s="2" t="n">
        <v>636</v>
      </c>
      <c r="H301" s="2">
        <f>SUMIF('01_BOC_TACH_ONG'!B:B, B301, '01_BOC_TACH_ONG'!K:K)</f>
        <v/>
      </c>
      <c r="I301" s="2">
        <f>SUMIF('02_BOC_TACH_CUA'!B:B, B301, '02_BOC_TACH_CUA'!K:K)</f>
        <v/>
      </c>
      <c r="J301" s="2">
        <f>SUMIF('03_BOC_TACH_VAN'!B:B, B301, '03_BOC_TACH_VAN'!K:K)</f>
        <v/>
      </c>
      <c r="K301" s="2">
        <f>SUM(H301:J301)</f>
        <v/>
      </c>
      <c r="L301" s="2">
        <f>K301*0.25</f>
        <v/>
      </c>
      <c r="M301" s="2">
        <f>K301*0.10</f>
        <v/>
      </c>
      <c r="N301" s="2">
        <f>K301+L301+M301</f>
        <v/>
      </c>
      <c r="O301" s="2">
        <f>IF(G301&gt;0, N301/G301, 0)</f>
        <v/>
      </c>
      <c r="P301" s="3" t="n">
        <v>0.18</v>
      </c>
      <c r="Q301" s="2">
        <f>O301*(1+P301)</f>
        <v/>
      </c>
      <c r="R301" s="2">
        <f>G301*Q301</f>
        <v/>
      </c>
    </row>
    <row r="302">
      <c r="A302" t="n">
        <v>301</v>
      </c>
      <c r="B302" t="inlineStr">
        <is>
          <t>SW-DAMPER-301</t>
        </is>
      </c>
      <c r="C302" t="inlineStr">
        <is>
          <t>VAN GIÓ</t>
        </is>
      </c>
      <c r="D302" t="inlineStr">
        <is>
          <t>Van điều chỉnh lưu lượng VCD - Kích thước: 150x150</t>
        </is>
      </c>
      <c r="E302" t="inlineStr">
        <is>
          <t>150x150</t>
        </is>
      </c>
      <c r="F302" t="inlineStr">
        <is>
          <t>Cái</t>
        </is>
      </c>
      <c r="G302" s="2" t="n">
        <v>39</v>
      </c>
      <c r="H302" s="2">
        <f>SUMIF('01_BOC_TACH_ONG'!B:B, B302, '01_BOC_TACH_ONG'!K:K)</f>
        <v/>
      </c>
      <c r="I302" s="2">
        <f>SUMIF('02_BOC_TACH_CUA'!B:B, B302, '02_BOC_TACH_CUA'!K:K)</f>
        <v/>
      </c>
      <c r="J302" s="2">
        <f>SUMIF('03_BOC_TACH_VAN'!B:B, B302, '03_BOC_TACH_VAN'!K:K)</f>
        <v/>
      </c>
      <c r="K302" s="2">
        <f>SUM(H302:J302)</f>
        <v/>
      </c>
      <c r="L302" s="2">
        <f>K302*0.25</f>
        <v/>
      </c>
      <c r="M302" s="2">
        <f>K302*0.10</f>
        <v/>
      </c>
      <c r="N302" s="2">
        <f>K302+L302+M302</f>
        <v/>
      </c>
      <c r="O302" s="2">
        <f>IF(G302&gt;0, N302/G302, 0)</f>
        <v/>
      </c>
      <c r="P302" s="3" t="n">
        <v>0.18</v>
      </c>
      <c r="Q302" s="2">
        <f>O302*(1+P302)</f>
        <v/>
      </c>
      <c r="R302" s="2">
        <f>G302*Q302</f>
        <v/>
      </c>
    </row>
    <row r="303">
      <c r="A303" t="n">
        <v>302</v>
      </c>
      <c r="B303" t="inlineStr">
        <is>
          <t>SW-DAMPER-302</t>
        </is>
      </c>
      <c r="C303" t="inlineStr">
        <is>
          <t>VAN GIÓ</t>
        </is>
      </c>
      <c r="D303" t="inlineStr">
        <is>
          <t>Van điều gió MD - Kích thước: 150x100</t>
        </is>
      </c>
      <c r="E303" t="inlineStr">
        <is>
          <t>150x100</t>
        </is>
      </c>
      <c r="F303" t="inlineStr">
        <is>
          <t>Cái</t>
        </is>
      </c>
      <c r="G303" s="2" t="n">
        <v>558</v>
      </c>
      <c r="H303" s="2">
        <f>SUMIF('01_BOC_TACH_ONG'!B:B, B303, '01_BOC_TACH_ONG'!K:K)</f>
        <v/>
      </c>
      <c r="I303" s="2">
        <f>SUMIF('02_BOC_TACH_CUA'!B:B, B303, '02_BOC_TACH_CUA'!K:K)</f>
        <v/>
      </c>
      <c r="J303" s="2">
        <f>SUMIF('03_BOC_TACH_VAN'!B:B, B303, '03_BOC_TACH_VAN'!K:K)</f>
        <v/>
      </c>
      <c r="K303" s="2">
        <f>SUM(H303:J303)</f>
        <v/>
      </c>
      <c r="L303" s="2">
        <f>K303*0.25</f>
        <v/>
      </c>
      <c r="M303" s="2">
        <f>K303*0.10</f>
        <v/>
      </c>
      <c r="N303" s="2">
        <f>K303+L303+M303</f>
        <v/>
      </c>
      <c r="O303" s="2">
        <f>IF(G303&gt;0, N303/G303, 0)</f>
        <v/>
      </c>
      <c r="P303" s="3" t="n">
        <v>0.18</v>
      </c>
      <c r="Q303" s="2">
        <f>O303*(1+P303)</f>
        <v/>
      </c>
      <c r="R303" s="2">
        <f>G303*Q303</f>
        <v/>
      </c>
    </row>
    <row r="304">
      <c r="A304" t="n">
        <v>303</v>
      </c>
      <c r="B304" t="inlineStr">
        <is>
          <t>SW-DAMPER-303</t>
        </is>
      </c>
      <c r="C304" t="inlineStr">
        <is>
          <t>VAN GIÓ</t>
        </is>
      </c>
      <c r="D304" t="inlineStr">
        <is>
          <t>Van điều gió MD - Kích thước: 150x150</t>
        </is>
      </c>
      <c r="E304" t="inlineStr">
        <is>
          <t>150x150</t>
        </is>
      </c>
      <c r="F304" t="inlineStr">
        <is>
          <t>Cái</t>
        </is>
      </c>
      <c r="G304" s="2" t="n">
        <v>593</v>
      </c>
      <c r="H304" s="2">
        <f>SUMIF('01_BOC_TACH_ONG'!B:B, B304, '01_BOC_TACH_ONG'!K:K)</f>
        <v/>
      </c>
      <c r="I304" s="2">
        <f>SUMIF('02_BOC_TACH_CUA'!B:B, B304, '02_BOC_TACH_CUA'!K:K)</f>
        <v/>
      </c>
      <c r="J304" s="2">
        <f>SUMIF('03_BOC_TACH_VAN'!B:B, B304, '03_BOC_TACH_VAN'!K:K)</f>
        <v/>
      </c>
      <c r="K304" s="2">
        <f>SUM(H304:J304)</f>
        <v/>
      </c>
      <c r="L304" s="2">
        <f>K304*0.25</f>
        <v/>
      </c>
      <c r="M304" s="2">
        <f>K304*0.10</f>
        <v/>
      </c>
      <c r="N304" s="2">
        <f>K304+L304+M304</f>
        <v/>
      </c>
      <c r="O304" s="2">
        <f>IF(G304&gt;0, N304/G304, 0)</f>
        <v/>
      </c>
      <c r="P304" s="3" t="n">
        <v>0.18</v>
      </c>
      <c r="Q304" s="2">
        <f>O304*(1+P304)</f>
        <v/>
      </c>
      <c r="R304" s="2">
        <f>G304*Q304</f>
        <v/>
      </c>
    </row>
    <row r="305">
      <c r="A305" t="n">
        <v>304</v>
      </c>
      <c r="B305" t="inlineStr">
        <is>
          <t>SW-DIFF-304</t>
        </is>
      </c>
      <c r="C305" t="inlineStr">
        <is>
          <t>CỬA GIÓ</t>
        </is>
      </c>
      <c r="D305" t="inlineStr">
        <is>
          <t>KTM 600x600 + OBD</t>
        </is>
      </c>
      <c r="E305" t="inlineStr">
        <is>
          <t>600x600</t>
        </is>
      </c>
      <c r="F305" t="inlineStr">
        <is>
          <t>Cái</t>
        </is>
      </c>
      <c r="G305" s="2" t="n">
        <v>1302</v>
      </c>
      <c r="H305" s="2">
        <f>SUMIF('01_BOC_TACH_ONG'!B:B, B305, '01_BOC_TACH_ONG'!K:K)</f>
        <v/>
      </c>
      <c r="I305" s="2">
        <f>SUMIF('02_BOC_TACH_CUA'!B:B, B305, '02_BOC_TACH_CUA'!K:K)</f>
        <v/>
      </c>
      <c r="J305" s="2">
        <f>SUMIF('03_BOC_TACH_VAN'!B:B, B305, '03_BOC_TACH_VAN'!K:K)</f>
        <v/>
      </c>
      <c r="K305" s="2">
        <f>SUM(H305:J305)</f>
        <v/>
      </c>
      <c r="L305" s="2">
        <f>K305*0.25</f>
        <v/>
      </c>
      <c r="M305" s="2">
        <f>K305*0.10</f>
        <v/>
      </c>
      <c r="N305" s="2">
        <f>K305+L305+M305</f>
        <v/>
      </c>
      <c r="O305" s="2">
        <f>IF(G305&gt;0, N305/G305, 0)</f>
        <v/>
      </c>
      <c r="P305" s="3" t="n">
        <v>0.18</v>
      </c>
      <c r="Q305" s="2">
        <f>O305*(1+P305)</f>
        <v/>
      </c>
      <c r="R305" s="2">
        <f>G305*Q305</f>
        <v/>
      </c>
    </row>
    <row r="306">
      <c r="A306" t="n">
        <v>305</v>
      </c>
      <c r="B306" t="inlineStr">
        <is>
          <t>SW-DAMPER-305</t>
        </is>
      </c>
      <c r="C306" t="inlineStr">
        <is>
          <t>VAN GIÓ</t>
        </is>
      </c>
      <c r="D306" t="inlineStr">
        <is>
          <t>Van chặn lửa MFD - EI45 - Kích thước: 150x100</t>
        </is>
      </c>
      <c r="E306" t="inlineStr">
        <is>
          <t>150x150</t>
        </is>
      </c>
      <c r="F306" t="inlineStr">
        <is>
          <t>Cái</t>
        </is>
      </c>
      <c r="G306" s="2" t="n">
        <v>550</v>
      </c>
      <c r="H306" s="2">
        <f>SUMIF('01_BOC_TACH_ONG'!B:B, B306, '01_BOC_TACH_ONG'!K:K)</f>
        <v/>
      </c>
      <c r="I306" s="2">
        <f>SUMIF('02_BOC_TACH_CUA'!B:B, B306, '02_BOC_TACH_CUA'!K:K)</f>
        <v/>
      </c>
      <c r="J306" s="2">
        <f>SUMIF('03_BOC_TACH_VAN'!B:B, B306, '03_BOC_TACH_VAN'!K:K)</f>
        <v/>
      </c>
      <c r="K306" s="2">
        <f>SUM(H306:J306)</f>
        <v/>
      </c>
      <c r="L306" s="2">
        <f>K306*0.25</f>
        <v/>
      </c>
      <c r="M306" s="2">
        <f>K306*0.10</f>
        <v/>
      </c>
      <c r="N306" s="2">
        <f>K306+L306+M306</f>
        <v/>
      </c>
      <c r="O306" s="2">
        <f>IF(G306&gt;0, N306/G306, 0)</f>
        <v/>
      </c>
      <c r="P306" s="3" t="n">
        <v>0.18</v>
      </c>
      <c r="Q306" s="2">
        <f>O306*(1+P306)</f>
        <v/>
      </c>
      <c r="R306" s="2">
        <f>G306*Q306</f>
        <v/>
      </c>
    </row>
    <row r="307">
      <c r="A307" t="n">
        <v>306</v>
      </c>
      <c r="B307" t="inlineStr">
        <is>
          <t>SW-DAMPER-306</t>
        </is>
      </c>
      <c r="C307" t="inlineStr">
        <is>
          <t>VAN GIÓ</t>
        </is>
      </c>
      <c r="D307" t="inlineStr">
        <is>
          <t>Van chặn lửa MFD - EI45 - Kích thước: 150x150</t>
        </is>
      </c>
      <c r="E307" t="inlineStr">
        <is>
          <t>150x150</t>
        </is>
      </c>
      <c r="F307" t="inlineStr">
        <is>
          <t>Cái</t>
        </is>
      </c>
      <c r="G307" s="2" t="n">
        <v>43</v>
      </c>
      <c r="H307" s="2">
        <f>SUMIF('01_BOC_TACH_ONG'!B:B, B307, '01_BOC_TACH_ONG'!K:K)</f>
        <v/>
      </c>
      <c r="I307" s="2">
        <f>SUMIF('02_BOC_TACH_CUA'!B:B, B307, '02_BOC_TACH_CUA'!K:K)</f>
        <v/>
      </c>
      <c r="J307" s="2">
        <f>SUMIF('03_BOC_TACH_VAN'!B:B, B307, '03_BOC_TACH_VAN'!K:K)</f>
        <v/>
      </c>
      <c r="K307" s="2">
        <f>SUM(H307:J307)</f>
        <v/>
      </c>
      <c r="L307" s="2">
        <f>K307*0.25</f>
        <v/>
      </c>
      <c r="M307" s="2">
        <f>K307*0.10</f>
        <v/>
      </c>
      <c r="N307" s="2">
        <f>K307+L307+M307</f>
        <v/>
      </c>
      <c r="O307" s="2">
        <f>IF(G307&gt;0, N307/G307, 0)</f>
        <v/>
      </c>
      <c r="P307" s="3" t="n">
        <v>0.18</v>
      </c>
      <c r="Q307" s="2">
        <f>O307*(1+P307)</f>
        <v/>
      </c>
      <c r="R307" s="2">
        <f>G307*Q307</f>
        <v/>
      </c>
    </row>
    <row r="308">
      <c r="A308" t="n">
        <v>307</v>
      </c>
      <c r="B308" t="inlineStr">
        <is>
          <t>SW-DAMPER-307</t>
        </is>
      </c>
      <c r="C308" t="inlineStr">
        <is>
          <t>VAN GIÓ</t>
        </is>
      </c>
      <c r="D308" t="inlineStr">
        <is>
          <t>Van điều chỉnh lưu lượng VCD - Kích thước: D100</t>
        </is>
      </c>
      <c r="E308" t="inlineStr">
        <is>
          <t>-</t>
        </is>
      </c>
      <c r="F308" t="inlineStr">
        <is>
          <t>Cái</t>
        </is>
      </c>
      <c r="G308" s="2" t="n">
        <v>1229</v>
      </c>
      <c r="H308" s="2">
        <f>SUMIF('01_BOC_TACH_ONG'!B:B, B308, '01_BOC_TACH_ONG'!K:K)</f>
        <v/>
      </c>
      <c r="I308" s="2">
        <f>SUMIF('02_BOC_TACH_CUA'!B:B, B308, '02_BOC_TACH_CUA'!K:K)</f>
        <v/>
      </c>
      <c r="J308" s="2">
        <f>SUMIF('03_BOC_TACH_VAN'!B:B, B308, '03_BOC_TACH_VAN'!K:K)</f>
        <v/>
      </c>
      <c r="K308" s="2">
        <f>SUM(H308:J308)</f>
        <v/>
      </c>
      <c r="L308" s="2">
        <f>K308*0.25</f>
        <v/>
      </c>
      <c r="M308" s="2">
        <f>K308*0.10</f>
        <v/>
      </c>
      <c r="N308" s="2">
        <f>K308+L308+M308</f>
        <v/>
      </c>
      <c r="O308" s="2">
        <f>IF(G308&gt;0, N308/G308, 0)</f>
        <v/>
      </c>
      <c r="P308" s="3" t="n">
        <v>0.18</v>
      </c>
      <c r="Q308" s="2">
        <f>O308*(1+P308)</f>
        <v/>
      </c>
      <c r="R308" s="2">
        <f>G308*Q308</f>
        <v/>
      </c>
    </row>
    <row r="309">
      <c r="A309" t="n">
        <v>308</v>
      </c>
      <c r="B309" t="inlineStr">
        <is>
          <t>SW-DAMPER-308</t>
        </is>
      </c>
      <c r="C309" t="inlineStr">
        <is>
          <t>VAN GIÓ</t>
        </is>
      </c>
      <c r="D309" t="inlineStr">
        <is>
          <t>Van điều chỉnh lưu lượng VCD - Kích thước: 150x100</t>
        </is>
      </c>
      <c r="E309" t="inlineStr">
        <is>
          <t>150x100</t>
        </is>
      </c>
      <c r="F309" t="inlineStr">
        <is>
          <t>Cái</t>
        </is>
      </c>
      <c r="G309" s="2" t="n">
        <v>118</v>
      </c>
      <c r="H309" s="2">
        <f>SUMIF('01_BOC_TACH_ONG'!B:B, B309, '01_BOC_TACH_ONG'!K:K)</f>
        <v/>
      </c>
      <c r="I309" s="2">
        <f>SUMIF('02_BOC_TACH_CUA'!B:B, B309, '02_BOC_TACH_CUA'!K:K)</f>
        <v/>
      </c>
      <c r="J309" s="2">
        <f>SUMIF('03_BOC_TACH_VAN'!B:B, B309, '03_BOC_TACH_VAN'!K:K)</f>
        <v/>
      </c>
      <c r="K309" s="2">
        <f>SUM(H309:J309)</f>
        <v/>
      </c>
      <c r="L309" s="2">
        <f>K309*0.25</f>
        <v/>
      </c>
      <c r="M309" s="2">
        <f>K309*0.10</f>
        <v/>
      </c>
      <c r="N309" s="2">
        <f>K309+L309+M309</f>
        <v/>
      </c>
      <c r="O309" s="2">
        <f>IF(G309&gt;0, N309/G309, 0)</f>
        <v/>
      </c>
      <c r="P309" s="3" t="n">
        <v>0.18</v>
      </c>
      <c r="Q309" s="2">
        <f>O309*(1+P309)</f>
        <v/>
      </c>
      <c r="R309" s="2">
        <f>G309*Q309</f>
        <v/>
      </c>
    </row>
    <row r="310">
      <c r="A310" t="n">
        <v>309</v>
      </c>
      <c r="B310" t="inlineStr">
        <is>
          <t>SW-DAMPER-309</t>
        </is>
      </c>
      <c r="C310" t="inlineStr">
        <is>
          <t>VAN GIÓ</t>
        </is>
      </c>
      <c r="D310" t="inlineStr">
        <is>
          <t>Van điều chỉnh lưu lượng VCD - Kích thước: 150x150</t>
        </is>
      </c>
      <c r="E310" t="inlineStr">
        <is>
          <t>150x150</t>
        </is>
      </c>
      <c r="F310" t="inlineStr">
        <is>
          <t>Cái</t>
        </is>
      </c>
      <c r="G310" s="2" t="n">
        <v>39</v>
      </c>
      <c r="H310" s="2">
        <f>SUMIF('01_BOC_TACH_ONG'!B:B, B310, '01_BOC_TACH_ONG'!K:K)</f>
        <v/>
      </c>
      <c r="I310" s="2">
        <f>SUMIF('02_BOC_TACH_CUA'!B:B, B310, '02_BOC_TACH_CUA'!K:K)</f>
        <v/>
      </c>
      <c r="J310" s="2">
        <f>SUMIF('03_BOC_TACH_VAN'!B:B, B310, '03_BOC_TACH_VAN'!K:K)</f>
        <v/>
      </c>
      <c r="K310" s="2">
        <f>SUM(H310:J310)</f>
        <v/>
      </c>
      <c r="L310" s="2">
        <f>K310*0.25</f>
        <v/>
      </c>
      <c r="M310" s="2">
        <f>K310*0.10</f>
        <v/>
      </c>
      <c r="N310" s="2">
        <f>K310+L310+M310</f>
        <v/>
      </c>
      <c r="O310" s="2">
        <f>IF(G310&gt;0, N310/G310, 0)</f>
        <v/>
      </c>
      <c r="P310" s="3" t="n">
        <v>0.18</v>
      </c>
      <c r="Q310" s="2">
        <f>O310*(1+P310)</f>
        <v/>
      </c>
      <c r="R310" s="2">
        <f>G310*Q310</f>
        <v/>
      </c>
    </row>
    <row r="311">
      <c r="A311" t="n">
        <v>310</v>
      </c>
      <c r="B311" t="inlineStr">
        <is>
          <t>SW-DAMPER-310</t>
        </is>
      </c>
      <c r="C311" t="inlineStr">
        <is>
          <t>VAN GIÓ</t>
        </is>
      </c>
      <c r="D311" t="inlineStr">
        <is>
          <t>Van điều gió MD - Kích thước: 150x100</t>
        </is>
      </c>
      <c r="E311" t="inlineStr">
        <is>
          <t>150x100</t>
        </is>
      </c>
      <c r="F311" t="inlineStr">
        <is>
          <t>Cái</t>
        </is>
      </c>
      <c r="G311" s="2" t="n">
        <v>63</v>
      </c>
      <c r="H311" s="2">
        <f>SUMIF('01_BOC_TACH_ONG'!B:B, B311, '01_BOC_TACH_ONG'!K:K)</f>
        <v/>
      </c>
      <c r="I311" s="2">
        <f>SUMIF('02_BOC_TACH_CUA'!B:B, B311, '02_BOC_TACH_CUA'!K:K)</f>
        <v/>
      </c>
      <c r="J311" s="2">
        <f>SUMIF('03_BOC_TACH_VAN'!B:B, B311, '03_BOC_TACH_VAN'!K:K)</f>
        <v/>
      </c>
      <c r="K311" s="2">
        <f>SUM(H311:J311)</f>
        <v/>
      </c>
      <c r="L311" s="2">
        <f>K311*0.25</f>
        <v/>
      </c>
      <c r="M311" s="2">
        <f>K311*0.10</f>
        <v/>
      </c>
      <c r="N311" s="2">
        <f>K311+L311+M311</f>
        <v/>
      </c>
      <c r="O311" s="2">
        <f>IF(G311&gt;0, N311/G311, 0)</f>
        <v/>
      </c>
      <c r="P311" s="3" t="n">
        <v>0.18</v>
      </c>
      <c r="Q311" s="2">
        <f>O311*(1+P311)</f>
        <v/>
      </c>
      <c r="R311" s="2">
        <f>G311*Q311</f>
        <v/>
      </c>
    </row>
    <row r="312">
      <c r="A312" t="n">
        <v>311</v>
      </c>
      <c r="B312" t="inlineStr">
        <is>
          <t>SW-DAMPER-311</t>
        </is>
      </c>
      <c r="C312" t="inlineStr">
        <is>
          <t>VAN GIÓ</t>
        </is>
      </c>
      <c r="D312" t="inlineStr">
        <is>
          <t>Van điều gió MD - Kích thước: 150x150</t>
        </is>
      </c>
      <c r="E312" t="inlineStr">
        <is>
          <t>150x150</t>
        </is>
      </c>
      <c r="F312" t="inlineStr">
        <is>
          <t>Cái</t>
        </is>
      </c>
      <c r="G312" s="2" t="n">
        <v>43</v>
      </c>
      <c r="H312" s="2">
        <f>SUMIF('01_BOC_TACH_ONG'!B:B, B312, '01_BOC_TACH_ONG'!K:K)</f>
        <v/>
      </c>
      <c r="I312" s="2">
        <f>SUMIF('02_BOC_TACH_CUA'!B:B, B312, '02_BOC_TACH_CUA'!K:K)</f>
        <v/>
      </c>
      <c r="J312" s="2">
        <f>SUMIF('03_BOC_TACH_VAN'!B:B, B312, '03_BOC_TACH_VAN'!K:K)</f>
        <v/>
      </c>
      <c r="K312" s="2">
        <f>SUM(H312:J312)</f>
        <v/>
      </c>
      <c r="L312" s="2">
        <f>K312*0.25</f>
        <v/>
      </c>
      <c r="M312" s="2">
        <f>K312*0.10</f>
        <v/>
      </c>
      <c r="N312" s="2">
        <f>K312+L312+M312</f>
        <v/>
      </c>
      <c r="O312" s="2">
        <f>IF(G312&gt;0, N312/G312, 0)</f>
        <v/>
      </c>
      <c r="P312" s="3" t="n">
        <v>0.18</v>
      </c>
      <c r="Q312" s="2">
        <f>O312*(1+P312)</f>
        <v/>
      </c>
      <c r="R312" s="2">
        <f>G312*Q312</f>
        <v/>
      </c>
    </row>
    <row r="313">
      <c r="A313" t="n">
        <v>312</v>
      </c>
      <c r="B313" t="inlineStr">
        <is>
          <t>SW-DIFF-312</t>
        </is>
      </c>
      <c r="C313" t="inlineStr">
        <is>
          <t>CỬA GIÓ</t>
        </is>
      </c>
      <c r="D313" t="inlineStr">
        <is>
          <t>Chi phí kiểm định</t>
        </is>
      </c>
      <c r="E313" t="inlineStr">
        <is>
          <t>-</t>
        </is>
      </c>
      <c r="F313" t="inlineStr">
        <is>
          <t>Gói</t>
        </is>
      </c>
      <c r="G313" s="2" t="n">
        <v>1</v>
      </c>
      <c r="H313" s="2">
        <f>SUMIF('01_BOC_TACH_ONG'!B:B, B313, '01_BOC_TACH_ONG'!K:K)</f>
        <v/>
      </c>
      <c r="I313" s="2">
        <f>SUMIF('02_BOC_TACH_CUA'!B:B, B313, '02_BOC_TACH_CUA'!K:K)</f>
        <v/>
      </c>
      <c r="J313" s="2">
        <f>SUMIF('03_BOC_TACH_VAN'!B:B, B313, '03_BOC_TACH_VAN'!K:K)</f>
        <v/>
      </c>
      <c r="K313" s="2">
        <f>SUM(H313:J313)</f>
        <v/>
      </c>
      <c r="L313" s="2">
        <f>K313*0.25</f>
        <v/>
      </c>
      <c r="M313" s="2">
        <f>K313*0.10</f>
        <v/>
      </c>
      <c r="N313" s="2">
        <f>K313+L313+M313</f>
        <v/>
      </c>
      <c r="O313" s="2">
        <f>IF(G313&gt;0, N313/G313, 0)</f>
        <v/>
      </c>
      <c r="P313" s="3" t="n">
        <v>0.18</v>
      </c>
      <c r="Q313" s="2">
        <f>O313*(1+P313)</f>
        <v/>
      </c>
      <c r="R313" s="2">
        <f>G313*Q313</f>
        <v/>
      </c>
    </row>
    <row r="314">
      <c r="A314" t="n">
        <v>313</v>
      </c>
      <c r="B314" t="inlineStr">
        <is>
          <t>SW-DIFF-313</t>
        </is>
      </c>
      <c r="C314" t="inlineStr">
        <is>
          <t>CỬA GIÓ</t>
        </is>
      </c>
      <c r="D314" t="inlineStr">
        <is>
          <t>Chi phí vận chuyển</t>
        </is>
      </c>
      <c r="E314" t="inlineStr">
        <is>
          <t>-</t>
        </is>
      </c>
      <c r="F314" t="inlineStr">
        <is>
          <t>Gói</t>
        </is>
      </c>
      <c r="G314" s="2" t="n">
        <v>1</v>
      </c>
      <c r="H314" s="2">
        <f>SUMIF('01_BOC_TACH_ONG'!B:B, B314, '01_BOC_TACH_ONG'!K:K)</f>
        <v/>
      </c>
      <c r="I314" s="2">
        <f>SUMIF('02_BOC_TACH_CUA'!B:B, B314, '02_BOC_TACH_CUA'!K:K)</f>
        <v/>
      </c>
      <c r="J314" s="2">
        <f>SUMIF('03_BOC_TACH_VAN'!B:B, B314, '03_BOC_TACH_VAN'!K:K)</f>
        <v/>
      </c>
      <c r="K314" s="2">
        <f>SUM(H314:J314)</f>
        <v/>
      </c>
      <c r="L314" s="2">
        <f>K314*0.25</f>
        <v/>
      </c>
      <c r="M314" s="2">
        <f>K314*0.10</f>
        <v/>
      </c>
      <c r="N314" s="2">
        <f>K314+L314+M314</f>
        <v/>
      </c>
      <c r="O314" s="2">
        <f>IF(G314&gt;0, N314/G314, 0)</f>
        <v/>
      </c>
      <c r="P314" s="3" t="n">
        <v>0.18</v>
      </c>
      <c r="Q314" s="2">
        <f>O314*(1+P314)</f>
        <v/>
      </c>
      <c r="R314" s="2">
        <f>G314*Q314</f>
        <v/>
      </c>
    </row>
    <row r="315">
      <c r="A315" t="n">
        <v>314</v>
      </c>
      <c r="B315" t="inlineStr">
        <is>
          <t>SW-DAMPER-314</t>
        </is>
      </c>
      <c r="C315" t="inlineStr">
        <is>
          <t>VAN GIÓ</t>
        </is>
      </c>
      <c r="D315" t="inlineStr">
        <is>
          <t>Van điều chỉnh lưu lượng VCD - Kích thước 100x100</t>
        </is>
      </c>
      <c r="E315" t="inlineStr">
        <is>
          <t>100x100</t>
        </is>
      </c>
      <c r="F315" t="inlineStr">
        <is>
          <t>Cái</t>
        </is>
      </c>
      <c r="G315" s="2" t="n">
        <v>111</v>
      </c>
      <c r="H315" s="2">
        <f>SUMIF('01_BOC_TACH_ONG'!B:B, B315, '01_BOC_TACH_ONG'!K:K)</f>
        <v/>
      </c>
      <c r="I315" s="2">
        <f>SUMIF('02_BOC_TACH_CUA'!B:B, B315, '02_BOC_TACH_CUA'!K:K)</f>
        <v/>
      </c>
      <c r="J315" s="2">
        <f>SUMIF('03_BOC_TACH_VAN'!B:B, B315, '03_BOC_TACH_VAN'!K:K)</f>
        <v/>
      </c>
      <c r="K315" s="2">
        <f>SUM(H315:J315)</f>
        <v/>
      </c>
      <c r="L315" s="2">
        <f>K315*0.25</f>
        <v/>
      </c>
      <c r="M315" s="2">
        <f>K315*0.10</f>
        <v/>
      </c>
      <c r="N315" s="2">
        <f>K315+L315+M315</f>
        <v/>
      </c>
      <c r="O315" s="2">
        <f>IF(G315&gt;0, N315/G315, 0)</f>
        <v/>
      </c>
      <c r="P315" s="3" t="n">
        <v>0.18</v>
      </c>
      <c r="Q315" s="2">
        <f>O315*(1+P315)</f>
        <v/>
      </c>
      <c r="R315" s="2">
        <f>G315*Q315</f>
        <v/>
      </c>
    </row>
    <row r="316">
      <c r="A316" t="n">
        <v>315</v>
      </c>
      <c r="B316" t="inlineStr">
        <is>
          <t>SW-DAMPER-315</t>
        </is>
      </c>
      <c r="C316" t="inlineStr">
        <is>
          <t>VAN GIÓ</t>
        </is>
      </c>
      <c r="D316" t="inlineStr">
        <is>
          <t>Van điều chỉnh lưu lượng VCD - Kích thước 150x100</t>
        </is>
      </c>
      <c r="E316" t="inlineStr">
        <is>
          <t>150x100</t>
        </is>
      </c>
      <c r="F316" t="inlineStr">
        <is>
          <t>Cái</t>
        </is>
      </c>
      <c r="G316" s="2" t="n">
        <v>23</v>
      </c>
      <c r="H316" s="2">
        <f>SUMIF('01_BOC_TACH_ONG'!B:B, B316, '01_BOC_TACH_ONG'!K:K)</f>
        <v/>
      </c>
      <c r="I316" s="2">
        <f>SUMIF('02_BOC_TACH_CUA'!B:B, B316, '02_BOC_TACH_CUA'!K:K)</f>
        <v/>
      </c>
      <c r="J316" s="2">
        <f>SUMIF('03_BOC_TACH_VAN'!B:B, B316, '03_BOC_TACH_VAN'!K:K)</f>
        <v/>
      </c>
      <c r="K316" s="2">
        <f>SUM(H316:J316)</f>
        <v/>
      </c>
      <c r="L316" s="2">
        <f>K316*0.25</f>
        <v/>
      </c>
      <c r="M316" s="2">
        <f>K316*0.10</f>
        <v/>
      </c>
      <c r="N316" s="2">
        <f>K316+L316+M316</f>
        <v/>
      </c>
      <c r="O316" s="2">
        <f>IF(G316&gt;0, N316/G316, 0)</f>
        <v/>
      </c>
      <c r="P316" s="3" t="n">
        <v>0.18</v>
      </c>
      <c r="Q316" s="2">
        <f>O316*(1+P316)</f>
        <v/>
      </c>
      <c r="R316" s="2">
        <f>G316*Q316</f>
        <v/>
      </c>
    </row>
    <row r="317">
      <c r="A317" t="n">
        <v>316</v>
      </c>
      <c r="B317" t="inlineStr">
        <is>
          <t>SW-DAMPER-316</t>
        </is>
      </c>
      <c r="C317" t="inlineStr">
        <is>
          <t>VAN GIÓ</t>
        </is>
      </c>
      <c r="D317" t="inlineStr">
        <is>
          <t>Van điều chỉnh lưu lượng VCD - Kích thước 150x150</t>
        </is>
      </c>
      <c r="E317" t="inlineStr">
        <is>
          <t>150x150</t>
        </is>
      </c>
      <c r="F317" t="inlineStr">
        <is>
          <t>Cái</t>
        </is>
      </c>
      <c r="G317" s="2" t="n">
        <v>23</v>
      </c>
      <c r="H317" s="2">
        <f>SUMIF('01_BOC_TACH_ONG'!B:B, B317, '01_BOC_TACH_ONG'!K:K)</f>
        <v/>
      </c>
      <c r="I317" s="2">
        <f>SUMIF('02_BOC_TACH_CUA'!B:B, B317, '02_BOC_TACH_CUA'!K:K)</f>
        <v/>
      </c>
      <c r="J317" s="2">
        <f>SUMIF('03_BOC_TACH_VAN'!B:B, B317, '03_BOC_TACH_VAN'!K:K)</f>
        <v/>
      </c>
      <c r="K317" s="2">
        <f>SUM(H317:J317)</f>
        <v/>
      </c>
      <c r="L317" s="2">
        <f>K317*0.25</f>
        <v/>
      </c>
      <c r="M317" s="2">
        <f>K317*0.10</f>
        <v/>
      </c>
      <c r="N317" s="2">
        <f>K317+L317+M317</f>
        <v/>
      </c>
      <c r="O317" s="2">
        <f>IF(G317&gt;0, N317/G317, 0)</f>
        <v/>
      </c>
      <c r="P317" s="3" t="n">
        <v>0.18</v>
      </c>
      <c r="Q317" s="2">
        <f>O317*(1+P317)</f>
        <v/>
      </c>
      <c r="R317" s="2">
        <f>G317*Q317</f>
        <v/>
      </c>
    </row>
    <row r="318">
      <c r="A318" t="n">
        <v>317</v>
      </c>
      <c r="B318" t="inlineStr">
        <is>
          <t>SW-DAMPER-317</t>
        </is>
      </c>
      <c r="C318" t="inlineStr">
        <is>
          <t>VAN GIÓ</t>
        </is>
      </c>
      <c r="D318" t="inlineStr">
        <is>
          <t>Van điều chỉnh lưu lượng VCD - Kích thước 200x150</t>
        </is>
      </c>
      <c r="E318" t="inlineStr">
        <is>
          <t>200x150</t>
        </is>
      </c>
      <c r="F318" t="inlineStr">
        <is>
          <t>Cái</t>
        </is>
      </c>
      <c r="G318" s="2" t="n">
        <v>1</v>
      </c>
      <c r="H318" s="2">
        <f>SUMIF('01_BOC_TACH_ONG'!B:B, B318, '01_BOC_TACH_ONG'!K:K)</f>
        <v/>
      </c>
      <c r="I318" s="2">
        <f>SUMIF('02_BOC_TACH_CUA'!B:B, B318, '02_BOC_TACH_CUA'!K:K)</f>
        <v/>
      </c>
      <c r="J318" s="2">
        <f>SUMIF('03_BOC_TACH_VAN'!B:B, B318, '03_BOC_TACH_VAN'!K:K)</f>
        <v/>
      </c>
      <c r="K318" s="2">
        <f>SUM(H318:J318)</f>
        <v/>
      </c>
      <c r="L318" s="2">
        <f>K318*0.25</f>
        <v/>
      </c>
      <c r="M318" s="2">
        <f>K318*0.10</f>
        <v/>
      </c>
      <c r="N318" s="2">
        <f>K318+L318+M318</f>
        <v/>
      </c>
      <c r="O318" s="2">
        <f>IF(G318&gt;0, N318/G318, 0)</f>
        <v/>
      </c>
      <c r="P318" s="3" t="n">
        <v>0.18</v>
      </c>
      <c r="Q318" s="2">
        <f>O318*(1+P318)</f>
        <v/>
      </c>
      <c r="R318" s="2">
        <f>G318*Q318</f>
        <v/>
      </c>
    </row>
    <row r="319">
      <c r="A319" t="n">
        <v>318</v>
      </c>
      <c r="B319" t="inlineStr">
        <is>
          <t>SW-DAMPER-318</t>
        </is>
      </c>
      <c r="C319" t="inlineStr">
        <is>
          <t>VAN GIÓ</t>
        </is>
      </c>
      <c r="D319" t="inlineStr">
        <is>
          <t>Van điều chỉnh lưu lượng VCD - Kích thước 300x250</t>
        </is>
      </c>
      <c r="E319" t="inlineStr">
        <is>
          <t>300x250</t>
        </is>
      </c>
      <c r="F319" t="inlineStr">
        <is>
          <t>Cái</t>
        </is>
      </c>
      <c r="G319" s="2" t="n">
        <v>1</v>
      </c>
      <c r="H319" s="2">
        <f>SUMIF('01_BOC_TACH_ONG'!B:B, B319, '01_BOC_TACH_ONG'!K:K)</f>
        <v/>
      </c>
      <c r="I319" s="2">
        <f>SUMIF('02_BOC_TACH_CUA'!B:B, B319, '02_BOC_TACH_CUA'!K:K)</f>
        <v/>
      </c>
      <c r="J319" s="2">
        <f>SUMIF('03_BOC_TACH_VAN'!B:B, B319, '03_BOC_TACH_VAN'!K:K)</f>
        <v/>
      </c>
      <c r="K319" s="2">
        <f>SUM(H319:J319)</f>
        <v/>
      </c>
      <c r="L319" s="2">
        <f>K319*0.25</f>
        <v/>
      </c>
      <c r="M319" s="2">
        <f>K319*0.10</f>
        <v/>
      </c>
      <c r="N319" s="2">
        <f>K319+L319+M319</f>
        <v/>
      </c>
      <c r="O319" s="2">
        <f>IF(G319&gt;0, N319/G319, 0)</f>
        <v/>
      </c>
      <c r="P319" s="3" t="n">
        <v>0.18</v>
      </c>
      <c r="Q319" s="2">
        <f>O319*(1+P319)</f>
        <v/>
      </c>
      <c r="R319" s="2">
        <f>G319*Q319</f>
        <v/>
      </c>
    </row>
    <row r="320">
      <c r="A320" t="n">
        <v>319</v>
      </c>
      <c r="B320" t="inlineStr">
        <is>
          <t>SW-DAMPER-319</t>
        </is>
      </c>
      <c r="C320" t="inlineStr">
        <is>
          <t>VAN GIÓ</t>
        </is>
      </c>
      <c r="D320" t="inlineStr">
        <is>
          <t>Van điều chỉnh lưu lượng VCD - Kích thước 350x250</t>
        </is>
      </c>
      <c r="E320" t="inlineStr">
        <is>
          <t>350x250</t>
        </is>
      </c>
      <c r="F320" t="inlineStr">
        <is>
          <t>Cái</t>
        </is>
      </c>
      <c r="G320" s="2" t="n">
        <v>1</v>
      </c>
      <c r="H320" s="2">
        <f>SUMIF('01_BOC_TACH_ONG'!B:B, B320, '01_BOC_TACH_ONG'!K:K)</f>
        <v/>
      </c>
      <c r="I320" s="2">
        <f>SUMIF('02_BOC_TACH_CUA'!B:B, B320, '02_BOC_TACH_CUA'!K:K)</f>
        <v/>
      </c>
      <c r="J320" s="2">
        <f>SUMIF('03_BOC_TACH_VAN'!B:B, B320, '03_BOC_TACH_VAN'!K:K)</f>
        <v/>
      </c>
      <c r="K320" s="2">
        <f>SUM(H320:J320)</f>
        <v/>
      </c>
      <c r="L320" s="2">
        <f>K320*0.25</f>
        <v/>
      </c>
      <c r="M320" s="2">
        <f>K320*0.10</f>
        <v/>
      </c>
      <c r="N320" s="2">
        <f>K320+L320+M320</f>
        <v/>
      </c>
      <c r="O320" s="2">
        <f>IF(G320&gt;0, N320/G320, 0)</f>
        <v/>
      </c>
      <c r="P320" s="3" t="n">
        <v>0.18</v>
      </c>
      <c r="Q320" s="2">
        <f>O320*(1+P320)</f>
        <v/>
      </c>
      <c r="R320" s="2">
        <f>G320*Q320</f>
        <v/>
      </c>
    </row>
    <row r="321">
      <c r="A321" t="n">
        <v>320</v>
      </c>
      <c r="B321" t="inlineStr">
        <is>
          <t>SW-DAMPER-320</t>
        </is>
      </c>
      <c r="C321" t="inlineStr">
        <is>
          <t>VAN GIÓ</t>
        </is>
      </c>
      <c r="D321" t="inlineStr">
        <is>
          <t>Van điều chỉnh lưu lượng VCD - Kích thước 400x200</t>
        </is>
      </c>
      <c r="E321" t="inlineStr">
        <is>
          <t>400x200</t>
        </is>
      </c>
      <c r="F321" t="inlineStr">
        <is>
          <t>Cái</t>
        </is>
      </c>
      <c r="G321" s="2" t="n">
        <v>6</v>
      </c>
      <c r="H321" s="2">
        <f>SUMIF('01_BOC_TACH_ONG'!B:B, B321, '01_BOC_TACH_ONG'!K:K)</f>
        <v/>
      </c>
      <c r="I321" s="2">
        <f>SUMIF('02_BOC_TACH_CUA'!B:B, B321, '02_BOC_TACH_CUA'!K:K)</f>
        <v/>
      </c>
      <c r="J321" s="2">
        <f>SUMIF('03_BOC_TACH_VAN'!B:B, B321, '03_BOC_TACH_VAN'!K:K)</f>
        <v/>
      </c>
      <c r="K321" s="2">
        <f>SUM(H321:J321)</f>
        <v/>
      </c>
      <c r="L321" s="2">
        <f>K321*0.25</f>
        <v/>
      </c>
      <c r="M321" s="2">
        <f>K321*0.10</f>
        <v/>
      </c>
      <c r="N321" s="2">
        <f>K321+L321+M321</f>
        <v/>
      </c>
      <c r="O321" s="2">
        <f>IF(G321&gt;0, N321/G321, 0)</f>
        <v/>
      </c>
      <c r="P321" s="3" t="n">
        <v>0.18</v>
      </c>
      <c r="Q321" s="2">
        <f>O321*(1+P321)</f>
        <v/>
      </c>
      <c r="R321" s="2">
        <f>G321*Q321</f>
        <v/>
      </c>
    </row>
    <row r="322">
      <c r="A322" t="n">
        <v>321</v>
      </c>
      <c r="B322" t="inlineStr">
        <is>
          <t>SW-DAMPER-321</t>
        </is>
      </c>
      <c r="C322" t="inlineStr">
        <is>
          <t>VAN GIÓ</t>
        </is>
      </c>
      <c r="D322" t="inlineStr">
        <is>
          <t>Van điều chỉnh lưu lượng VCD - Kích thước 400x250</t>
        </is>
      </c>
      <c r="E322" t="inlineStr">
        <is>
          <t>400x250</t>
        </is>
      </c>
      <c r="F322" t="inlineStr">
        <is>
          <t>Cái</t>
        </is>
      </c>
      <c r="G322" s="2" t="n">
        <v>3</v>
      </c>
      <c r="H322" s="2">
        <f>SUMIF('01_BOC_TACH_ONG'!B:B, B322, '01_BOC_TACH_ONG'!K:K)</f>
        <v/>
      </c>
      <c r="I322" s="2">
        <f>SUMIF('02_BOC_TACH_CUA'!B:B, B322, '02_BOC_TACH_CUA'!K:K)</f>
        <v/>
      </c>
      <c r="J322" s="2">
        <f>SUMIF('03_BOC_TACH_VAN'!B:B, B322, '03_BOC_TACH_VAN'!K:K)</f>
        <v/>
      </c>
      <c r="K322" s="2">
        <f>SUM(H322:J322)</f>
        <v/>
      </c>
      <c r="L322" s="2">
        <f>K322*0.25</f>
        <v/>
      </c>
      <c r="M322" s="2">
        <f>K322*0.10</f>
        <v/>
      </c>
      <c r="N322" s="2">
        <f>K322+L322+M322</f>
        <v/>
      </c>
      <c r="O322" s="2">
        <f>IF(G322&gt;0, N322/G322, 0)</f>
        <v/>
      </c>
      <c r="P322" s="3" t="n">
        <v>0.18</v>
      </c>
      <c r="Q322" s="2">
        <f>O322*(1+P322)</f>
        <v/>
      </c>
      <c r="R322" s="2">
        <f>G322*Q322</f>
        <v/>
      </c>
    </row>
    <row r="323">
      <c r="A323" t="n">
        <v>322</v>
      </c>
      <c r="B323" t="inlineStr">
        <is>
          <t>SW-DAMPER-322</t>
        </is>
      </c>
      <c r="C323" t="inlineStr">
        <is>
          <t>VAN GIÓ</t>
        </is>
      </c>
      <c r="D323" t="inlineStr">
        <is>
          <t>Van điều chỉnh lưu lượng VCD - Kích thước 400x300</t>
        </is>
      </c>
      <c r="E323" t="inlineStr">
        <is>
          <t>400x300</t>
        </is>
      </c>
      <c r="F323" t="inlineStr">
        <is>
          <t>Cái</t>
        </is>
      </c>
      <c r="G323" s="2" t="n">
        <v>4</v>
      </c>
      <c r="H323" s="2">
        <f>SUMIF('01_BOC_TACH_ONG'!B:B, B323, '01_BOC_TACH_ONG'!K:K)</f>
        <v/>
      </c>
      <c r="I323" s="2">
        <f>SUMIF('02_BOC_TACH_CUA'!B:B, B323, '02_BOC_TACH_CUA'!K:K)</f>
        <v/>
      </c>
      <c r="J323" s="2">
        <f>SUMIF('03_BOC_TACH_VAN'!B:B, B323, '03_BOC_TACH_VAN'!K:K)</f>
        <v/>
      </c>
      <c r="K323" s="2">
        <f>SUM(H323:J323)</f>
        <v/>
      </c>
      <c r="L323" s="2">
        <f>K323*0.25</f>
        <v/>
      </c>
      <c r="M323" s="2">
        <f>K323*0.10</f>
        <v/>
      </c>
      <c r="N323" s="2">
        <f>K323+L323+M323</f>
        <v/>
      </c>
      <c r="O323" s="2">
        <f>IF(G323&gt;0, N323/G323, 0)</f>
        <v/>
      </c>
      <c r="P323" s="3" t="n">
        <v>0.18</v>
      </c>
      <c r="Q323" s="2">
        <f>O323*(1+P323)</f>
        <v/>
      </c>
      <c r="R323" s="2">
        <f>G323*Q323</f>
        <v/>
      </c>
    </row>
    <row r="324">
      <c r="A324" t="n">
        <v>323</v>
      </c>
      <c r="B324" t="inlineStr">
        <is>
          <t>SW-DAMPER-323</t>
        </is>
      </c>
      <c r="C324" t="inlineStr">
        <is>
          <t>VAN GIÓ</t>
        </is>
      </c>
      <c r="D324" t="inlineStr">
        <is>
          <t>Van điều chỉnh lưu lượng VCD - Kích thước 450x250</t>
        </is>
      </c>
      <c r="E324" t="inlineStr">
        <is>
          <t>450x250</t>
        </is>
      </c>
      <c r="F324" t="inlineStr">
        <is>
          <t>Cái</t>
        </is>
      </c>
      <c r="G324" s="2" t="n">
        <v>2</v>
      </c>
      <c r="H324" s="2">
        <f>SUMIF('01_BOC_TACH_ONG'!B:B, B324, '01_BOC_TACH_ONG'!K:K)</f>
        <v/>
      </c>
      <c r="I324" s="2">
        <f>SUMIF('02_BOC_TACH_CUA'!B:B, B324, '02_BOC_TACH_CUA'!K:K)</f>
        <v/>
      </c>
      <c r="J324" s="2">
        <f>SUMIF('03_BOC_TACH_VAN'!B:B, B324, '03_BOC_TACH_VAN'!K:K)</f>
        <v/>
      </c>
      <c r="K324" s="2">
        <f>SUM(H324:J324)</f>
        <v/>
      </c>
      <c r="L324" s="2">
        <f>K324*0.25</f>
        <v/>
      </c>
      <c r="M324" s="2">
        <f>K324*0.10</f>
        <v/>
      </c>
      <c r="N324" s="2">
        <f>K324+L324+M324</f>
        <v/>
      </c>
      <c r="O324" s="2">
        <f>IF(G324&gt;0, N324/G324, 0)</f>
        <v/>
      </c>
      <c r="P324" s="3" t="n">
        <v>0.18</v>
      </c>
      <c r="Q324" s="2">
        <f>O324*(1+P324)</f>
        <v/>
      </c>
      <c r="R324" s="2">
        <f>G324*Q324</f>
        <v/>
      </c>
    </row>
    <row r="325">
      <c r="A325" t="n">
        <v>324</v>
      </c>
      <c r="B325" t="inlineStr">
        <is>
          <t>SW-DAMPER-324</t>
        </is>
      </c>
      <c r="C325" t="inlineStr">
        <is>
          <t>VAN GIÓ</t>
        </is>
      </c>
      <c r="D325" t="inlineStr">
        <is>
          <t>Van điều chỉnh lưu lượng VCD - Kích thước 500x300</t>
        </is>
      </c>
      <c r="E325" t="inlineStr">
        <is>
          <t>500x300</t>
        </is>
      </c>
      <c r="F325" t="inlineStr">
        <is>
          <t>Cái</t>
        </is>
      </c>
      <c r="G325" s="2" t="n">
        <v>2</v>
      </c>
      <c r="H325" s="2">
        <f>SUMIF('01_BOC_TACH_ONG'!B:B, B325, '01_BOC_TACH_ONG'!K:K)</f>
        <v/>
      </c>
      <c r="I325" s="2">
        <f>SUMIF('02_BOC_TACH_CUA'!B:B, B325, '02_BOC_TACH_CUA'!K:K)</f>
        <v/>
      </c>
      <c r="J325" s="2">
        <f>SUMIF('03_BOC_TACH_VAN'!B:B, B325, '03_BOC_TACH_VAN'!K:K)</f>
        <v/>
      </c>
      <c r="K325" s="2">
        <f>SUM(H325:J325)</f>
        <v/>
      </c>
      <c r="L325" s="2">
        <f>K325*0.25</f>
        <v/>
      </c>
      <c r="M325" s="2">
        <f>K325*0.10</f>
        <v/>
      </c>
      <c r="N325" s="2">
        <f>K325+L325+M325</f>
        <v/>
      </c>
      <c r="O325" s="2">
        <f>IF(G325&gt;0, N325/G325, 0)</f>
        <v/>
      </c>
      <c r="P325" s="3" t="n">
        <v>0.18</v>
      </c>
      <c r="Q325" s="2">
        <f>O325*(1+P325)</f>
        <v/>
      </c>
      <c r="R325" s="2">
        <f>G325*Q325</f>
        <v/>
      </c>
    </row>
    <row r="326">
      <c r="A326" t="n">
        <v>325</v>
      </c>
      <c r="B326" t="inlineStr">
        <is>
          <t>SW-DAMPER-325</t>
        </is>
      </c>
      <c r="C326" t="inlineStr">
        <is>
          <t>VAN GIÓ</t>
        </is>
      </c>
      <c r="D326" t="inlineStr">
        <is>
          <t>Van điều chỉnh lưu lượng VCD - Kích thước 500x250</t>
        </is>
      </c>
      <c r="E326" t="inlineStr">
        <is>
          <t>500x250</t>
        </is>
      </c>
      <c r="F326" t="inlineStr">
        <is>
          <t>Cái</t>
        </is>
      </c>
      <c r="G326" s="2" t="n">
        <v>1</v>
      </c>
      <c r="H326" s="2">
        <f>SUMIF('01_BOC_TACH_ONG'!B:B, B326, '01_BOC_TACH_ONG'!K:K)</f>
        <v/>
      </c>
      <c r="I326" s="2">
        <f>SUMIF('02_BOC_TACH_CUA'!B:B, B326, '02_BOC_TACH_CUA'!K:K)</f>
        <v/>
      </c>
      <c r="J326" s="2">
        <f>SUMIF('03_BOC_TACH_VAN'!B:B, B326, '03_BOC_TACH_VAN'!K:K)</f>
        <v/>
      </c>
      <c r="K326" s="2">
        <f>SUM(H326:J326)</f>
        <v/>
      </c>
      <c r="L326" s="2">
        <f>K326*0.25</f>
        <v/>
      </c>
      <c r="M326" s="2">
        <f>K326*0.10</f>
        <v/>
      </c>
      <c r="N326" s="2">
        <f>K326+L326+M326</f>
        <v/>
      </c>
      <c r="O326" s="2">
        <f>IF(G326&gt;0, N326/G326, 0)</f>
        <v/>
      </c>
      <c r="P326" s="3" t="n">
        <v>0.18</v>
      </c>
      <c r="Q326" s="2">
        <f>O326*(1+P326)</f>
        <v/>
      </c>
      <c r="R326" s="2">
        <f>G326*Q326</f>
        <v/>
      </c>
    </row>
    <row r="327">
      <c r="A327" t="n">
        <v>326</v>
      </c>
      <c r="B327" t="inlineStr">
        <is>
          <t>SW-DAMPER-326</t>
        </is>
      </c>
      <c r="C327" t="inlineStr">
        <is>
          <t>VAN GIÓ</t>
        </is>
      </c>
      <c r="D327" t="inlineStr">
        <is>
          <t>Van điều chỉnh lưu lượng VCD - Kích thước 550x250</t>
        </is>
      </c>
      <c r="E327" t="inlineStr">
        <is>
          <t>550x250</t>
        </is>
      </c>
      <c r="F327" t="inlineStr">
        <is>
          <t>Cái</t>
        </is>
      </c>
      <c r="G327" s="2" t="n">
        <v>1</v>
      </c>
      <c r="H327" s="2">
        <f>SUMIF('01_BOC_TACH_ONG'!B:B, B327, '01_BOC_TACH_ONG'!K:K)</f>
        <v/>
      </c>
      <c r="I327" s="2">
        <f>SUMIF('02_BOC_TACH_CUA'!B:B, B327, '02_BOC_TACH_CUA'!K:K)</f>
        <v/>
      </c>
      <c r="J327" s="2">
        <f>SUMIF('03_BOC_TACH_VAN'!B:B, B327, '03_BOC_TACH_VAN'!K:K)</f>
        <v/>
      </c>
      <c r="K327" s="2">
        <f>SUM(H327:J327)</f>
        <v/>
      </c>
      <c r="L327" s="2">
        <f>K327*0.25</f>
        <v/>
      </c>
      <c r="M327" s="2">
        <f>K327*0.10</f>
        <v/>
      </c>
      <c r="N327" s="2">
        <f>K327+L327+M327</f>
        <v/>
      </c>
      <c r="O327" s="2">
        <f>IF(G327&gt;0, N327/G327, 0)</f>
        <v/>
      </c>
      <c r="P327" s="3" t="n">
        <v>0.18</v>
      </c>
      <c r="Q327" s="2">
        <f>O327*(1+P327)</f>
        <v/>
      </c>
      <c r="R327" s="2">
        <f>G327*Q327</f>
        <v/>
      </c>
    </row>
    <row r="328">
      <c r="A328" t="n">
        <v>327</v>
      </c>
      <c r="B328" t="inlineStr">
        <is>
          <t>SW-DAMPER-327</t>
        </is>
      </c>
      <c r="C328" t="inlineStr">
        <is>
          <t>VAN GIÓ</t>
        </is>
      </c>
      <c r="D328" t="inlineStr">
        <is>
          <t>Van điều chỉnh lưu lượng VCD - Kích thước 600x300</t>
        </is>
      </c>
      <c r="E328" t="inlineStr">
        <is>
          <t>600x300</t>
        </is>
      </c>
      <c r="F328" t="inlineStr">
        <is>
          <t>Cái</t>
        </is>
      </c>
      <c r="G328" s="2" t="n">
        <v>3</v>
      </c>
      <c r="H328" s="2">
        <f>SUMIF('01_BOC_TACH_ONG'!B:B, B328, '01_BOC_TACH_ONG'!K:K)</f>
        <v/>
      </c>
      <c r="I328" s="2">
        <f>SUMIF('02_BOC_TACH_CUA'!B:B, B328, '02_BOC_TACH_CUA'!K:K)</f>
        <v/>
      </c>
      <c r="J328" s="2">
        <f>SUMIF('03_BOC_TACH_VAN'!B:B, B328, '03_BOC_TACH_VAN'!K:K)</f>
        <v/>
      </c>
      <c r="K328" s="2">
        <f>SUM(H328:J328)</f>
        <v/>
      </c>
      <c r="L328" s="2">
        <f>K328*0.25</f>
        <v/>
      </c>
      <c r="M328" s="2">
        <f>K328*0.10</f>
        <v/>
      </c>
      <c r="N328" s="2">
        <f>K328+L328+M328</f>
        <v/>
      </c>
      <c r="O328" s="2">
        <f>IF(G328&gt;0, N328/G328, 0)</f>
        <v/>
      </c>
      <c r="P328" s="3" t="n">
        <v>0.18</v>
      </c>
      <c r="Q328" s="2">
        <f>O328*(1+P328)</f>
        <v/>
      </c>
      <c r="R328" s="2">
        <f>G328*Q328</f>
        <v/>
      </c>
    </row>
    <row r="329">
      <c r="A329" t="n">
        <v>328</v>
      </c>
      <c r="B329" t="inlineStr">
        <is>
          <t>SW-DAMPER-328</t>
        </is>
      </c>
      <c r="C329" t="inlineStr">
        <is>
          <t>VAN GIÓ</t>
        </is>
      </c>
      <c r="D329" t="inlineStr">
        <is>
          <t>Van điều chỉnh lưu lượng VCD - Kích thước 650x250</t>
        </is>
      </c>
      <c r="E329" t="inlineStr">
        <is>
          <t>650x250</t>
        </is>
      </c>
      <c r="F329" t="inlineStr">
        <is>
          <t>Cái</t>
        </is>
      </c>
      <c r="G329" s="2" t="n">
        <v>1</v>
      </c>
      <c r="H329" s="2">
        <f>SUMIF('01_BOC_TACH_ONG'!B:B, B329, '01_BOC_TACH_ONG'!K:K)</f>
        <v/>
      </c>
      <c r="I329" s="2">
        <f>SUMIF('02_BOC_TACH_CUA'!B:B, B329, '02_BOC_TACH_CUA'!K:K)</f>
        <v/>
      </c>
      <c r="J329" s="2">
        <f>SUMIF('03_BOC_TACH_VAN'!B:B, B329, '03_BOC_TACH_VAN'!K:K)</f>
        <v/>
      </c>
      <c r="K329" s="2">
        <f>SUM(H329:J329)</f>
        <v/>
      </c>
      <c r="L329" s="2">
        <f>K329*0.25</f>
        <v/>
      </c>
      <c r="M329" s="2">
        <f>K329*0.10</f>
        <v/>
      </c>
      <c r="N329" s="2">
        <f>K329+L329+M329</f>
        <v/>
      </c>
      <c r="O329" s="2">
        <f>IF(G329&gt;0, N329/G329, 0)</f>
        <v/>
      </c>
      <c r="P329" s="3" t="n">
        <v>0.18</v>
      </c>
      <c r="Q329" s="2">
        <f>O329*(1+P329)</f>
        <v/>
      </c>
      <c r="R329" s="2">
        <f>G329*Q329</f>
        <v/>
      </c>
    </row>
    <row r="330">
      <c r="A330" t="n">
        <v>329</v>
      </c>
      <c r="B330" t="inlineStr">
        <is>
          <t>SW-DAMPER-329</t>
        </is>
      </c>
      <c r="C330" t="inlineStr">
        <is>
          <t>VAN GIÓ</t>
        </is>
      </c>
      <c r="D330" t="inlineStr">
        <is>
          <t>Van điều chỉnh lưu lượng VCD - Kích thước 650x300</t>
        </is>
      </c>
      <c r="E330" t="inlineStr">
        <is>
          <t>650x300</t>
        </is>
      </c>
      <c r="F330" t="inlineStr">
        <is>
          <t>Cái</t>
        </is>
      </c>
      <c r="G330" s="2" t="n">
        <v>1</v>
      </c>
      <c r="H330" s="2">
        <f>SUMIF('01_BOC_TACH_ONG'!B:B, B330, '01_BOC_TACH_ONG'!K:K)</f>
        <v/>
      </c>
      <c r="I330" s="2">
        <f>SUMIF('02_BOC_TACH_CUA'!B:B, B330, '02_BOC_TACH_CUA'!K:K)</f>
        <v/>
      </c>
      <c r="J330" s="2">
        <f>SUMIF('03_BOC_TACH_VAN'!B:B, B330, '03_BOC_TACH_VAN'!K:K)</f>
        <v/>
      </c>
      <c r="K330" s="2">
        <f>SUM(H330:J330)</f>
        <v/>
      </c>
      <c r="L330" s="2">
        <f>K330*0.25</f>
        <v/>
      </c>
      <c r="M330" s="2">
        <f>K330*0.10</f>
        <v/>
      </c>
      <c r="N330" s="2">
        <f>K330+L330+M330</f>
        <v/>
      </c>
      <c r="O330" s="2">
        <f>IF(G330&gt;0, N330/G330, 0)</f>
        <v/>
      </c>
      <c r="P330" s="3" t="n">
        <v>0.18</v>
      </c>
      <c r="Q330" s="2">
        <f>O330*(1+P330)</f>
        <v/>
      </c>
      <c r="R330" s="2">
        <f>G330*Q330</f>
        <v/>
      </c>
    </row>
    <row r="331">
      <c r="A331" t="n">
        <v>330</v>
      </c>
      <c r="B331" t="inlineStr">
        <is>
          <t>SW-DAMPER-330</t>
        </is>
      </c>
      <c r="C331" t="inlineStr">
        <is>
          <t>VAN GIÓ</t>
        </is>
      </c>
      <c r="D331" t="inlineStr">
        <is>
          <t>Van điều chỉnh lưu lượng VCD - Kích thước 650x350</t>
        </is>
      </c>
      <c r="E331" t="inlineStr">
        <is>
          <t>650x350</t>
        </is>
      </c>
      <c r="F331" t="inlineStr">
        <is>
          <t>Cái</t>
        </is>
      </c>
      <c r="G331" s="2" t="n">
        <v>1</v>
      </c>
      <c r="H331" s="2">
        <f>SUMIF('01_BOC_TACH_ONG'!B:B, B331, '01_BOC_TACH_ONG'!K:K)</f>
        <v/>
      </c>
      <c r="I331" s="2">
        <f>SUMIF('02_BOC_TACH_CUA'!B:B, B331, '02_BOC_TACH_CUA'!K:K)</f>
        <v/>
      </c>
      <c r="J331" s="2">
        <f>SUMIF('03_BOC_TACH_VAN'!B:B, B331, '03_BOC_TACH_VAN'!K:K)</f>
        <v/>
      </c>
      <c r="K331" s="2">
        <f>SUM(H331:J331)</f>
        <v/>
      </c>
      <c r="L331" s="2">
        <f>K331*0.25</f>
        <v/>
      </c>
      <c r="M331" s="2">
        <f>K331*0.10</f>
        <v/>
      </c>
      <c r="N331" s="2">
        <f>K331+L331+M331</f>
        <v/>
      </c>
      <c r="O331" s="2">
        <f>IF(G331&gt;0, N331/G331, 0)</f>
        <v/>
      </c>
      <c r="P331" s="3" t="n">
        <v>0.18</v>
      </c>
      <c r="Q331" s="2">
        <f>O331*(1+P331)</f>
        <v/>
      </c>
      <c r="R331" s="2">
        <f>G331*Q331</f>
        <v/>
      </c>
    </row>
    <row r="332">
      <c r="A332" t="n">
        <v>331</v>
      </c>
      <c r="B332" t="inlineStr">
        <is>
          <t>SW-DAMPER-331</t>
        </is>
      </c>
      <c r="C332" t="inlineStr">
        <is>
          <t>VAN GIÓ</t>
        </is>
      </c>
      <c r="D332" t="inlineStr">
        <is>
          <t>Van điều chỉnh lưu lượng VCD - Kích thước 800x600</t>
        </is>
      </c>
      <c r="E332" t="inlineStr">
        <is>
          <t>800x600</t>
        </is>
      </c>
      <c r="F332" t="inlineStr">
        <is>
          <t>Cái</t>
        </is>
      </c>
      <c r="G332" s="2" t="n">
        <v>1</v>
      </c>
      <c r="H332" s="2">
        <f>SUMIF('01_BOC_TACH_ONG'!B:B, B332, '01_BOC_TACH_ONG'!K:K)</f>
        <v/>
      </c>
      <c r="I332" s="2">
        <f>SUMIF('02_BOC_TACH_CUA'!B:B, B332, '02_BOC_TACH_CUA'!K:K)</f>
        <v/>
      </c>
      <c r="J332" s="2">
        <f>SUMIF('03_BOC_TACH_VAN'!B:B, B332, '03_BOC_TACH_VAN'!K:K)</f>
        <v/>
      </c>
      <c r="K332" s="2">
        <f>SUM(H332:J332)</f>
        <v/>
      </c>
      <c r="L332" s="2">
        <f>K332*0.25</f>
        <v/>
      </c>
      <c r="M332" s="2">
        <f>K332*0.10</f>
        <v/>
      </c>
      <c r="N332" s="2">
        <f>K332+L332+M332</f>
        <v/>
      </c>
      <c r="O332" s="2">
        <f>IF(G332&gt;0, N332/G332, 0)</f>
        <v/>
      </c>
      <c r="P332" s="3" t="n">
        <v>0.18</v>
      </c>
      <c r="Q332" s="2">
        <f>O332*(1+P332)</f>
        <v/>
      </c>
      <c r="R332" s="2">
        <f>G332*Q332</f>
        <v/>
      </c>
    </row>
    <row r="333">
      <c r="A333" t="n">
        <v>332</v>
      </c>
      <c r="B333" t="inlineStr">
        <is>
          <t>SW-DAMPER-332</t>
        </is>
      </c>
      <c r="C333" t="inlineStr">
        <is>
          <t>VAN GIÓ</t>
        </is>
      </c>
      <c r="D333" t="inlineStr">
        <is>
          <t>Van điều chỉnh lưu lượng VCD - Kích thước 900x300</t>
        </is>
      </c>
      <c r="E333" t="inlineStr">
        <is>
          <t>900x300</t>
        </is>
      </c>
      <c r="F333" t="inlineStr">
        <is>
          <t>Cái</t>
        </is>
      </c>
      <c r="G333" s="2" t="n">
        <v>1</v>
      </c>
      <c r="H333" s="2">
        <f>SUMIF('01_BOC_TACH_ONG'!B:B, B333, '01_BOC_TACH_ONG'!K:K)</f>
        <v/>
      </c>
      <c r="I333" s="2">
        <f>SUMIF('02_BOC_TACH_CUA'!B:B, B333, '02_BOC_TACH_CUA'!K:K)</f>
        <v/>
      </c>
      <c r="J333" s="2">
        <f>SUMIF('03_BOC_TACH_VAN'!B:B, B333, '03_BOC_TACH_VAN'!K:K)</f>
        <v/>
      </c>
      <c r="K333" s="2">
        <f>SUM(H333:J333)</f>
        <v/>
      </c>
      <c r="L333" s="2">
        <f>K333*0.25</f>
        <v/>
      </c>
      <c r="M333" s="2">
        <f>K333*0.10</f>
        <v/>
      </c>
      <c r="N333" s="2">
        <f>K333+L333+M333</f>
        <v/>
      </c>
      <c r="O333" s="2">
        <f>IF(G333&gt;0, N333/G333, 0)</f>
        <v/>
      </c>
      <c r="P333" s="3" t="n">
        <v>0.18</v>
      </c>
      <c r="Q333" s="2">
        <f>O333*(1+P333)</f>
        <v/>
      </c>
      <c r="R333" s="2">
        <f>G333*Q333</f>
        <v/>
      </c>
    </row>
    <row r="334">
      <c r="A334" t="n">
        <v>333</v>
      </c>
      <c r="B334" t="inlineStr">
        <is>
          <t>SW-DAMPER-333</t>
        </is>
      </c>
      <c r="C334" t="inlineStr">
        <is>
          <t>VAN GIÓ</t>
        </is>
      </c>
      <c r="D334" t="inlineStr">
        <is>
          <t>Van điều chỉnh lưu lượng VCD - Kích thước 900x500</t>
        </is>
      </c>
      <c r="E334" t="inlineStr">
        <is>
          <t>900x500</t>
        </is>
      </c>
      <c r="F334" t="inlineStr">
        <is>
          <t>Cái</t>
        </is>
      </c>
      <c r="G334" s="2" t="n">
        <v>1</v>
      </c>
      <c r="H334" s="2">
        <f>SUMIF('01_BOC_TACH_ONG'!B:B, B334, '01_BOC_TACH_ONG'!K:K)</f>
        <v/>
      </c>
      <c r="I334" s="2">
        <f>SUMIF('02_BOC_TACH_CUA'!B:B, B334, '02_BOC_TACH_CUA'!K:K)</f>
        <v/>
      </c>
      <c r="J334" s="2">
        <f>SUMIF('03_BOC_TACH_VAN'!B:B, B334, '03_BOC_TACH_VAN'!K:K)</f>
        <v/>
      </c>
      <c r="K334" s="2">
        <f>SUM(H334:J334)</f>
        <v/>
      </c>
      <c r="L334" s="2">
        <f>K334*0.25</f>
        <v/>
      </c>
      <c r="M334" s="2">
        <f>K334*0.10</f>
        <v/>
      </c>
      <c r="N334" s="2">
        <f>K334+L334+M334</f>
        <v/>
      </c>
      <c r="O334" s="2">
        <f>IF(G334&gt;0, N334/G334, 0)</f>
        <v/>
      </c>
      <c r="P334" s="3" t="n">
        <v>0.18</v>
      </c>
      <c r="Q334" s="2">
        <f>O334*(1+P334)</f>
        <v/>
      </c>
      <c r="R334" s="2">
        <f>G334*Q334</f>
        <v/>
      </c>
    </row>
    <row r="335">
      <c r="A335" t="n">
        <v>334</v>
      </c>
      <c r="B335" t="inlineStr">
        <is>
          <t>SW-DAMPER-334</t>
        </is>
      </c>
      <c r="C335" t="inlineStr">
        <is>
          <t>VAN GIÓ</t>
        </is>
      </c>
      <c r="D335" t="inlineStr">
        <is>
          <t>Van điều chỉnh lưu lượng VCD - Kích thước 900x900</t>
        </is>
      </c>
      <c r="E335" t="inlineStr">
        <is>
          <t>900x900</t>
        </is>
      </c>
      <c r="F335" t="inlineStr">
        <is>
          <t>Cái</t>
        </is>
      </c>
      <c r="G335" s="2" t="n">
        <v>1</v>
      </c>
      <c r="H335" s="2">
        <f>SUMIF('01_BOC_TACH_ONG'!B:B, B335, '01_BOC_TACH_ONG'!K:K)</f>
        <v/>
      </c>
      <c r="I335" s="2">
        <f>SUMIF('02_BOC_TACH_CUA'!B:B, B335, '02_BOC_TACH_CUA'!K:K)</f>
        <v/>
      </c>
      <c r="J335" s="2">
        <f>SUMIF('03_BOC_TACH_VAN'!B:B, B335, '03_BOC_TACH_VAN'!K:K)</f>
        <v/>
      </c>
      <c r="K335" s="2">
        <f>SUM(H335:J335)</f>
        <v/>
      </c>
      <c r="L335" s="2">
        <f>K335*0.25</f>
        <v/>
      </c>
      <c r="M335" s="2">
        <f>K335*0.10</f>
        <v/>
      </c>
      <c r="N335" s="2">
        <f>K335+L335+M335</f>
        <v/>
      </c>
      <c r="O335" s="2">
        <f>IF(G335&gt;0, N335/G335, 0)</f>
        <v/>
      </c>
      <c r="P335" s="3" t="n">
        <v>0.18</v>
      </c>
      <c r="Q335" s="2">
        <f>O335*(1+P335)</f>
        <v/>
      </c>
      <c r="R335" s="2">
        <f>G335*Q335</f>
        <v/>
      </c>
    </row>
    <row r="336">
      <c r="A336" t="n">
        <v>335</v>
      </c>
      <c r="B336" t="inlineStr">
        <is>
          <t>SW-DAMPER-335</t>
        </is>
      </c>
      <c r="C336" t="inlineStr">
        <is>
          <t>VAN GIÓ</t>
        </is>
      </c>
      <c r="D336" t="inlineStr">
        <is>
          <t>Van điều chỉnh lưu lượng VCD - Kích thước 950x500</t>
        </is>
      </c>
      <c r="E336" t="inlineStr">
        <is>
          <t>950x500</t>
        </is>
      </c>
      <c r="F336" t="inlineStr">
        <is>
          <t>Cái</t>
        </is>
      </c>
      <c r="G336" s="2" t="n">
        <v>1</v>
      </c>
      <c r="H336" s="2">
        <f>SUMIF('01_BOC_TACH_ONG'!B:B, B336, '01_BOC_TACH_ONG'!K:K)</f>
        <v/>
      </c>
      <c r="I336" s="2">
        <f>SUMIF('02_BOC_TACH_CUA'!B:B, B336, '02_BOC_TACH_CUA'!K:K)</f>
        <v/>
      </c>
      <c r="J336" s="2">
        <f>SUMIF('03_BOC_TACH_VAN'!B:B, B336, '03_BOC_TACH_VAN'!K:K)</f>
        <v/>
      </c>
      <c r="K336" s="2">
        <f>SUM(H336:J336)</f>
        <v/>
      </c>
      <c r="L336" s="2">
        <f>K336*0.25</f>
        <v/>
      </c>
      <c r="M336" s="2">
        <f>K336*0.10</f>
        <v/>
      </c>
      <c r="N336" s="2">
        <f>K336+L336+M336</f>
        <v/>
      </c>
      <c r="O336" s="2">
        <f>IF(G336&gt;0, N336/G336, 0)</f>
        <v/>
      </c>
      <c r="P336" s="3" t="n">
        <v>0.18</v>
      </c>
      <c r="Q336" s="2">
        <f>O336*(1+P336)</f>
        <v/>
      </c>
      <c r="R336" s="2">
        <f>G336*Q336</f>
        <v/>
      </c>
    </row>
    <row r="337">
      <c r="A337" t="n">
        <v>336</v>
      </c>
      <c r="B337" t="inlineStr">
        <is>
          <t>SW-DAMPER-336</t>
        </is>
      </c>
      <c r="C337" t="inlineStr">
        <is>
          <t>VAN GIÓ</t>
        </is>
      </c>
      <c r="D337" t="inlineStr">
        <is>
          <t>Van điều chỉnh lưu lượng VCD - Kích thước 1000x1000</t>
        </is>
      </c>
      <c r="E337" t="inlineStr">
        <is>
          <t>1000x1000</t>
        </is>
      </c>
      <c r="F337" t="inlineStr">
        <is>
          <t>Cái</t>
        </is>
      </c>
      <c r="G337" s="2" t="n">
        <v>1</v>
      </c>
      <c r="H337" s="2">
        <f>SUMIF('01_BOC_TACH_ONG'!B:B, B337, '01_BOC_TACH_ONG'!K:K)</f>
        <v/>
      </c>
      <c r="I337" s="2">
        <f>SUMIF('02_BOC_TACH_CUA'!B:B, B337, '02_BOC_TACH_CUA'!K:K)</f>
        <v/>
      </c>
      <c r="J337" s="2">
        <f>SUMIF('03_BOC_TACH_VAN'!B:B, B337, '03_BOC_TACH_VAN'!K:K)</f>
        <v/>
      </c>
      <c r="K337" s="2">
        <f>SUM(H337:J337)</f>
        <v/>
      </c>
      <c r="L337" s="2">
        <f>K337*0.25</f>
        <v/>
      </c>
      <c r="M337" s="2">
        <f>K337*0.10</f>
        <v/>
      </c>
      <c r="N337" s="2">
        <f>K337+L337+M337</f>
        <v/>
      </c>
      <c r="O337" s="2">
        <f>IF(G337&gt;0, N337/G337, 0)</f>
        <v/>
      </c>
      <c r="P337" s="3" t="n">
        <v>0.18</v>
      </c>
      <c r="Q337" s="2">
        <f>O337*(1+P337)</f>
        <v/>
      </c>
      <c r="R337" s="2">
        <f>G337*Q337</f>
        <v/>
      </c>
    </row>
    <row r="338">
      <c r="A338" t="n">
        <v>337</v>
      </c>
      <c r="B338" t="inlineStr">
        <is>
          <t>SW-DAMPER-337</t>
        </is>
      </c>
      <c r="C338" t="inlineStr">
        <is>
          <t>VAN GIÓ</t>
        </is>
      </c>
      <c r="D338" t="inlineStr">
        <is>
          <t>Van chặn lửa FD EI45 - Kích thước 100x100</t>
        </is>
      </c>
      <c r="E338" t="inlineStr">
        <is>
          <t>150x150</t>
        </is>
      </c>
      <c r="F338" t="inlineStr">
        <is>
          <t>Cái</t>
        </is>
      </c>
      <c r="G338" s="2" t="n">
        <v>93</v>
      </c>
      <c r="H338" s="2">
        <f>SUMIF('01_BOC_TACH_ONG'!B:B, B338, '01_BOC_TACH_ONG'!K:K)</f>
        <v/>
      </c>
      <c r="I338" s="2">
        <f>SUMIF('02_BOC_TACH_CUA'!B:B, B338, '02_BOC_TACH_CUA'!K:K)</f>
        <v/>
      </c>
      <c r="J338" s="2">
        <f>SUMIF('03_BOC_TACH_VAN'!B:B, B338, '03_BOC_TACH_VAN'!K:K)</f>
        <v/>
      </c>
      <c r="K338" s="2">
        <f>SUM(H338:J338)</f>
        <v/>
      </c>
      <c r="L338" s="2">
        <f>K338*0.25</f>
        <v/>
      </c>
      <c r="M338" s="2">
        <f>K338*0.10</f>
        <v/>
      </c>
      <c r="N338" s="2">
        <f>K338+L338+M338</f>
        <v/>
      </c>
      <c r="O338" s="2">
        <f>IF(G338&gt;0, N338/G338, 0)</f>
        <v/>
      </c>
      <c r="P338" s="3" t="n">
        <v>0.18</v>
      </c>
      <c r="Q338" s="2">
        <f>O338*(1+P338)</f>
        <v/>
      </c>
      <c r="R338" s="2">
        <f>G338*Q338</f>
        <v/>
      </c>
    </row>
    <row r="339">
      <c r="A339" t="n">
        <v>338</v>
      </c>
      <c r="B339" t="inlineStr">
        <is>
          <t>SW-DAMPER-338</t>
        </is>
      </c>
      <c r="C339" t="inlineStr">
        <is>
          <t>VAN GIÓ</t>
        </is>
      </c>
      <c r="D339" t="inlineStr">
        <is>
          <t>Van chặn lửa FD EI45 - Kích thước 150x100</t>
        </is>
      </c>
      <c r="E339" t="inlineStr">
        <is>
          <t>150x150</t>
        </is>
      </c>
      <c r="F339" t="inlineStr">
        <is>
          <t>Cái</t>
        </is>
      </c>
      <c r="G339" s="2" t="n">
        <v>52</v>
      </c>
      <c r="H339" s="2">
        <f>SUMIF('01_BOC_TACH_ONG'!B:B, B339, '01_BOC_TACH_ONG'!K:K)</f>
        <v/>
      </c>
      <c r="I339" s="2">
        <f>SUMIF('02_BOC_TACH_CUA'!B:B, B339, '02_BOC_TACH_CUA'!K:K)</f>
        <v/>
      </c>
      <c r="J339" s="2">
        <f>SUMIF('03_BOC_TACH_VAN'!B:B, B339, '03_BOC_TACH_VAN'!K:K)</f>
        <v/>
      </c>
      <c r="K339" s="2">
        <f>SUM(H339:J339)</f>
        <v/>
      </c>
      <c r="L339" s="2">
        <f>K339*0.25</f>
        <v/>
      </c>
      <c r="M339" s="2">
        <f>K339*0.10</f>
        <v/>
      </c>
      <c r="N339" s="2">
        <f>K339+L339+M339</f>
        <v/>
      </c>
      <c r="O339" s="2">
        <f>IF(G339&gt;0, N339/G339, 0)</f>
        <v/>
      </c>
      <c r="P339" s="3" t="n">
        <v>0.18</v>
      </c>
      <c r="Q339" s="2">
        <f>O339*(1+P339)</f>
        <v/>
      </c>
      <c r="R339" s="2">
        <f>G339*Q339</f>
        <v/>
      </c>
    </row>
    <row r="340">
      <c r="A340" t="n">
        <v>339</v>
      </c>
      <c r="B340" t="inlineStr">
        <is>
          <t>SW-DAMPER-339</t>
        </is>
      </c>
      <c r="C340" t="inlineStr">
        <is>
          <t>VAN GIÓ</t>
        </is>
      </c>
      <c r="D340" t="inlineStr">
        <is>
          <t>Van chặn lửa FD EI45 - Kích thước 150x150</t>
        </is>
      </c>
      <c r="E340" t="inlineStr">
        <is>
          <t>150x150</t>
        </is>
      </c>
      <c r="F340" t="inlineStr">
        <is>
          <t>Cái</t>
        </is>
      </c>
      <c r="G340" s="2" t="n">
        <v>24</v>
      </c>
      <c r="H340" s="2">
        <f>SUMIF('01_BOC_TACH_ONG'!B:B, B340, '01_BOC_TACH_ONG'!K:K)</f>
        <v/>
      </c>
      <c r="I340" s="2">
        <f>SUMIF('02_BOC_TACH_CUA'!B:B, B340, '02_BOC_TACH_CUA'!K:K)</f>
        <v/>
      </c>
      <c r="J340" s="2">
        <f>SUMIF('03_BOC_TACH_VAN'!B:B, B340, '03_BOC_TACH_VAN'!K:K)</f>
        <v/>
      </c>
      <c r="K340" s="2">
        <f>SUM(H340:J340)</f>
        <v/>
      </c>
      <c r="L340" s="2">
        <f>K340*0.25</f>
        <v/>
      </c>
      <c r="M340" s="2">
        <f>K340*0.10</f>
        <v/>
      </c>
      <c r="N340" s="2">
        <f>K340+L340+M340</f>
        <v/>
      </c>
      <c r="O340" s="2">
        <f>IF(G340&gt;0, N340/G340, 0)</f>
        <v/>
      </c>
      <c r="P340" s="3" t="n">
        <v>0.18</v>
      </c>
      <c r="Q340" s="2">
        <f>O340*(1+P340)</f>
        <v/>
      </c>
      <c r="R340" s="2">
        <f>G340*Q340</f>
        <v/>
      </c>
    </row>
    <row r="341">
      <c r="A341" t="n">
        <v>340</v>
      </c>
      <c r="B341" t="inlineStr">
        <is>
          <t>SW-DAMPER-340</t>
        </is>
      </c>
      <c r="C341" t="inlineStr">
        <is>
          <t>VAN GIÓ</t>
        </is>
      </c>
      <c r="D341" t="inlineStr">
        <is>
          <t>Van chặn lửa FD EI45 - Kích thước 300x250</t>
        </is>
      </c>
      <c r="E341" t="inlineStr">
        <is>
          <t>300x250</t>
        </is>
      </c>
      <c r="F341" t="inlineStr">
        <is>
          <t>Cái</t>
        </is>
      </c>
      <c r="G341" s="2" t="n">
        <v>2</v>
      </c>
      <c r="H341" s="2">
        <f>SUMIF('01_BOC_TACH_ONG'!B:B, B341, '01_BOC_TACH_ONG'!K:K)</f>
        <v/>
      </c>
      <c r="I341" s="2">
        <f>SUMIF('02_BOC_TACH_CUA'!B:B, B341, '02_BOC_TACH_CUA'!K:K)</f>
        <v/>
      </c>
      <c r="J341" s="2">
        <f>SUMIF('03_BOC_TACH_VAN'!B:B, B341, '03_BOC_TACH_VAN'!K:K)</f>
        <v/>
      </c>
      <c r="K341" s="2">
        <f>SUM(H341:J341)</f>
        <v/>
      </c>
      <c r="L341" s="2">
        <f>K341*0.25</f>
        <v/>
      </c>
      <c r="M341" s="2">
        <f>K341*0.10</f>
        <v/>
      </c>
      <c r="N341" s="2">
        <f>K341+L341+M341</f>
        <v/>
      </c>
      <c r="O341" s="2">
        <f>IF(G341&gt;0, N341/G341, 0)</f>
        <v/>
      </c>
      <c r="P341" s="3" t="n">
        <v>0.18</v>
      </c>
      <c r="Q341" s="2">
        <f>O341*(1+P341)</f>
        <v/>
      </c>
      <c r="R341" s="2">
        <f>G341*Q341</f>
        <v/>
      </c>
    </row>
    <row r="342">
      <c r="A342" t="n">
        <v>341</v>
      </c>
      <c r="B342" t="inlineStr">
        <is>
          <t>SW-DAMPER-341</t>
        </is>
      </c>
      <c r="C342" t="inlineStr">
        <is>
          <t>VAN GIÓ</t>
        </is>
      </c>
      <c r="D342" t="inlineStr">
        <is>
          <t>Van chặn lửa FD EI45 - Kích thước 300x300</t>
        </is>
      </c>
      <c r="E342" t="inlineStr">
        <is>
          <t>300x300</t>
        </is>
      </c>
      <c r="F342" t="inlineStr">
        <is>
          <t>Cái</t>
        </is>
      </c>
      <c r="G342" s="2" t="n">
        <v>3</v>
      </c>
      <c r="H342" s="2">
        <f>SUMIF('01_BOC_TACH_ONG'!B:B, B342, '01_BOC_TACH_ONG'!K:K)</f>
        <v/>
      </c>
      <c r="I342" s="2">
        <f>SUMIF('02_BOC_TACH_CUA'!B:B, B342, '02_BOC_TACH_CUA'!K:K)</f>
        <v/>
      </c>
      <c r="J342" s="2">
        <f>SUMIF('03_BOC_TACH_VAN'!B:B, B342, '03_BOC_TACH_VAN'!K:K)</f>
        <v/>
      </c>
      <c r="K342" s="2">
        <f>SUM(H342:J342)</f>
        <v/>
      </c>
      <c r="L342" s="2">
        <f>K342*0.25</f>
        <v/>
      </c>
      <c r="M342" s="2">
        <f>K342*0.10</f>
        <v/>
      </c>
      <c r="N342" s="2">
        <f>K342+L342+M342</f>
        <v/>
      </c>
      <c r="O342" s="2">
        <f>IF(G342&gt;0, N342/G342, 0)</f>
        <v/>
      </c>
      <c r="P342" s="3" t="n">
        <v>0.18</v>
      </c>
      <c r="Q342" s="2">
        <f>O342*(1+P342)</f>
        <v/>
      </c>
      <c r="R342" s="2">
        <f>G342*Q342</f>
        <v/>
      </c>
    </row>
    <row r="343">
      <c r="A343" t="n">
        <v>342</v>
      </c>
      <c r="B343" t="inlineStr">
        <is>
          <t>SW-DAMPER-342</t>
        </is>
      </c>
      <c r="C343" t="inlineStr">
        <is>
          <t>VAN GIÓ</t>
        </is>
      </c>
      <c r="D343" t="inlineStr">
        <is>
          <t>Van chặn lửa FD EI45 - Kích thước 350x250</t>
        </is>
      </c>
      <c r="E343" t="inlineStr">
        <is>
          <t>350x250</t>
        </is>
      </c>
      <c r="F343" t="inlineStr">
        <is>
          <t>Cái</t>
        </is>
      </c>
      <c r="G343" s="2" t="n">
        <v>3</v>
      </c>
      <c r="H343" s="2">
        <f>SUMIF('01_BOC_TACH_ONG'!B:B, B343, '01_BOC_TACH_ONG'!K:K)</f>
        <v/>
      </c>
      <c r="I343" s="2">
        <f>SUMIF('02_BOC_TACH_CUA'!B:B, B343, '02_BOC_TACH_CUA'!K:K)</f>
        <v/>
      </c>
      <c r="J343" s="2">
        <f>SUMIF('03_BOC_TACH_VAN'!B:B, B343, '03_BOC_TACH_VAN'!K:K)</f>
        <v/>
      </c>
      <c r="K343" s="2">
        <f>SUM(H343:J343)</f>
        <v/>
      </c>
      <c r="L343" s="2">
        <f>K343*0.25</f>
        <v/>
      </c>
      <c r="M343" s="2">
        <f>K343*0.10</f>
        <v/>
      </c>
      <c r="N343" s="2">
        <f>K343+L343+M343</f>
        <v/>
      </c>
      <c r="O343" s="2">
        <f>IF(G343&gt;0, N343/G343, 0)</f>
        <v/>
      </c>
      <c r="P343" s="3" t="n">
        <v>0.18</v>
      </c>
      <c r="Q343" s="2">
        <f>O343*(1+P343)</f>
        <v/>
      </c>
      <c r="R343" s="2">
        <f>G343*Q343</f>
        <v/>
      </c>
    </row>
    <row r="344">
      <c r="A344" t="n">
        <v>343</v>
      </c>
      <c r="B344" t="inlineStr">
        <is>
          <t>SW-DAMPER-343</t>
        </is>
      </c>
      <c r="C344" t="inlineStr">
        <is>
          <t>VAN GIÓ</t>
        </is>
      </c>
      <c r="D344" t="inlineStr">
        <is>
          <t>Van chặn lửa FD EI45 - Kích thước 400x200</t>
        </is>
      </c>
      <c r="E344" t="inlineStr">
        <is>
          <t>400x200</t>
        </is>
      </c>
      <c r="F344" t="inlineStr">
        <is>
          <t>Cái</t>
        </is>
      </c>
      <c r="G344" s="2" t="n">
        <v>2</v>
      </c>
      <c r="H344" s="2">
        <f>SUMIF('01_BOC_TACH_ONG'!B:B, B344, '01_BOC_TACH_ONG'!K:K)</f>
        <v/>
      </c>
      <c r="I344" s="2">
        <f>SUMIF('02_BOC_TACH_CUA'!B:B, B344, '02_BOC_TACH_CUA'!K:K)</f>
        <v/>
      </c>
      <c r="J344" s="2">
        <f>SUMIF('03_BOC_TACH_VAN'!B:B, B344, '03_BOC_TACH_VAN'!K:K)</f>
        <v/>
      </c>
      <c r="K344" s="2">
        <f>SUM(H344:J344)</f>
        <v/>
      </c>
      <c r="L344" s="2">
        <f>K344*0.25</f>
        <v/>
      </c>
      <c r="M344" s="2">
        <f>K344*0.10</f>
        <v/>
      </c>
      <c r="N344" s="2">
        <f>K344+L344+M344</f>
        <v/>
      </c>
      <c r="O344" s="2">
        <f>IF(G344&gt;0, N344/G344, 0)</f>
        <v/>
      </c>
      <c r="P344" s="3" t="n">
        <v>0.18</v>
      </c>
      <c r="Q344" s="2">
        <f>O344*(1+P344)</f>
        <v/>
      </c>
      <c r="R344" s="2">
        <f>G344*Q344</f>
        <v/>
      </c>
    </row>
    <row r="345">
      <c r="A345" t="n">
        <v>344</v>
      </c>
      <c r="B345" t="inlineStr">
        <is>
          <t>SW-DAMPER-344</t>
        </is>
      </c>
      <c r="C345" t="inlineStr">
        <is>
          <t>VAN GIÓ</t>
        </is>
      </c>
      <c r="D345" t="inlineStr">
        <is>
          <t>Van chặn lửa FD EI45 - Kích thước 400x300</t>
        </is>
      </c>
      <c r="E345" t="inlineStr">
        <is>
          <t>400x300</t>
        </is>
      </c>
      <c r="F345" t="inlineStr">
        <is>
          <t>Cái</t>
        </is>
      </c>
      <c r="G345" s="2" t="n">
        <v>3</v>
      </c>
      <c r="H345" s="2">
        <f>SUMIF('01_BOC_TACH_ONG'!B:B, B345, '01_BOC_TACH_ONG'!K:K)</f>
        <v/>
      </c>
      <c r="I345" s="2">
        <f>SUMIF('02_BOC_TACH_CUA'!B:B, B345, '02_BOC_TACH_CUA'!K:K)</f>
        <v/>
      </c>
      <c r="J345" s="2">
        <f>SUMIF('03_BOC_TACH_VAN'!B:B, B345, '03_BOC_TACH_VAN'!K:K)</f>
        <v/>
      </c>
      <c r="K345" s="2">
        <f>SUM(H345:J345)</f>
        <v/>
      </c>
      <c r="L345" s="2">
        <f>K345*0.25</f>
        <v/>
      </c>
      <c r="M345" s="2">
        <f>K345*0.10</f>
        <v/>
      </c>
      <c r="N345" s="2">
        <f>K345+L345+M345</f>
        <v/>
      </c>
      <c r="O345" s="2">
        <f>IF(G345&gt;0, N345/G345, 0)</f>
        <v/>
      </c>
      <c r="P345" s="3" t="n">
        <v>0.18</v>
      </c>
      <c r="Q345" s="2">
        <f>O345*(1+P345)</f>
        <v/>
      </c>
      <c r="R345" s="2">
        <f>G345*Q345</f>
        <v/>
      </c>
    </row>
    <row r="346">
      <c r="A346" t="n">
        <v>345</v>
      </c>
      <c r="B346" t="inlineStr">
        <is>
          <t>SW-DAMPER-345</t>
        </is>
      </c>
      <c r="C346" t="inlineStr">
        <is>
          <t>VAN GIÓ</t>
        </is>
      </c>
      <c r="D346" t="inlineStr">
        <is>
          <t>Van chặn lửa FD EI45 - Kích thước 400x350</t>
        </is>
      </c>
      <c r="E346" t="inlineStr">
        <is>
          <t>400x350</t>
        </is>
      </c>
      <c r="F346" t="inlineStr">
        <is>
          <t>Cái</t>
        </is>
      </c>
      <c r="G346" s="2" t="n">
        <v>1</v>
      </c>
      <c r="H346" s="2">
        <f>SUMIF('01_BOC_TACH_ONG'!B:B, B346, '01_BOC_TACH_ONG'!K:K)</f>
        <v/>
      </c>
      <c r="I346" s="2">
        <f>SUMIF('02_BOC_TACH_CUA'!B:B, B346, '02_BOC_TACH_CUA'!K:K)</f>
        <v/>
      </c>
      <c r="J346" s="2">
        <f>SUMIF('03_BOC_TACH_VAN'!B:B, B346, '03_BOC_TACH_VAN'!K:K)</f>
        <v/>
      </c>
      <c r="K346" s="2">
        <f>SUM(H346:J346)</f>
        <v/>
      </c>
      <c r="L346" s="2">
        <f>K346*0.25</f>
        <v/>
      </c>
      <c r="M346" s="2">
        <f>K346*0.10</f>
        <v/>
      </c>
      <c r="N346" s="2">
        <f>K346+L346+M346</f>
        <v/>
      </c>
      <c r="O346" s="2">
        <f>IF(G346&gt;0, N346/G346, 0)</f>
        <v/>
      </c>
      <c r="P346" s="3" t="n">
        <v>0.18</v>
      </c>
      <c r="Q346" s="2">
        <f>O346*(1+P346)</f>
        <v/>
      </c>
      <c r="R346" s="2">
        <f>G346*Q346</f>
        <v/>
      </c>
    </row>
    <row r="347">
      <c r="A347" t="n">
        <v>346</v>
      </c>
      <c r="B347" t="inlineStr">
        <is>
          <t>SW-DAMPER-346</t>
        </is>
      </c>
      <c r="C347" t="inlineStr">
        <is>
          <t>VAN GIÓ</t>
        </is>
      </c>
      <c r="D347" t="inlineStr">
        <is>
          <t>Van chặn lửa FD EI45 - Kích thước 450x250</t>
        </is>
      </c>
      <c r="E347" t="inlineStr">
        <is>
          <t>450x250</t>
        </is>
      </c>
      <c r="F347" t="inlineStr">
        <is>
          <t>Cái</t>
        </is>
      </c>
      <c r="G347" s="2" t="n">
        <v>4</v>
      </c>
      <c r="H347" s="2">
        <f>SUMIF('01_BOC_TACH_ONG'!B:B, B347, '01_BOC_TACH_ONG'!K:K)</f>
        <v/>
      </c>
      <c r="I347" s="2">
        <f>SUMIF('02_BOC_TACH_CUA'!B:B, B347, '02_BOC_TACH_CUA'!K:K)</f>
        <v/>
      </c>
      <c r="J347" s="2">
        <f>SUMIF('03_BOC_TACH_VAN'!B:B, B347, '03_BOC_TACH_VAN'!K:K)</f>
        <v/>
      </c>
      <c r="K347" s="2">
        <f>SUM(H347:J347)</f>
        <v/>
      </c>
      <c r="L347" s="2">
        <f>K347*0.25</f>
        <v/>
      </c>
      <c r="M347" s="2">
        <f>K347*0.10</f>
        <v/>
      </c>
      <c r="N347" s="2">
        <f>K347+L347+M347</f>
        <v/>
      </c>
      <c r="O347" s="2">
        <f>IF(G347&gt;0, N347/G347, 0)</f>
        <v/>
      </c>
      <c r="P347" s="3" t="n">
        <v>0.18</v>
      </c>
      <c r="Q347" s="2">
        <f>O347*(1+P347)</f>
        <v/>
      </c>
      <c r="R347" s="2">
        <f>G347*Q347</f>
        <v/>
      </c>
    </row>
    <row r="348">
      <c r="A348" t="n">
        <v>347</v>
      </c>
      <c r="B348" t="inlineStr">
        <is>
          <t>SW-DAMPER-347</t>
        </is>
      </c>
      <c r="C348" t="inlineStr">
        <is>
          <t>VAN GIÓ</t>
        </is>
      </c>
      <c r="D348" t="inlineStr">
        <is>
          <t>Van chặn lửa FD EI45 - Kích thước 550x250</t>
        </is>
      </c>
      <c r="E348" t="inlineStr">
        <is>
          <t>550x250</t>
        </is>
      </c>
      <c r="F348" t="inlineStr">
        <is>
          <t>Cái</t>
        </is>
      </c>
      <c r="G348" s="2" t="n">
        <v>3</v>
      </c>
      <c r="H348" s="2">
        <f>SUMIF('01_BOC_TACH_ONG'!B:B, B348, '01_BOC_TACH_ONG'!K:K)</f>
        <v/>
      </c>
      <c r="I348" s="2">
        <f>SUMIF('02_BOC_TACH_CUA'!B:B, B348, '02_BOC_TACH_CUA'!K:K)</f>
        <v/>
      </c>
      <c r="J348" s="2">
        <f>SUMIF('03_BOC_TACH_VAN'!B:B, B348, '03_BOC_TACH_VAN'!K:K)</f>
        <v/>
      </c>
      <c r="K348" s="2">
        <f>SUM(H348:J348)</f>
        <v/>
      </c>
      <c r="L348" s="2">
        <f>K348*0.25</f>
        <v/>
      </c>
      <c r="M348" s="2">
        <f>K348*0.10</f>
        <v/>
      </c>
      <c r="N348" s="2">
        <f>K348+L348+M348</f>
        <v/>
      </c>
      <c r="O348" s="2">
        <f>IF(G348&gt;0, N348/G348, 0)</f>
        <v/>
      </c>
      <c r="P348" s="3" t="n">
        <v>0.18</v>
      </c>
      <c r="Q348" s="2">
        <f>O348*(1+P348)</f>
        <v/>
      </c>
      <c r="R348" s="2">
        <f>G348*Q348</f>
        <v/>
      </c>
    </row>
    <row r="349">
      <c r="A349" t="n">
        <v>348</v>
      </c>
      <c r="B349" t="inlineStr">
        <is>
          <t>SW-DAMPER-348</t>
        </is>
      </c>
      <c r="C349" t="inlineStr">
        <is>
          <t>VAN GIÓ</t>
        </is>
      </c>
      <c r="D349" t="inlineStr">
        <is>
          <t>Van chặn lửa FD EI45 - Kích thước 550x350</t>
        </is>
      </c>
      <c r="E349" t="inlineStr">
        <is>
          <t>550x350</t>
        </is>
      </c>
      <c r="F349" t="inlineStr">
        <is>
          <t>Cái</t>
        </is>
      </c>
      <c r="G349" s="2" t="n">
        <v>1</v>
      </c>
      <c r="H349" s="2">
        <f>SUMIF('01_BOC_TACH_ONG'!B:B, B349, '01_BOC_TACH_ONG'!K:K)</f>
        <v/>
      </c>
      <c r="I349" s="2">
        <f>SUMIF('02_BOC_TACH_CUA'!B:B, B349, '02_BOC_TACH_CUA'!K:K)</f>
        <v/>
      </c>
      <c r="J349" s="2">
        <f>SUMIF('03_BOC_TACH_VAN'!B:B, B349, '03_BOC_TACH_VAN'!K:K)</f>
        <v/>
      </c>
      <c r="K349" s="2">
        <f>SUM(H349:J349)</f>
        <v/>
      </c>
      <c r="L349" s="2">
        <f>K349*0.25</f>
        <v/>
      </c>
      <c r="M349" s="2">
        <f>K349*0.10</f>
        <v/>
      </c>
      <c r="N349" s="2">
        <f>K349+L349+M349</f>
        <v/>
      </c>
      <c r="O349" s="2">
        <f>IF(G349&gt;0, N349/G349, 0)</f>
        <v/>
      </c>
      <c r="P349" s="3" t="n">
        <v>0.18</v>
      </c>
      <c r="Q349" s="2">
        <f>O349*(1+P349)</f>
        <v/>
      </c>
      <c r="R349" s="2">
        <f>G349*Q349</f>
        <v/>
      </c>
    </row>
    <row r="350">
      <c r="A350" t="n">
        <v>349</v>
      </c>
      <c r="B350" t="inlineStr">
        <is>
          <t>SW-DAMPER-349</t>
        </is>
      </c>
      <c r="C350" t="inlineStr">
        <is>
          <t>VAN GIÓ</t>
        </is>
      </c>
      <c r="D350" t="inlineStr">
        <is>
          <t>Van chặn lửa FD EI45 - Kích thước 600x300</t>
        </is>
      </c>
      <c r="E350" t="inlineStr">
        <is>
          <t>600x300</t>
        </is>
      </c>
      <c r="F350" t="inlineStr">
        <is>
          <t>Cái</t>
        </is>
      </c>
      <c r="G350" s="2" t="n">
        <v>7</v>
      </c>
      <c r="H350" s="2">
        <f>SUMIF('01_BOC_TACH_ONG'!B:B, B350, '01_BOC_TACH_ONG'!K:K)</f>
        <v/>
      </c>
      <c r="I350" s="2">
        <f>SUMIF('02_BOC_TACH_CUA'!B:B, B350, '02_BOC_TACH_CUA'!K:K)</f>
        <v/>
      </c>
      <c r="J350" s="2">
        <f>SUMIF('03_BOC_TACH_VAN'!B:B, B350, '03_BOC_TACH_VAN'!K:K)</f>
        <v/>
      </c>
      <c r="K350" s="2">
        <f>SUM(H350:J350)</f>
        <v/>
      </c>
      <c r="L350" s="2">
        <f>K350*0.25</f>
        <v/>
      </c>
      <c r="M350" s="2">
        <f>K350*0.10</f>
        <v/>
      </c>
      <c r="N350" s="2">
        <f>K350+L350+M350</f>
        <v/>
      </c>
      <c r="O350" s="2">
        <f>IF(G350&gt;0, N350/G350, 0)</f>
        <v/>
      </c>
      <c r="P350" s="3" t="n">
        <v>0.18</v>
      </c>
      <c r="Q350" s="2">
        <f>O350*(1+P350)</f>
        <v/>
      </c>
      <c r="R350" s="2">
        <f>G350*Q350</f>
        <v/>
      </c>
    </row>
    <row r="351">
      <c r="A351" t="n">
        <v>350</v>
      </c>
      <c r="B351" t="inlineStr">
        <is>
          <t>SW-DAMPER-350</t>
        </is>
      </c>
      <c r="C351" t="inlineStr">
        <is>
          <t>VAN GIÓ</t>
        </is>
      </c>
      <c r="D351" t="inlineStr">
        <is>
          <t>Van chặn lửa FD EI45 - Kích thước 600x450</t>
        </is>
      </c>
      <c r="E351" t="inlineStr">
        <is>
          <t>600x450</t>
        </is>
      </c>
      <c r="F351" t="inlineStr">
        <is>
          <t>Cái</t>
        </is>
      </c>
      <c r="G351" s="2" t="n">
        <v>4</v>
      </c>
      <c r="H351" s="2">
        <f>SUMIF('01_BOC_TACH_ONG'!B:B, B351, '01_BOC_TACH_ONG'!K:K)</f>
        <v/>
      </c>
      <c r="I351" s="2">
        <f>SUMIF('02_BOC_TACH_CUA'!B:B, B351, '02_BOC_TACH_CUA'!K:K)</f>
        <v/>
      </c>
      <c r="J351" s="2">
        <f>SUMIF('03_BOC_TACH_VAN'!B:B, B351, '03_BOC_TACH_VAN'!K:K)</f>
        <v/>
      </c>
      <c r="K351" s="2">
        <f>SUM(H351:J351)</f>
        <v/>
      </c>
      <c r="L351" s="2">
        <f>K351*0.25</f>
        <v/>
      </c>
      <c r="M351" s="2">
        <f>K351*0.10</f>
        <v/>
      </c>
      <c r="N351" s="2">
        <f>K351+L351+M351</f>
        <v/>
      </c>
      <c r="O351" s="2">
        <f>IF(G351&gt;0, N351/G351, 0)</f>
        <v/>
      </c>
      <c r="P351" s="3" t="n">
        <v>0.18</v>
      </c>
      <c r="Q351" s="2">
        <f>O351*(1+P351)</f>
        <v/>
      </c>
      <c r="R351" s="2">
        <f>G351*Q351</f>
        <v/>
      </c>
    </row>
    <row r="352">
      <c r="A352" t="n">
        <v>351</v>
      </c>
      <c r="B352" t="inlineStr">
        <is>
          <t>SW-DAMPER-351</t>
        </is>
      </c>
      <c r="C352" t="inlineStr">
        <is>
          <t>VAN GIÓ</t>
        </is>
      </c>
      <c r="D352" t="inlineStr">
        <is>
          <t>Van chặn lửa FD EI45 - Kích thước 650x250</t>
        </is>
      </c>
      <c r="E352" t="inlineStr">
        <is>
          <t>650x250</t>
        </is>
      </c>
      <c r="F352" t="inlineStr">
        <is>
          <t>Cái</t>
        </is>
      </c>
      <c r="G352" s="2" t="n">
        <v>3</v>
      </c>
      <c r="H352" s="2">
        <f>SUMIF('01_BOC_TACH_ONG'!B:B, B352, '01_BOC_TACH_ONG'!K:K)</f>
        <v/>
      </c>
      <c r="I352" s="2">
        <f>SUMIF('02_BOC_TACH_CUA'!B:B, B352, '02_BOC_TACH_CUA'!K:K)</f>
        <v/>
      </c>
      <c r="J352" s="2">
        <f>SUMIF('03_BOC_TACH_VAN'!B:B, B352, '03_BOC_TACH_VAN'!K:K)</f>
        <v/>
      </c>
      <c r="K352" s="2">
        <f>SUM(H352:J352)</f>
        <v/>
      </c>
      <c r="L352" s="2">
        <f>K352*0.25</f>
        <v/>
      </c>
      <c r="M352" s="2">
        <f>K352*0.10</f>
        <v/>
      </c>
      <c r="N352" s="2">
        <f>K352+L352+M352</f>
        <v/>
      </c>
      <c r="O352" s="2">
        <f>IF(G352&gt;0, N352/G352, 0)</f>
        <v/>
      </c>
      <c r="P352" s="3" t="n">
        <v>0.18</v>
      </c>
      <c r="Q352" s="2">
        <f>O352*(1+P352)</f>
        <v/>
      </c>
      <c r="R352" s="2">
        <f>G352*Q352</f>
        <v/>
      </c>
    </row>
    <row r="353">
      <c r="A353" t="n">
        <v>352</v>
      </c>
      <c r="B353" t="inlineStr">
        <is>
          <t>SW-DAMPER-352</t>
        </is>
      </c>
      <c r="C353" t="inlineStr">
        <is>
          <t>VAN GIÓ</t>
        </is>
      </c>
      <c r="D353" t="inlineStr">
        <is>
          <t>Van chặn lửa FD EI45 - Kích thước 650x300</t>
        </is>
      </c>
      <c r="E353" t="inlineStr">
        <is>
          <t>650x300</t>
        </is>
      </c>
      <c r="F353" t="inlineStr">
        <is>
          <t>Cái</t>
        </is>
      </c>
      <c r="G353" s="2" t="n">
        <v>2</v>
      </c>
      <c r="H353" s="2">
        <f>SUMIF('01_BOC_TACH_ONG'!B:B, B353, '01_BOC_TACH_ONG'!K:K)</f>
        <v/>
      </c>
      <c r="I353" s="2">
        <f>SUMIF('02_BOC_TACH_CUA'!B:B, B353, '02_BOC_TACH_CUA'!K:K)</f>
        <v/>
      </c>
      <c r="J353" s="2">
        <f>SUMIF('03_BOC_TACH_VAN'!B:B, B353, '03_BOC_TACH_VAN'!K:K)</f>
        <v/>
      </c>
      <c r="K353" s="2">
        <f>SUM(H353:J353)</f>
        <v/>
      </c>
      <c r="L353" s="2">
        <f>K353*0.25</f>
        <v/>
      </c>
      <c r="M353" s="2">
        <f>K353*0.10</f>
        <v/>
      </c>
      <c r="N353" s="2">
        <f>K353+L353+M353</f>
        <v/>
      </c>
      <c r="O353" s="2">
        <f>IF(G353&gt;0, N353/G353, 0)</f>
        <v/>
      </c>
      <c r="P353" s="3" t="n">
        <v>0.18</v>
      </c>
      <c r="Q353" s="2">
        <f>O353*(1+P353)</f>
        <v/>
      </c>
      <c r="R353" s="2">
        <f>G353*Q353</f>
        <v/>
      </c>
    </row>
    <row r="354">
      <c r="A354" t="n">
        <v>353</v>
      </c>
      <c r="B354" t="inlineStr">
        <is>
          <t>SW-DAMPER-353</t>
        </is>
      </c>
      <c r="C354" t="inlineStr">
        <is>
          <t>VAN GIÓ</t>
        </is>
      </c>
      <c r="D354" t="inlineStr">
        <is>
          <t>Van chặn lửa FD EI45 - Kích thước 650x350</t>
        </is>
      </c>
      <c r="E354" t="inlineStr">
        <is>
          <t>650x350</t>
        </is>
      </c>
      <c r="F354" t="inlineStr">
        <is>
          <t>Cái</t>
        </is>
      </c>
      <c r="G354" s="2" t="n">
        <v>1</v>
      </c>
      <c r="H354" s="2">
        <f>SUMIF('01_BOC_TACH_ONG'!B:B, B354, '01_BOC_TACH_ONG'!K:K)</f>
        <v/>
      </c>
      <c r="I354" s="2">
        <f>SUMIF('02_BOC_TACH_CUA'!B:B, B354, '02_BOC_TACH_CUA'!K:K)</f>
        <v/>
      </c>
      <c r="J354" s="2">
        <f>SUMIF('03_BOC_TACH_VAN'!B:B, B354, '03_BOC_TACH_VAN'!K:K)</f>
        <v/>
      </c>
      <c r="K354" s="2">
        <f>SUM(H354:J354)</f>
        <v/>
      </c>
      <c r="L354" s="2">
        <f>K354*0.25</f>
        <v/>
      </c>
      <c r="M354" s="2">
        <f>K354*0.10</f>
        <v/>
      </c>
      <c r="N354" s="2">
        <f>K354+L354+M354</f>
        <v/>
      </c>
      <c r="O354" s="2">
        <f>IF(G354&gt;0, N354/G354, 0)</f>
        <v/>
      </c>
      <c r="P354" s="3" t="n">
        <v>0.18</v>
      </c>
      <c r="Q354" s="2">
        <f>O354*(1+P354)</f>
        <v/>
      </c>
      <c r="R354" s="2">
        <f>G354*Q354</f>
        <v/>
      </c>
    </row>
    <row r="355">
      <c r="A355" t="n">
        <v>354</v>
      </c>
      <c r="B355" t="inlineStr">
        <is>
          <t>SW-DAMPER-354</t>
        </is>
      </c>
      <c r="C355" t="inlineStr">
        <is>
          <t>VAN GIÓ</t>
        </is>
      </c>
      <c r="D355" t="inlineStr">
        <is>
          <t>Van chặn lửa FD EI45 - Kích thước 650x400</t>
        </is>
      </c>
      <c r="E355" t="inlineStr">
        <is>
          <t>650x400</t>
        </is>
      </c>
      <c r="F355" t="inlineStr">
        <is>
          <t>Cái</t>
        </is>
      </c>
      <c r="G355" s="2" t="n">
        <v>2</v>
      </c>
      <c r="H355" s="2">
        <f>SUMIF('01_BOC_TACH_ONG'!B:B, B355, '01_BOC_TACH_ONG'!K:K)</f>
        <v/>
      </c>
      <c r="I355" s="2">
        <f>SUMIF('02_BOC_TACH_CUA'!B:B, B355, '02_BOC_TACH_CUA'!K:K)</f>
        <v/>
      </c>
      <c r="J355" s="2">
        <f>SUMIF('03_BOC_TACH_VAN'!B:B, B355, '03_BOC_TACH_VAN'!K:K)</f>
        <v/>
      </c>
      <c r="K355" s="2">
        <f>SUM(H355:J355)</f>
        <v/>
      </c>
      <c r="L355" s="2">
        <f>K355*0.25</f>
        <v/>
      </c>
      <c r="M355" s="2">
        <f>K355*0.10</f>
        <v/>
      </c>
      <c r="N355" s="2">
        <f>K355+L355+M355</f>
        <v/>
      </c>
      <c r="O355" s="2">
        <f>IF(G355&gt;0, N355/G355, 0)</f>
        <v/>
      </c>
      <c r="P355" s="3" t="n">
        <v>0.18</v>
      </c>
      <c r="Q355" s="2">
        <f>O355*(1+P355)</f>
        <v/>
      </c>
      <c r="R355" s="2">
        <f>G355*Q355</f>
        <v/>
      </c>
    </row>
    <row r="356">
      <c r="A356" t="n">
        <v>355</v>
      </c>
      <c r="B356" t="inlineStr">
        <is>
          <t>SW-DAMPER-355</t>
        </is>
      </c>
      <c r="C356" t="inlineStr">
        <is>
          <t>VAN GIÓ</t>
        </is>
      </c>
      <c r="D356" t="inlineStr">
        <is>
          <t>Van chặn lửa FD EI45 - Kích thước 700x350</t>
        </is>
      </c>
      <c r="E356" t="inlineStr">
        <is>
          <t>700x350</t>
        </is>
      </c>
      <c r="F356" t="inlineStr">
        <is>
          <t>Cái</t>
        </is>
      </c>
      <c r="G356" s="2" t="n">
        <v>1</v>
      </c>
      <c r="H356" s="2">
        <f>SUMIF('01_BOC_TACH_ONG'!B:B, B356, '01_BOC_TACH_ONG'!K:K)</f>
        <v/>
      </c>
      <c r="I356" s="2">
        <f>SUMIF('02_BOC_TACH_CUA'!B:B, B356, '02_BOC_TACH_CUA'!K:K)</f>
        <v/>
      </c>
      <c r="J356" s="2">
        <f>SUMIF('03_BOC_TACH_VAN'!B:B, B356, '03_BOC_TACH_VAN'!K:K)</f>
        <v/>
      </c>
      <c r="K356" s="2">
        <f>SUM(H356:J356)</f>
        <v/>
      </c>
      <c r="L356" s="2">
        <f>K356*0.25</f>
        <v/>
      </c>
      <c r="M356" s="2">
        <f>K356*0.10</f>
        <v/>
      </c>
      <c r="N356" s="2">
        <f>K356+L356+M356</f>
        <v/>
      </c>
      <c r="O356" s="2">
        <f>IF(G356&gt;0, N356/G356, 0)</f>
        <v/>
      </c>
      <c r="P356" s="3" t="n">
        <v>0.18</v>
      </c>
      <c r="Q356" s="2">
        <f>O356*(1+P356)</f>
        <v/>
      </c>
      <c r="R356" s="2">
        <f>G356*Q356</f>
        <v/>
      </c>
    </row>
    <row r="357">
      <c r="A357" t="n">
        <v>356</v>
      </c>
      <c r="B357" t="inlineStr">
        <is>
          <t>SW-DAMPER-356</t>
        </is>
      </c>
      <c r="C357" t="inlineStr">
        <is>
          <t>VAN GIÓ</t>
        </is>
      </c>
      <c r="D357" t="inlineStr">
        <is>
          <t>Van chặn lửa FD EI45 - Kích thước 800x600</t>
        </is>
      </c>
      <c r="E357" t="inlineStr">
        <is>
          <t>800x600</t>
        </is>
      </c>
      <c r="F357" t="inlineStr">
        <is>
          <t>Cái</t>
        </is>
      </c>
      <c r="G357" s="2" t="n">
        <v>1</v>
      </c>
      <c r="H357" s="2">
        <f>SUMIF('01_BOC_TACH_ONG'!B:B, B357, '01_BOC_TACH_ONG'!K:K)</f>
        <v/>
      </c>
      <c r="I357" s="2">
        <f>SUMIF('02_BOC_TACH_CUA'!B:B, B357, '02_BOC_TACH_CUA'!K:K)</f>
        <v/>
      </c>
      <c r="J357" s="2">
        <f>SUMIF('03_BOC_TACH_VAN'!B:B, B357, '03_BOC_TACH_VAN'!K:K)</f>
        <v/>
      </c>
      <c r="K357" s="2">
        <f>SUM(H357:J357)</f>
        <v/>
      </c>
      <c r="L357" s="2">
        <f>K357*0.25</f>
        <v/>
      </c>
      <c r="M357" s="2">
        <f>K357*0.10</f>
        <v/>
      </c>
      <c r="N357" s="2">
        <f>K357+L357+M357</f>
        <v/>
      </c>
      <c r="O357" s="2">
        <f>IF(G357&gt;0, N357/G357, 0)</f>
        <v/>
      </c>
      <c r="P357" s="3" t="n">
        <v>0.18</v>
      </c>
      <c r="Q357" s="2">
        <f>O357*(1+P357)</f>
        <v/>
      </c>
      <c r="R357" s="2">
        <f>G357*Q357</f>
        <v/>
      </c>
    </row>
    <row r="358">
      <c r="A358" t="n">
        <v>357</v>
      </c>
      <c r="B358" t="inlineStr">
        <is>
          <t>SW-DAMPER-357</t>
        </is>
      </c>
      <c r="C358" t="inlineStr">
        <is>
          <t>VAN GIÓ</t>
        </is>
      </c>
      <c r="D358" t="inlineStr">
        <is>
          <t>Van chặn lửa FD EI45 - Kích thước 800x800</t>
        </is>
      </c>
      <c r="E358" t="inlineStr">
        <is>
          <t>800x800</t>
        </is>
      </c>
      <c r="F358" t="inlineStr">
        <is>
          <t>Cái</t>
        </is>
      </c>
      <c r="G358" s="2" t="n">
        <v>3</v>
      </c>
      <c r="H358" s="2">
        <f>SUMIF('01_BOC_TACH_ONG'!B:B, B358, '01_BOC_TACH_ONG'!K:K)</f>
        <v/>
      </c>
      <c r="I358" s="2">
        <f>SUMIF('02_BOC_TACH_CUA'!B:B, B358, '02_BOC_TACH_CUA'!K:K)</f>
        <v/>
      </c>
      <c r="J358" s="2">
        <f>SUMIF('03_BOC_TACH_VAN'!B:B, B358, '03_BOC_TACH_VAN'!K:K)</f>
        <v/>
      </c>
      <c r="K358" s="2">
        <f>SUM(H358:J358)</f>
        <v/>
      </c>
      <c r="L358" s="2">
        <f>K358*0.25</f>
        <v/>
      </c>
      <c r="M358" s="2">
        <f>K358*0.10</f>
        <v/>
      </c>
      <c r="N358" s="2">
        <f>K358+L358+M358</f>
        <v/>
      </c>
      <c r="O358" s="2">
        <f>IF(G358&gt;0, N358/G358, 0)</f>
        <v/>
      </c>
      <c r="P358" s="3" t="n">
        <v>0.18</v>
      </c>
      <c r="Q358" s="2">
        <f>O358*(1+P358)</f>
        <v/>
      </c>
      <c r="R358" s="2">
        <f>G358*Q358</f>
        <v/>
      </c>
    </row>
    <row r="359">
      <c r="A359" t="n">
        <v>358</v>
      </c>
      <c r="B359" t="inlineStr">
        <is>
          <t>SW-DAMPER-358</t>
        </is>
      </c>
      <c r="C359" t="inlineStr">
        <is>
          <t>VAN GIÓ</t>
        </is>
      </c>
      <c r="D359" t="inlineStr">
        <is>
          <t>Van chặn lửa FD EI45 - Kích thước 850x450</t>
        </is>
      </c>
      <c r="E359" t="inlineStr">
        <is>
          <t>850x450</t>
        </is>
      </c>
      <c r="F359" t="inlineStr">
        <is>
          <t>Cái</t>
        </is>
      </c>
      <c r="G359" s="2" t="n">
        <v>1</v>
      </c>
      <c r="H359" s="2">
        <f>SUMIF('01_BOC_TACH_ONG'!B:B, B359, '01_BOC_TACH_ONG'!K:K)</f>
        <v/>
      </c>
      <c r="I359" s="2">
        <f>SUMIF('02_BOC_TACH_CUA'!B:B, B359, '02_BOC_TACH_CUA'!K:K)</f>
        <v/>
      </c>
      <c r="J359" s="2">
        <f>SUMIF('03_BOC_TACH_VAN'!B:B, B359, '03_BOC_TACH_VAN'!K:K)</f>
        <v/>
      </c>
      <c r="K359" s="2">
        <f>SUM(H359:J359)</f>
        <v/>
      </c>
      <c r="L359" s="2">
        <f>K359*0.25</f>
        <v/>
      </c>
      <c r="M359" s="2">
        <f>K359*0.10</f>
        <v/>
      </c>
      <c r="N359" s="2">
        <f>K359+L359+M359</f>
        <v/>
      </c>
      <c r="O359" s="2">
        <f>IF(G359&gt;0, N359/G359, 0)</f>
        <v/>
      </c>
      <c r="P359" s="3" t="n">
        <v>0.18</v>
      </c>
      <c r="Q359" s="2">
        <f>O359*(1+P359)</f>
        <v/>
      </c>
      <c r="R359" s="2">
        <f>G359*Q359</f>
        <v/>
      </c>
    </row>
    <row r="360">
      <c r="A360" t="n">
        <v>359</v>
      </c>
      <c r="B360" t="inlineStr">
        <is>
          <t>SW-DAMPER-359</t>
        </is>
      </c>
      <c r="C360" t="inlineStr">
        <is>
          <t>VAN GIÓ</t>
        </is>
      </c>
      <c r="D360" t="inlineStr">
        <is>
          <t>Van chặn lửa FD EI45 - Kích thước 1000x500</t>
        </is>
      </c>
      <c r="E360" t="inlineStr">
        <is>
          <t>1000x500</t>
        </is>
      </c>
      <c r="F360" t="inlineStr">
        <is>
          <t>Cái</t>
        </is>
      </c>
      <c r="G360" s="2" t="n">
        <v>2</v>
      </c>
      <c r="H360" s="2">
        <f>SUMIF('01_BOC_TACH_ONG'!B:B, B360, '01_BOC_TACH_ONG'!K:K)</f>
        <v/>
      </c>
      <c r="I360" s="2">
        <f>SUMIF('02_BOC_TACH_CUA'!B:B, B360, '02_BOC_TACH_CUA'!K:K)</f>
        <v/>
      </c>
      <c r="J360" s="2">
        <f>SUMIF('03_BOC_TACH_VAN'!B:B, B360, '03_BOC_TACH_VAN'!K:K)</f>
        <v/>
      </c>
      <c r="K360" s="2">
        <f>SUM(H360:J360)</f>
        <v/>
      </c>
      <c r="L360" s="2">
        <f>K360*0.25</f>
        <v/>
      </c>
      <c r="M360" s="2">
        <f>K360*0.10</f>
        <v/>
      </c>
      <c r="N360" s="2">
        <f>K360+L360+M360</f>
        <v/>
      </c>
      <c r="O360" s="2">
        <f>IF(G360&gt;0, N360/G360, 0)</f>
        <v/>
      </c>
      <c r="P360" s="3" t="n">
        <v>0.18</v>
      </c>
      <c r="Q360" s="2">
        <f>O360*(1+P360)</f>
        <v/>
      </c>
      <c r="R360" s="2">
        <f>G360*Q360</f>
        <v/>
      </c>
    </row>
    <row r="361">
      <c r="A361" t="n">
        <v>360</v>
      </c>
      <c r="B361" t="inlineStr">
        <is>
          <t>SW-DAMPER-360</t>
        </is>
      </c>
      <c r="C361" t="inlineStr">
        <is>
          <t>VAN GIÓ</t>
        </is>
      </c>
      <c r="D361" t="inlineStr">
        <is>
          <t>Van chặn lửa FD EI45 - Kích thước 1000x1000</t>
        </is>
      </c>
      <c r="E361" t="inlineStr">
        <is>
          <t>1000x1000</t>
        </is>
      </c>
      <c r="F361" t="inlineStr">
        <is>
          <t>Cái</t>
        </is>
      </c>
      <c r="G361" s="2" t="n">
        <v>4</v>
      </c>
      <c r="H361" s="2">
        <f>SUMIF('01_BOC_TACH_ONG'!B:B, B361, '01_BOC_TACH_ONG'!K:K)</f>
        <v/>
      </c>
      <c r="I361" s="2">
        <f>SUMIF('02_BOC_TACH_CUA'!B:B, B361, '02_BOC_TACH_CUA'!K:K)</f>
        <v/>
      </c>
      <c r="J361" s="2">
        <f>SUMIF('03_BOC_TACH_VAN'!B:B, B361, '03_BOC_TACH_VAN'!K:K)</f>
        <v/>
      </c>
      <c r="K361" s="2">
        <f>SUM(H361:J361)</f>
        <v/>
      </c>
      <c r="L361" s="2">
        <f>K361*0.25</f>
        <v/>
      </c>
      <c r="M361" s="2">
        <f>K361*0.10</f>
        <v/>
      </c>
      <c r="N361" s="2">
        <f>K361+L361+M361</f>
        <v/>
      </c>
      <c r="O361" s="2">
        <f>IF(G361&gt;0, N361/G361, 0)</f>
        <v/>
      </c>
      <c r="P361" s="3" t="n">
        <v>0.18</v>
      </c>
      <c r="Q361" s="2">
        <f>O361*(1+P361)</f>
        <v/>
      </c>
      <c r="R361" s="2">
        <f>G361*Q361</f>
        <v/>
      </c>
    </row>
    <row r="362">
      <c r="A362" t="n">
        <v>361</v>
      </c>
      <c r="B362" t="inlineStr">
        <is>
          <t>SW-DAMPER-361</t>
        </is>
      </c>
      <c r="C362" t="inlineStr">
        <is>
          <t>VAN GIÓ</t>
        </is>
      </c>
      <c r="D362" t="inlineStr">
        <is>
          <t>Van chặn lửa FD EI45 - Kích thước 1800x600</t>
        </is>
      </c>
      <c r="E362" t="inlineStr">
        <is>
          <t>1800x600</t>
        </is>
      </c>
      <c r="F362" t="inlineStr">
        <is>
          <t>Cái</t>
        </is>
      </c>
      <c r="G362" s="2" t="n">
        <v>1</v>
      </c>
      <c r="H362" s="2">
        <f>SUMIF('01_BOC_TACH_ONG'!B:B, B362, '01_BOC_TACH_ONG'!K:K)</f>
        <v/>
      </c>
      <c r="I362" s="2">
        <f>SUMIF('02_BOC_TACH_CUA'!B:B, B362, '02_BOC_TACH_CUA'!K:K)</f>
        <v/>
      </c>
      <c r="J362" s="2">
        <f>SUMIF('03_BOC_TACH_VAN'!B:B, B362, '03_BOC_TACH_VAN'!K:K)</f>
        <v/>
      </c>
      <c r="K362" s="2">
        <f>SUM(H362:J362)</f>
        <v/>
      </c>
      <c r="L362" s="2">
        <f>K362*0.25</f>
        <v/>
      </c>
      <c r="M362" s="2">
        <f>K362*0.10</f>
        <v/>
      </c>
      <c r="N362" s="2">
        <f>K362+L362+M362</f>
        <v/>
      </c>
      <c r="O362" s="2">
        <f>IF(G362&gt;0, N362/G362, 0)</f>
        <v/>
      </c>
      <c r="P362" s="3" t="n">
        <v>0.18</v>
      </c>
      <c r="Q362" s="2">
        <f>O362*(1+P362)</f>
        <v/>
      </c>
      <c r="R362" s="2">
        <f>G362*Q362</f>
        <v/>
      </c>
    </row>
    <row r="363">
      <c r="A363" t="n">
        <v>362</v>
      </c>
      <c r="B363" t="inlineStr">
        <is>
          <t>SW-DIFF-362</t>
        </is>
      </c>
      <c r="C363" t="inlineStr">
        <is>
          <t>CỬA GIÓ</t>
        </is>
      </c>
      <c r="D363" t="inlineStr">
        <is>
          <t>KTM 600x300 + OBD</t>
        </is>
      </c>
      <c r="E363" t="inlineStr">
        <is>
          <t>600x300</t>
        </is>
      </c>
      <c r="F363" t="inlineStr">
        <is>
          <t>Cái</t>
        </is>
      </c>
      <c r="G363" s="2" t="n">
        <v>1</v>
      </c>
      <c r="H363" s="2">
        <f>SUMIF('01_BOC_TACH_ONG'!B:B, B363, '01_BOC_TACH_ONG'!K:K)</f>
        <v/>
      </c>
      <c r="I363" s="2">
        <f>SUMIF('02_BOC_TACH_CUA'!B:B, B363, '02_BOC_TACH_CUA'!K:K)</f>
        <v/>
      </c>
      <c r="J363" s="2">
        <f>SUMIF('03_BOC_TACH_VAN'!B:B, B363, '03_BOC_TACH_VAN'!K:K)</f>
        <v/>
      </c>
      <c r="K363" s="2">
        <f>SUM(H363:J363)</f>
        <v/>
      </c>
      <c r="L363" s="2">
        <f>K363*0.25</f>
        <v/>
      </c>
      <c r="M363" s="2">
        <f>K363*0.10</f>
        <v/>
      </c>
      <c r="N363" s="2">
        <f>K363+L363+M363</f>
        <v/>
      </c>
      <c r="O363" s="2">
        <f>IF(G363&gt;0, N363/G363, 0)</f>
        <v/>
      </c>
      <c r="P363" s="3" t="n">
        <v>0.18</v>
      </c>
      <c r="Q363" s="2">
        <f>O363*(1+P363)</f>
        <v/>
      </c>
      <c r="R363" s="2">
        <f>G363*Q363</f>
        <v/>
      </c>
    </row>
    <row r="364">
      <c r="A364" t="n">
        <v>363</v>
      </c>
      <c r="B364" t="inlineStr">
        <is>
          <t>SW-DIFF-363</t>
        </is>
      </c>
      <c r="C364" t="inlineStr">
        <is>
          <t>CỬA GIÓ</t>
        </is>
      </c>
      <c r="D364" t="inlineStr">
        <is>
          <t>KTM 600x250 + OBD</t>
        </is>
      </c>
      <c r="E364" t="inlineStr">
        <is>
          <t>600x250</t>
        </is>
      </c>
      <c r="F364" t="inlineStr">
        <is>
          <t>Cái</t>
        </is>
      </c>
      <c r="G364" s="2" t="n">
        <v>2</v>
      </c>
      <c r="H364" s="2">
        <f>SUMIF('01_BOC_TACH_ONG'!B:B, B364, '01_BOC_TACH_ONG'!K:K)</f>
        <v/>
      </c>
      <c r="I364" s="2">
        <f>SUMIF('02_BOC_TACH_CUA'!B:B, B364, '02_BOC_TACH_CUA'!K:K)</f>
        <v/>
      </c>
      <c r="J364" s="2">
        <f>SUMIF('03_BOC_TACH_VAN'!B:B, B364, '03_BOC_TACH_VAN'!K:K)</f>
        <v/>
      </c>
      <c r="K364" s="2">
        <f>SUM(H364:J364)</f>
        <v/>
      </c>
      <c r="L364" s="2">
        <f>K364*0.25</f>
        <v/>
      </c>
      <c r="M364" s="2">
        <f>K364*0.10</f>
        <v/>
      </c>
      <c r="N364" s="2">
        <f>K364+L364+M364</f>
        <v/>
      </c>
      <c r="O364" s="2">
        <f>IF(G364&gt;0, N364/G364, 0)</f>
        <v/>
      </c>
      <c r="P364" s="3" t="n">
        <v>0.18</v>
      </c>
      <c r="Q364" s="2">
        <f>O364*(1+P364)</f>
        <v/>
      </c>
      <c r="R364" s="2">
        <f>G364*Q364</f>
        <v/>
      </c>
    </row>
    <row r="365">
      <c r="A365" t="n">
        <v>364</v>
      </c>
      <c r="B365" t="inlineStr">
        <is>
          <t>SW-DIFF-364</t>
        </is>
      </c>
      <c r="C365" t="inlineStr">
        <is>
          <t>CỬA GIÓ</t>
        </is>
      </c>
      <c r="D365" t="inlineStr">
        <is>
          <t>KTM 500x300 + OBD</t>
        </is>
      </c>
      <c r="E365" t="inlineStr">
        <is>
          <t>500x300</t>
        </is>
      </c>
      <c r="F365" t="inlineStr">
        <is>
          <t>Cái</t>
        </is>
      </c>
      <c r="G365" s="2" t="n">
        <v>4</v>
      </c>
      <c r="H365" s="2">
        <f>SUMIF('01_BOC_TACH_ONG'!B:B, B365, '01_BOC_TACH_ONG'!K:K)</f>
        <v/>
      </c>
      <c r="I365" s="2">
        <f>SUMIF('02_BOC_TACH_CUA'!B:B, B365, '02_BOC_TACH_CUA'!K:K)</f>
        <v/>
      </c>
      <c r="J365" s="2">
        <f>SUMIF('03_BOC_TACH_VAN'!B:B, B365, '03_BOC_TACH_VAN'!K:K)</f>
        <v/>
      </c>
      <c r="K365" s="2">
        <f>SUM(H365:J365)</f>
        <v/>
      </c>
      <c r="L365" s="2">
        <f>K365*0.25</f>
        <v/>
      </c>
      <c r="M365" s="2">
        <f>K365*0.10</f>
        <v/>
      </c>
      <c r="N365" s="2">
        <f>K365+L365+M365</f>
        <v/>
      </c>
      <c r="O365" s="2">
        <f>IF(G365&gt;0, N365/G365, 0)</f>
        <v/>
      </c>
      <c r="P365" s="3" t="n">
        <v>0.18</v>
      </c>
      <c r="Q365" s="2">
        <f>O365*(1+P365)</f>
        <v/>
      </c>
      <c r="R365" s="2">
        <f>G365*Q365</f>
        <v/>
      </c>
    </row>
    <row r="366">
      <c r="A366" t="n">
        <v>365</v>
      </c>
      <c r="B366" t="inlineStr">
        <is>
          <t>SW-DIFF-365</t>
        </is>
      </c>
      <c r="C366" t="inlineStr">
        <is>
          <t>CỬA GIÓ</t>
        </is>
      </c>
      <c r="D366" t="inlineStr">
        <is>
          <t>KTM 500x250 + OBD</t>
        </is>
      </c>
      <c r="E366" t="inlineStr">
        <is>
          <t>500x250</t>
        </is>
      </c>
      <c r="F366" t="inlineStr">
        <is>
          <t>Cái</t>
        </is>
      </c>
      <c r="G366" s="2" t="n">
        <v>6</v>
      </c>
      <c r="H366" s="2">
        <f>SUMIF('01_BOC_TACH_ONG'!B:B, B366, '01_BOC_TACH_ONG'!K:K)</f>
        <v/>
      </c>
      <c r="I366" s="2">
        <f>SUMIF('02_BOC_TACH_CUA'!B:B, B366, '02_BOC_TACH_CUA'!K:K)</f>
        <v/>
      </c>
      <c r="J366" s="2">
        <f>SUMIF('03_BOC_TACH_VAN'!B:B, B366, '03_BOC_TACH_VAN'!K:K)</f>
        <v/>
      </c>
      <c r="K366" s="2">
        <f>SUM(H366:J366)</f>
        <v/>
      </c>
      <c r="L366" s="2">
        <f>K366*0.25</f>
        <v/>
      </c>
      <c r="M366" s="2">
        <f>K366*0.10</f>
        <v/>
      </c>
      <c r="N366" s="2">
        <f>K366+L366+M366</f>
        <v/>
      </c>
      <c r="O366" s="2">
        <f>IF(G366&gt;0, N366/G366, 0)</f>
        <v/>
      </c>
      <c r="P366" s="3" t="n">
        <v>0.18</v>
      </c>
      <c r="Q366" s="2">
        <f>O366*(1+P366)</f>
        <v/>
      </c>
      <c r="R366" s="2">
        <f>G366*Q366</f>
        <v/>
      </c>
    </row>
    <row r="367">
      <c r="A367" t="n">
        <v>366</v>
      </c>
      <c r="B367" t="inlineStr">
        <is>
          <t>SW-DIFF-366</t>
        </is>
      </c>
      <c r="C367" t="inlineStr">
        <is>
          <t>CỬA GIÓ</t>
        </is>
      </c>
      <c r="D367" t="inlineStr">
        <is>
          <t>KTM 400x400 + OBD</t>
        </is>
      </c>
      <c r="E367" t="inlineStr">
        <is>
          <t>400x400</t>
        </is>
      </c>
      <c r="F367" t="inlineStr">
        <is>
          <t>Cái</t>
        </is>
      </c>
      <c r="G367" s="2" t="n">
        <v>4</v>
      </c>
      <c r="H367" s="2">
        <f>SUMIF('01_BOC_TACH_ONG'!B:B, B367, '01_BOC_TACH_ONG'!K:K)</f>
        <v/>
      </c>
      <c r="I367" s="2">
        <f>SUMIF('02_BOC_TACH_CUA'!B:B, B367, '02_BOC_TACH_CUA'!K:K)</f>
        <v/>
      </c>
      <c r="J367" s="2">
        <f>SUMIF('03_BOC_TACH_VAN'!B:B, B367, '03_BOC_TACH_VAN'!K:K)</f>
        <v/>
      </c>
      <c r="K367" s="2">
        <f>SUM(H367:J367)</f>
        <v/>
      </c>
      <c r="L367" s="2">
        <f>K367*0.25</f>
        <v/>
      </c>
      <c r="M367" s="2">
        <f>K367*0.10</f>
        <v/>
      </c>
      <c r="N367" s="2">
        <f>K367+L367+M367</f>
        <v/>
      </c>
      <c r="O367" s="2">
        <f>IF(G367&gt;0, N367/G367, 0)</f>
        <v/>
      </c>
      <c r="P367" s="3" t="n">
        <v>0.18</v>
      </c>
      <c r="Q367" s="2">
        <f>O367*(1+P367)</f>
        <v/>
      </c>
      <c r="R367" s="2">
        <f>G367*Q367</f>
        <v/>
      </c>
    </row>
    <row r="368">
      <c r="A368" t="n">
        <v>367</v>
      </c>
      <c r="B368" t="inlineStr">
        <is>
          <t>SW-DIFF-367</t>
        </is>
      </c>
      <c r="C368" t="inlineStr">
        <is>
          <t>CỬA GIÓ</t>
        </is>
      </c>
      <c r="D368" t="inlineStr">
        <is>
          <t>KTM 400x200 + OBD</t>
        </is>
      </c>
      <c r="E368" t="inlineStr">
        <is>
          <t>400x200</t>
        </is>
      </c>
      <c r="F368" t="inlineStr">
        <is>
          <t>Cái</t>
        </is>
      </c>
      <c r="G368" s="2" t="n">
        <v>5</v>
      </c>
      <c r="H368" s="2">
        <f>SUMIF('01_BOC_TACH_ONG'!B:B, B368, '01_BOC_TACH_ONG'!K:K)</f>
        <v/>
      </c>
      <c r="I368" s="2">
        <f>SUMIF('02_BOC_TACH_CUA'!B:B, B368, '02_BOC_TACH_CUA'!K:K)</f>
        <v/>
      </c>
      <c r="J368" s="2">
        <f>SUMIF('03_BOC_TACH_VAN'!B:B, B368, '03_BOC_TACH_VAN'!K:K)</f>
        <v/>
      </c>
      <c r="K368" s="2">
        <f>SUM(H368:J368)</f>
        <v/>
      </c>
      <c r="L368" s="2">
        <f>K368*0.25</f>
        <v/>
      </c>
      <c r="M368" s="2">
        <f>K368*0.10</f>
        <v/>
      </c>
      <c r="N368" s="2">
        <f>K368+L368+M368</f>
        <v/>
      </c>
      <c r="O368" s="2">
        <f>IF(G368&gt;0, N368/G368, 0)</f>
        <v/>
      </c>
      <c r="P368" s="3" t="n">
        <v>0.18</v>
      </c>
      <c r="Q368" s="2">
        <f>O368*(1+P368)</f>
        <v/>
      </c>
      <c r="R368" s="2">
        <f>G368*Q368</f>
        <v/>
      </c>
    </row>
    <row r="369">
      <c r="A369" t="n">
        <v>368</v>
      </c>
      <c r="B369" t="inlineStr">
        <is>
          <t>SW-DIFF-368</t>
        </is>
      </c>
      <c r="C369" t="inlineStr">
        <is>
          <t>CỬA GIÓ</t>
        </is>
      </c>
      <c r="D369" t="inlineStr">
        <is>
          <t>KTM 300x300 + OBD</t>
        </is>
      </c>
      <c r="E369" t="inlineStr">
        <is>
          <t>300x300</t>
        </is>
      </c>
      <c r="F369" t="inlineStr">
        <is>
          <t>Cái</t>
        </is>
      </c>
      <c r="G369" s="2" t="n">
        <v>1</v>
      </c>
      <c r="H369" s="2">
        <f>SUMIF('01_BOC_TACH_ONG'!B:B, B369, '01_BOC_TACH_ONG'!K:K)</f>
        <v/>
      </c>
      <c r="I369" s="2">
        <f>SUMIF('02_BOC_TACH_CUA'!B:B, B369, '02_BOC_TACH_CUA'!K:K)</f>
        <v/>
      </c>
      <c r="J369" s="2">
        <f>SUMIF('03_BOC_TACH_VAN'!B:B, B369, '03_BOC_TACH_VAN'!K:K)</f>
        <v/>
      </c>
      <c r="K369" s="2">
        <f>SUM(H369:J369)</f>
        <v/>
      </c>
      <c r="L369" s="2">
        <f>K369*0.25</f>
        <v/>
      </c>
      <c r="M369" s="2">
        <f>K369*0.10</f>
        <v/>
      </c>
      <c r="N369" s="2">
        <f>K369+L369+M369</f>
        <v/>
      </c>
      <c r="O369" s="2">
        <f>IF(G369&gt;0, N369/G369, 0)</f>
        <v/>
      </c>
      <c r="P369" s="3" t="n">
        <v>0.18</v>
      </c>
      <c r="Q369" s="2">
        <f>O369*(1+P369)</f>
        <v/>
      </c>
      <c r="R369" s="2">
        <f>G369*Q369</f>
        <v/>
      </c>
    </row>
    <row r="370">
      <c r="A370" t="n">
        <v>369</v>
      </c>
      <c r="B370" t="inlineStr">
        <is>
          <t>SW-DIFF-369</t>
        </is>
      </c>
      <c r="C370" t="inlineStr">
        <is>
          <t>CỬA GIÓ</t>
        </is>
      </c>
      <c r="D370" t="inlineStr">
        <is>
          <t>KTM 250x250 + OBD</t>
        </is>
      </c>
      <c r="E370" t="inlineStr">
        <is>
          <t>250x250</t>
        </is>
      </c>
      <c r="F370" t="inlineStr">
        <is>
          <t>Cái</t>
        </is>
      </c>
      <c r="G370" s="2" t="n">
        <v>4</v>
      </c>
      <c r="H370" s="2">
        <f>SUMIF('01_BOC_TACH_ONG'!B:B, B370, '01_BOC_TACH_ONG'!K:K)</f>
        <v/>
      </c>
      <c r="I370" s="2">
        <f>SUMIF('02_BOC_TACH_CUA'!B:B, B370, '02_BOC_TACH_CUA'!K:K)</f>
        <v/>
      </c>
      <c r="J370" s="2">
        <f>SUMIF('03_BOC_TACH_VAN'!B:B, B370, '03_BOC_TACH_VAN'!K:K)</f>
        <v/>
      </c>
      <c r="K370" s="2">
        <f>SUM(H370:J370)</f>
        <v/>
      </c>
      <c r="L370" s="2">
        <f>K370*0.25</f>
        <v/>
      </c>
      <c r="M370" s="2">
        <f>K370*0.10</f>
        <v/>
      </c>
      <c r="N370" s="2">
        <f>K370+L370+M370</f>
        <v/>
      </c>
      <c r="O370" s="2">
        <f>IF(G370&gt;0, N370/G370, 0)</f>
        <v/>
      </c>
      <c r="P370" s="3" t="n">
        <v>0.18</v>
      </c>
      <c r="Q370" s="2">
        <f>O370*(1+P370)</f>
        <v/>
      </c>
      <c r="R370" s="2">
        <f>G370*Q370</f>
        <v/>
      </c>
    </row>
    <row r="371">
      <c r="A371" t="n">
        <v>370</v>
      </c>
      <c r="B371" t="inlineStr">
        <is>
          <t>SW-DIFF-370</t>
        </is>
      </c>
      <c r="C371" t="inlineStr">
        <is>
          <t>CỬA GIÓ</t>
        </is>
      </c>
      <c r="D371" t="inlineStr">
        <is>
          <t>KTM 200x200 + OBD</t>
        </is>
      </c>
      <c r="E371" t="inlineStr">
        <is>
          <t>200x200</t>
        </is>
      </c>
      <c r="F371" t="inlineStr">
        <is>
          <t>Cái</t>
        </is>
      </c>
      <c r="G371" s="2" t="n">
        <v>6</v>
      </c>
      <c r="H371" s="2">
        <f>SUMIF('01_BOC_TACH_ONG'!B:B, B371, '01_BOC_TACH_ONG'!K:K)</f>
        <v/>
      </c>
      <c r="I371" s="2">
        <f>SUMIF('02_BOC_TACH_CUA'!B:B, B371, '02_BOC_TACH_CUA'!K:K)</f>
        <v/>
      </c>
      <c r="J371" s="2">
        <f>SUMIF('03_BOC_TACH_VAN'!B:B, B371, '03_BOC_TACH_VAN'!K:K)</f>
        <v/>
      </c>
      <c r="K371" s="2">
        <f>SUM(H371:J371)</f>
        <v/>
      </c>
      <c r="L371" s="2">
        <f>K371*0.25</f>
        <v/>
      </c>
      <c r="M371" s="2">
        <f>K371*0.10</f>
        <v/>
      </c>
      <c r="N371" s="2">
        <f>K371+L371+M371</f>
        <v/>
      </c>
      <c r="O371" s="2">
        <f>IF(G371&gt;0, N371/G371, 0)</f>
        <v/>
      </c>
      <c r="P371" s="3" t="n">
        <v>0.18</v>
      </c>
      <c r="Q371" s="2">
        <f>O371*(1+P371)</f>
        <v/>
      </c>
      <c r="R371" s="2">
        <f>G371*Q371</f>
        <v/>
      </c>
    </row>
    <row r="372">
      <c r="A372" t="n">
        <v>371</v>
      </c>
      <c r="B372" t="inlineStr">
        <is>
          <t>SW-DIFF-371</t>
        </is>
      </c>
      <c r="C372" t="inlineStr">
        <is>
          <t>CỬA GIÓ</t>
        </is>
      </c>
      <c r="D372" t="inlineStr">
        <is>
          <t>Bộ tiêu âm - Kích thước: 400x300</t>
        </is>
      </c>
      <c r="E372" t="inlineStr">
        <is>
          <t>400x300</t>
        </is>
      </c>
      <c r="F372" t="inlineStr">
        <is>
          <t>Bộ</t>
        </is>
      </c>
      <c r="G372" s="2" t="n">
        <v>1</v>
      </c>
      <c r="H372" s="2">
        <f>SUMIF('01_BOC_TACH_ONG'!B:B, B372, '01_BOC_TACH_ONG'!K:K)</f>
        <v/>
      </c>
      <c r="I372" s="2">
        <f>SUMIF('02_BOC_TACH_CUA'!B:B, B372, '02_BOC_TACH_CUA'!K:K)</f>
        <v/>
      </c>
      <c r="J372" s="2">
        <f>SUMIF('03_BOC_TACH_VAN'!B:B, B372, '03_BOC_TACH_VAN'!K:K)</f>
        <v/>
      </c>
      <c r="K372" s="2">
        <f>SUM(H372:J372)</f>
        <v/>
      </c>
      <c r="L372" s="2">
        <f>K372*0.25</f>
        <v/>
      </c>
      <c r="M372" s="2">
        <f>K372*0.10</f>
        <v/>
      </c>
      <c r="N372" s="2">
        <f>K372+L372+M372</f>
        <v/>
      </c>
      <c r="O372" s="2">
        <f>IF(G372&gt;0, N372/G372, 0)</f>
        <v/>
      </c>
      <c r="P372" s="3" t="n">
        <v>0.18</v>
      </c>
      <c r="Q372" s="2">
        <f>O372*(1+P372)</f>
        <v/>
      </c>
      <c r="R372" s="2">
        <f>G372*Q372</f>
        <v/>
      </c>
    </row>
    <row r="373">
      <c r="A373" t="n">
        <v>372</v>
      </c>
      <c r="B373" t="inlineStr">
        <is>
          <t>SW-DIFF-372</t>
        </is>
      </c>
      <c r="C373" t="inlineStr">
        <is>
          <t>CỬA GIÓ</t>
        </is>
      </c>
      <c r="D373" t="inlineStr">
        <is>
          <t>Bộ tiêu âm - Kích thước: 500x…</t>
        </is>
      </c>
      <c r="E373" t="inlineStr">
        <is>
          <t>-</t>
        </is>
      </c>
      <c r="F373" t="inlineStr">
        <is>
          <t>Bộ</t>
        </is>
      </c>
      <c r="G373" s="2" t="n">
        <v>1</v>
      </c>
      <c r="H373" s="2">
        <f>SUMIF('01_BOC_TACH_ONG'!B:B, B373, '01_BOC_TACH_ONG'!K:K)</f>
        <v/>
      </c>
      <c r="I373" s="2">
        <f>SUMIF('02_BOC_TACH_CUA'!B:B, B373, '02_BOC_TACH_CUA'!K:K)</f>
        <v/>
      </c>
      <c r="J373" s="2">
        <f>SUMIF('03_BOC_TACH_VAN'!B:B, B373, '03_BOC_TACH_VAN'!K:K)</f>
        <v/>
      </c>
      <c r="K373" s="2">
        <f>SUM(H373:J373)</f>
        <v/>
      </c>
      <c r="L373" s="2">
        <f>K373*0.25</f>
        <v/>
      </c>
      <c r="M373" s="2">
        <f>K373*0.10</f>
        <v/>
      </c>
      <c r="N373" s="2">
        <f>K373+L373+M373</f>
        <v/>
      </c>
      <c r="O373" s="2">
        <f>IF(G373&gt;0, N373/G373, 0)</f>
        <v/>
      </c>
      <c r="P373" s="3" t="n">
        <v>0.18</v>
      </c>
      <c r="Q373" s="2">
        <f>O373*(1+P373)</f>
        <v/>
      </c>
      <c r="R373" s="2">
        <f>G373*Q373</f>
        <v/>
      </c>
    </row>
    <row r="374">
      <c r="A374" t="n">
        <v>373</v>
      </c>
      <c r="B374" t="inlineStr">
        <is>
          <t>SW-DIFF-373</t>
        </is>
      </c>
      <c r="C374" t="inlineStr">
        <is>
          <t>CỬA GIÓ</t>
        </is>
      </c>
      <c r="D374" t="inlineStr">
        <is>
          <t>Bộ tiêu âm - Kích thước: 600x300</t>
        </is>
      </c>
      <c r="E374" t="inlineStr">
        <is>
          <t>600x300</t>
        </is>
      </c>
      <c r="F374" t="inlineStr">
        <is>
          <t>Bộ</t>
        </is>
      </c>
      <c r="G374" s="2" t="n">
        <v>2</v>
      </c>
      <c r="H374" s="2">
        <f>SUMIF('01_BOC_TACH_ONG'!B:B, B374, '01_BOC_TACH_ONG'!K:K)</f>
        <v/>
      </c>
      <c r="I374" s="2">
        <f>SUMIF('02_BOC_TACH_CUA'!B:B, B374, '02_BOC_TACH_CUA'!K:K)</f>
        <v/>
      </c>
      <c r="J374" s="2">
        <f>SUMIF('03_BOC_TACH_VAN'!B:B, B374, '03_BOC_TACH_VAN'!K:K)</f>
        <v/>
      </c>
      <c r="K374" s="2">
        <f>SUM(H374:J374)</f>
        <v/>
      </c>
      <c r="L374" s="2">
        <f>K374*0.25</f>
        <v/>
      </c>
      <c r="M374" s="2">
        <f>K374*0.10</f>
        <v/>
      </c>
      <c r="N374" s="2">
        <f>K374+L374+M374</f>
        <v/>
      </c>
      <c r="O374" s="2">
        <f>IF(G374&gt;0, N374/G374, 0)</f>
        <v/>
      </c>
      <c r="P374" s="3" t="n">
        <v>0.18</v>
      </c>
      <c r="Q374" s="2">
        <f>O374*(1+P374)</f>
        <v/>
      </c>
      <c r="R374" s="2">
        <f>G374*Q374</f>
        <v/>
      </c>
    </row>
    <row r="375">
      <c r="A375" t="n">
        <v>374</v>
      </c>
      <c r="B375" t="inlineStr">
        <is>
          <t>SW-DIFF-374</t>
        </is>
      </c>
      <c r="C375" t="inlineStr">
        <is>
          <t>CỬA GIÓ</t>
        </is>
      </c>
      <c r="D375" t="inlineStr">
        <is>
          <t>Bộ tiêu âm - Kích thước: 650x250</t>
        </is>
      </c>
      <c r="E375" t="inlineStr">
        <is>
          <t>650x250</t>
        </is>
      </c>
      <c r="F375" t="inlineStr">
        <is>
          <t>Bộ</t>
        </is>
      </c>
      <c r="G375" s="2" t="n">
        <v>1</v>
      </c>
      <c r="H375" s="2">
        <f>SUMIF('01_BOC_TACH_ONG'!B:B, B375, '01_BOC_TACH_ONG'!K:K)</f>
        <v/>
      </c>
      <c r="I375" s="2">
        <f>SUMIF('02_BOC_TACH_CUA'!B:B, B375, '02_BOC_TACH_CUA'!K:K)</f>
        <v/>
      </c>
      <c r="J375" s="2">
        <f>SUMIF('03_BOC_TACH_VAN'!B:B, B375, '03_BOC_TACH_VAN'!K:K)</f>
        <v/>
      </c>
      <c r="K375" s="2">
        <f>SUM(H375:J375)</f>
        <v/>
      </c>
      <c r="L375" s="2">
        <f>K375*0.25</f>
        <v/>
      </c>
      <c r="M375" s="2">
        <f>K375*0.10</f>
        <v/>
      </c>
      <c r="N375" s="2">
        <f>K375+L375+M375</f>
        <v/>
      </c>
      <c r="O375" s="2">
        <f>IF(G375&gt;0, N375/G375, 0)</f>
        <v/>
      </c>
      <c r="P375" s="3" t="n">
        <v>0.18</v>
      </c>
      <c r="Q375" s="2">
        <f>O375*(1+P375)</f>
        <v/>
      </c>
      <c r="R375" s="2">
        <f>G375*Q375</f>
        <v/>
      </c>
    </row>
    <row r="376">
      <c r="A376" t="n">
        <v>375</v>
      </c>
      <c r="B376" t="inlineStr">
        <is>
          <t>SW-DIFF-375</t>
        </is>
      </c>
      <c r="C376" t="inlineStr">
        <is>
          <t>CỬA GIÓ</t>
        </is>
      </c>
      <c r="D376" t="inlineStr">
        <is>
          <t>Bộ tiêu âm - Kích thước: 650x300</t>
        </is>
      </c>
      <c r="E376" t="inlineStr">
        <is>
          <t>650x300</t>
        </is>
      </c>
      <c r="F376" t="inlineStr">
        <is>
          <t>Bộ</t>
        </is>
      </c>
      <c r="G376" s="2" t="n">
        <v>1</v>
      </c>
      <c r="H376" s="2">
        <f>SUMIF('01_BOC_TACH_ONG'!B:B, B376, '01_BOC_TACH_ONG'!K:K)</f>
        <v/>
      </c>
      <c r="I376" s="2">
        <f>SUMIF('02_BOC_TACH_CUA'!B:B, B376, '02_BOC_TACH_CUA'!K:K)</f>
        <v/>
      </c>
      <c r="J376" s="2">
        <f>SUMIF('03_BOC_TACH_VAN'!B:B, B376, '03_BOC_TACH_VAN'!K:K)</f>
        <v/>
      </c>
      <c r="K376" s="2">
        <f>SUM(H376:J376)</f>
        <v/>
      </c>
      <c r="L376" s="2">
        <f>K376*0.25</f>
        <v/>
      </c>
      <c r="M376" s="2">
        <f>K376*0.10</f>
        <v/>
      </c>
      <c r="N376" s="2">
        <f>K376+L376+M376</f>
        <v/>
      </c>
      <c r="O376" s="2">
        <f>IF(G376&gt;0, N376/G376, 0)</f>
        <v/>
      </c>
      <c r="P376" s="3" t="n">
        <v>0.18</v>
      </c>
      <c r="Q376" s="2">
        <f>O376*(1+P376)</f>
        <v/>
      </c>
      <c r="R376" s="2">
        <f>G376*Q376</f>
        <v/>
      </c>
    </row>
    <row r="377">
      <c r="A377" t="n">
        <v>376</v>
      </c>
      <c r="B377" t="inlineStr">
        <is>
          <t>SW-DIFF-376</t>
        </is>
      </c>
      <c r="C377" t="inlineStr">
        <is>
          <t>CỬA GIÓ</t>
        </is>
      </c>
      <c r="D377" t="inlineStr">
        <is>
          <t>Bộ tiêu âm - Kích thước: 800x600</t>
        </is>
      </c>
      <c r="E377" t="inlineStr">
        <is>
          <t>800x600</t>
        </is>
      </c>
      <c r="F377" t="inlineStr">
        <is>
          <t>Bộ</t>
        </is>
      </c>
      <c r="G377" s="2" t="n">
        <v>2</v>
      </c>
      <c r="H377" s="2">
        <f>SUMIF('01_BOC_TACH_ONG'!B:B, B377, '01_BOC_TACH_ONG'!K:K)</f>
        <v/>
      </c>
      <c r="I377" s="2">
        <f>SUMIF('02_BOC_TACH_CUA'!B:B, B377, '02_BOC_TACH_CUA'!K:K)</f>
        <v/>
      </c>
      <c r="J377" s="2">
        <f>SUMIF('03_BOC_TACH_VAN'!B:B, B377, '03_BOC_TACH_VAN'!K:K)</f>
        <v/>
      </c>
      <c r="K377" s="2">
        <f>SUM(H377:J377)</f>
        <v/>
      </c>
      <c r="L377" s="2">
        <f>K377*0.25</f>
        <v/>
      </c>
      <c r="M377" s="2">
        <f>K377*0.10</f>
        <v/>
      </c>
      <c r="N377" s="2">
        <f>K377+L377+M377</f>
        <v/>
      </c>
      <c r="O377" s="2">
        <f>IF(G377&gt;0, N377/G377, 0)</f>
        <v/>
      </c>
      <c r="P377" s="3" t="n">
        <v>0.18</v>
      </c>
      <c r="Q377" s="2">
        <f>O377*(1+P377)</f>
        <v/>
      </c>
      <c r="R377" s="2">
        <f>G377*Q377</f>
        <v/>
      </c>
    </row>
    <row r="378">
      <c r="A378" t="n">
        <v>377</v>
      </c>
      <c r="B378" t="inlineStr">
        <is>
          <t>SW-DIFF-377</t>
        </is>
      </c>
      <c r="C378" t="inlineStr">
        <is>
          <t>CỬA GIÓ</t>
        </is>
      </c>
      <c r="D378" t="inlineStr">
        <is>
          <t>Bộ tiêu âm - Kích thước: 900x300</t>
        </is>
      </c>
      <c r="E378" t="inlineStr">
        <is>
          <t>900x300</t>
        </is>
      </c>
      <c r="F378" t="inlineStr">
        <is>
          <t>Bộ</t>
        </is>
      </c>
      <c r="G378" s="2" t="n">
        <v>2</v>
      </c>
      <c r="H378" s="2">
        <f>SUMIF('01_BOC_TACH_ONG'!B:B, B378, '01_BOC_TACH_ONG'!K:K)</f>
        <v/>
      </c>
      <c r="I378" s="2">
        <f>SUMIF('02_BOC_TACH_CUA'!B:B, B378, '02_BOC_TACH_CUA'!K:K)</f>
        <v/>
      </c>
      <c r="J378" s="2">
        <f>SUMIF('03_BOC_TACH_VAN'!B:B, B378, '03_BOC_TACH_VAN'!K:K)</f>
        <v/>
      </c>
      <c r="K378" s="2">
        <f>SUM(H378:J378)</f>
        <v/>
      </c>
      <c r="L378" s="2">
        <f>K378*0.25</f>
        <v/>
      </c>
      <c r="M378" s="2">
        <f>K378*0.10</f>
        <v/>
      </c>
      <c r="N378" s="2">
        <f>K378+L378+M378</f>
        <v/>
      </c>
      <c r="O378" s="2">
        <f>IF(G378&gt;0, N378/G378, 0)</f>
        <v/>
      </c>
      <c r="P378" s="3" t="n">
        <v>0.18</v>
      </c>
      <c r="Q378" s="2">
        <f>O378*(1+P378)</f>
        <v/>
      </c>
      <c r="R378" s="2">
        <f>G378*Q378</f>
        <v/>
      </c>
    </row>
    <row r="379">
      <c r="A379" t="n">
        <v>378</v>
      </c>
      <c r="B379" t="inlineStr">
        <is>
          <t>SW-DIFF-378</t>
        </is>
      </c>
      <c r="C379" t="inlineStr">
        <is>
          <t>CỬA GIÓ</t>
        </is>
      </c>
      <c r="D379" t="inlineStr">
        <is>
          <t>Bộ tiêu âm - Kích thước: 900x500</t>
        </is>
      </c>
      <c r="E379" t="inlineStr">
        <is>
          <t>900x500</t>
        </is>
      </c>
      <c r="F379" t="inlineStr">
        <is>
          <t>Bộ</t>
        </is>
      </c>
      <c r="G379" s="2" t="n">
        <v>1</v>
      </c>
      <c r="H379" s="2">
        <f>SUMIF('01_BOC_TACH_ONG'!B:B, B379, '01_BOC_TACH_ONG'!K:K)</f>
        <v/>
      </c>
      <c r="I379" s="2">
        <f>SUMIF('02_BOC_TACH_CUA'!B:B, B379, '02_BOC_TACH_CUA'!K:K)</f>
        <v/>
      </c>
      <c r="J379" s="2">
        <f>SUMIF('03_BOC_TACH_VAN'!B:B, B379, '03_BOC_TACH_VAN'!K:K)</f>
        <v/>
      </c>
      <c r="K379" s="2">
        <f>SUM(H379:J379)</f>
        <v/>
      </c>
      <c r="L379" s="2">
        <f>K379*0.25</f>
        <v/>
      </c>
      <c r="M379" s="2">
        <f>K379*0.10</f>
        <v/>
      </c>
      <c r="N379" s="2">
        <f>K379+L379+M379</f>
        <v/>
      </c>
      <c r="O379" s="2">
        <f>IF(G379&gt;0, N379/G379, 0)</f>
        <v/>
      </c>
      <c r="P379" s="3" t="n">
        <v>0.18</v>
      </c>
      <c r="Q379" s="2">
        <f>O379*(1+P379)</f>
        <v/>
      </c>
      <c r="R379" s="2">
        <f>G379*Q379</f>
        <v/>
      </c>
    </row>
    <row r="380">
      <c r="A380" t="n">
        <v>379</v>
      </c>
      <c r="B380" t="inlineStr">
        <is>
          <t>SW-DIFF-379</t>
        </is>
      </c>
      <c r="C380" t="inlineStr">
        <is>
          <t>CỬA GIÓ</t>
        </is>
      </c>
      <c r="D380" t="inlineStr">
        <is>
          <t>Bộ tiêu âm - Kích thước: 900x900</t>
        </is>
      </c>
      <c r="E380" t="inlineStr">
        <is>
          <t>900x900</t>
        </is>
      </c>
      <c r="F380" t="inlineStr">
        <is>
          <t>Bộ</t>
        </is>
      </c>
      <c r="G380" s="2" t="n">
        <v>1</v>
      </c>
      <c r="H380" s="2">
        <f>SUMIF('01_BOC_TACH_ONG'!B:B, B380, '01_BOC_TACH_ONG'!K:K)</f>
        <v/>
      </c>
      <c r="I380" s="2">
        <f>SUMIF('02_BOC_TACH_CUA'!B:B, B380, '02_BOC_TACH_CUA'!K:K)</f>
        <v/>
      </c>
      <c r="J380" s="2">
        <f>SUMIF('03_BOC_TACH_VAN'!B:B, B380, '03_BOC_TACH_VAN'!K:K)</f>
        <v/>
      </c>
      <c r="K380" s="2">
        <f>SUM(H380:J380)</f>
        <v/>
      </c>
      <c r="L380" s="2">
        <f>K380*0.25</f>
        <v/>
      </c>
      <c r="M380" s="2">
        <f>K380*0.10</f>
        <v/>
      </c>
      <c r="N380" s="2">
        <f>K380+L380+M380</f>
        <v/>
      </c>
      <c r="O380" s="2">
        <f>IF(G380&gt;0, N380/G380, 0)</f>
        <v/>
      </c>
      <c r="P380" s="3" t="n">
        <v>0.18</v>
      </c>
      <c r="Q380" s="2">
        <f>O380*(1+P380)</f>
        <v/>
      </c>
      <c r="R380" s="2">
        <f>G380*Q380</f>
        <v/>
      </c>
    </row>
    <row r="381">
      <c r="A381" t="n">
        <v>380</v>
      </c>
      <c r="B381" t="inlineStr">
        <is>
          <t>SW-DIFF-380</t>
        </is>
      </c>
      <c r="C381" t="inlineStr">
        <is>
          <t>CỬA GIÓ</t>
        </is>
      </c>
      <c r="D381" t="inlineStr">
        <is>
          <t>Bộ tiêu âm - Kích thước: 950x500</t>
        </is>
      </c>
      <c r="E381" t="inlineStr">
        <is>
          <t>950x500</t>
        </is>
      </c>
      <c r="F381" t="inlineStr">
        <is>
          <t>Bộ</t>
        </is>
      </c>
      <c r="G381" s="2" t="n">
        <v>1</v>
      </c>
      <c r="H381" s="2">
        <f>SUMIF('01_BOC_TACH_ONG'!B:B, B381, '01_BOC_TACH_ONG'!K:K)</f>
        <v/>
      </c>
      <c r="I381" s="2">
        <f>SUMIF('02_BOC_TACH_CUA'!B:B, B381, '02_BOC_TACH_CUA'!K:K)</f>
        <v/>
      </c>
      <c r="J381" s="2">
        <f>SUMIF('03_BOC_TACH_VAN'!B:B, B381, '03_BOC_TACH_VAN'!K:K)</f>
        <v/>
      </c>
      <c r="K381" s="2">
        <f>SUM(H381:J381)</f>
        <v/>
      </c>
      <c r="L381" s="2">
        <f>K381*0.25</f>
        <v/>
      </c>
      <c r="M381" s="2">
        <f>K381*0.10</f>
        <v/>
      </c>
      <c r="N381" s="2">
        <f>K381+L381+M381</f>
        <v/>
      </c>
      <c r="O381" s="2">
        <f>IF(G381&gt;0, N381/G381, 0)</f>
        <v/>
      </c>
      <c r="P381" s="3" t="n">
        <v>0.18</v>
      </c>
      <c r="Q381" s="2">
        <f>O381*(1+P381)</f>
        <v/>
      </c>
      <c r="R381" s="2">
        <f>G381*Q381</f>
        <v/>
      </c>
    </row>
    <row r="382">
      <c r="A382" t="n">
        <v>381</v>
      </c>
      <c r="B382" t="inlineStr">
        <is>
          <t>SW-DIFF-381</t>
        </is>
      </c>
      <c r="C382" t="inlineStr">
        <is>
          <t>CỬA GIÓ</t>
        </is>
      </c>
      <c r="D382" t="inlineStr">
        <is>
          <t>Bộ tiêu âm - Kích thước: 1000x1000</t>
        </is>
      </c>
      <c r="E382" t="inlineStr">
        <is>
          <t>1000x1000</t>
        </is>
      </c>
      <c r="F382" t="inlineStr">
        <is>
          <t>Bộ</t>
        </is>
      </c>
      <c r="G382" s="2" t="n">
        <v>2</v>
      </c>
      <c r="H382" s="2">
        <f>SUMIF('01_BOC_TACH_ONG'!B:B, B382, '01_BOC_TACH_ONG'!K:K)</f>
        <v/>
      </c>
      <c r="I382" s="2">
        <f>SUMIF('02_BOC_TACH_CUA'!B:B, B382, '02_BOC_TACH_CUA'!K:K)</f>
        <v/>
      </c>
      <c r="J382" s="2">
        <f>SUMIF('03_BOC_TACH_VAN'!B:B, B382, '03_BOC_TACH_VAN'!K:K)</f>
        <v/>
      </c>
      <c r="K382" s="2">
        <f>SUM(H382:J382)</f>
        <v/>
      </c>
      <c r="L382" s="2">
        <f>K382*0.25</f>
        <v/>
      </c>
      <c r="M382" s="2">
        <f>K382*0.10</f>
        <v/>
      </c>
      <c r="N382" s="2">
        <f>K382+L382+M382</f>
        <v/>
      </c>
      <c r="O382" s="2">
        <f>IF(G382&gt;0, N382/G382, 0)</f>
        <v/>
      </c>
      <c r="P382" s="3" t="n">
        <v>0.18</v>
      </c>
      <c r="Q382" s="2">
        <f>O382*(1+P382)</f>
        <v/>
      </c>
      <c r="R382" s="2">
        <f>G382*Q382</f>
        <v/>
      </c>
    </row>
    <row r="383">
      <c r="A383" t="n">
        <v>382</v>
      </c>
      <c r="B383" t="inlineStr">
        <is>
          <t>SW-DIFF-382</t>
        </is>
      </c>
      <c r="C383" t="inlineStr">
        <is>
          <t>CỬA GIÓ</t>
        </is>
      </c>
      <c r="D383" t="inlineStr">
        <is>
          <t>Bộ tiêu âm - Kích thước: 1900x500</t>
        </is>
      </c>
      <c r="E383" t="inlineStr">
        <is>
          <t>1900x500</t>
        </is>
      </c>
      <c r="F383" t="inlineStr">
        <is>
          <t>Bộ</t>
        </is>
      </c>
      <c r="G383" s="2" t="n">
        <v>1</v>
      </c>
      <c r="H383" s="2">
        <f>SUMIF('01_BOC_TACH_ONG'!B:B, B383, '01_BOC_TACH_ONG'!K:K)</f>
        <v/>
      </c>
      <c r="I383" s="2">
        <f>SUMIF('02_BOC_TACH_CUA'!B:B, B383, '02_BOC_TACH_CUA'!K:K)</f>
        <v/>
      </c>
      <c r="J383" s="2">
        <f>SUMIF('03_BOC_TACH_VAN'!B:B, B383, '03_BOC_TACH_VAN'!K:K)</f>
        <v/>
      </c>
      <c r="K383" s="2">
        <f>SUM(H383:J383)</f>
        <v/>
      </c>
      <c r="L383" s="2">
        <f>K383*0.25</f>
        <v/>
      </c>
      <c r="M383" s="2">
        <f>K383*0.10</f>
        <v/>
      </c>
      <c r="N383" s="2">
        <f>K383+L383+M383</f>
        <v/>
      </c>
      <c r="O383" s="2">
        <f>IF(G383&gt;0, N383/G383, 0)</f>
        <v/>
      </c>
      <c r="P383" s="3" t="n">
        <v>0.18</v>
      </c>
      <c r="Q383" s="2">
        <f>O383*(1+P383)</f>
        <v/>
      </c>
      <c r="R383" s="2">
        <f>G383*Q383</f>
        <v/>
      </c>
    </row>
    <row r="384">
      <c r="A384" t="n">
        <v>383</v>
      </c>
      <c r="B384" t="inlineStr">
        <is>
          <t>SW-DIFF-383</t>
        </is>
      </c>
      <c r="C384" t="inlineStr">
        <is>
          <t>CỬA GIÓ</t>
        </is>
      </c>
      <c r="D384" t="inlineStr">
        <is>
          <t>Louver gió tươi - Kích thước: xxx-xxx</t>
        </is>
      </c>
      <c r="E384" t="inlineStr">
        <is>
          <t>-</t>
        </is>
      </c>
      <c r="F384" t="inlineStr">
        <is>
          <t>Cái</t>
        </is>
      </c>
      <c r="G384" s="2" t="n">
        <v>5</v>
      </c>
      <c r="H384" s="2">
        <f>SUMIF('01_BOC_TACH_ONG'!B:B, B384, '01_BOC_TACH_ONG'!K:K)</f>
        <v/>
      </c>
      <c r="I384" s="2">
        <f>SUMIF('02_BOC_TACH_CUA'!B:B, B384, '02_BOC_TACH_CUA'!K:K)</f>
        <v/>
      </c>
      <c r="J384" s="2">
        <f>SUMIF('03_BOC_TACH_VAN'!B:B, B384, '03_BOC_TACH_VAN'!K:K)</f>
        <v/>
      </c>
      <c r="K384" s="2">
        <f>SUM(H384:J384)</f>
        <v/>
      </c>
      <c r="L384" s="2">
        <f>K384*0.25</f>
        <v/>
      </c>
      <c r="M384" s="2">
        <f>K384*0.10</f>
        <v/>
      </c>
      <c r="N384" s="2">
        <f>K384+L384+M384</f>
        <v/>
      </c>
      <c r="O384" s="2">
        <f>IF(G384&gt;0, N384/G384, 0)</f>
        <v/>
      </c>
      <c r="P384" s="3" t="n">
        <v>0.18</v>
      </c>
      <c r="Q384" s="2">
        <f>O384*(1+P384)</f>
        <v/>
      </c>
      <c r="R384" s="2">
        <f>G384*Q384</f>
        <v/>
      </c>
    </row>
    <row r="385">
      <c r="A385" t="n">
        <v>384</v>
      </c>
      <c r="B385" t="inlineStr">
        <is>
          <t>SW-DAMPER-384</t>
        </is>
      </c>
      <c r="C385" t="inlineStr">
        <is>
          <t>VAN GIÓ</t>
        </is>
      </c>
      <c r="D385" t="inlineStr">
        <is>
          <t>Van điều chỉnh lưu lượng VCD - Kích thước D100</t>
        </is>
      </c>
      <c r="E385" t="inlineStr">
        <is>
          <t>100x0</t>
        </is>
      </c>
      <c r="F385" t="inlineStr">
        <is>
          <t>Cái</t>
        </is>
      </c>
      <c r="G385" s="2" t="n">
        <v>30</v>
      </c>
      <c r="H385" s="2">
        <f>SUMIF('01_BOC_TACH_ONG'!B:B, B385, '01_BOC_TACH_ONG'!K:K)</f>
        <v/>
      </c>
      <c r="I385" s="2">
        <f>SUMIF('02_BOC_TACH_CUA'!B:B, B385, '02_BOC_TACH_CUA'!K:K)</f>
        <v/>
      </c>
      <c r="J385" s="2">
        <f>SUMIF('03_BOC_TACH_VAN'!B:B, B385, '03_BOC_TACH_VAN'!K:K)</f>
        <v/>
      </c>
      <c r="K385" s="2">
        <f>SUM(H385:J385)</f>
        <v/>
      </c>
      <c r="L385" s="2">
        <f>K385*0.25</f>
        <v/>
      </c>
      <c r="M385" s="2">
        <f>K385*0.10</f>
        <v/>
      </c>
      <c r="N385" s="2">
        <f>K385+L385+M385</f>
        <v/>
      </c>
      <c r="O385" s="2">
        <f>IF(G385&gt;0, N385/G385, 0)</f>
        <v/>
      </c>
      <c r="P385" s="3" t="n">
        <v>0.18</v>
      </c>
      <c r="Q385" s="2">
        <f>O385*(1+P385)</f>
        <v/>
      </c>
      <c r="R385" s="2">
        <f>G385*Q385</f>
        <v/>
      </c>
    </row>
    <row r="386">
      <c r="A386" t="n">
        <v>385</v>
      </c>
      <c r="B386" t="inlineStr">
        <is>
          <t>SW-DAMPER-385</t>
        </is>
      </c>
      <c r="C386" t="inlineStr">
        <is>
          <t>VAN GIÓ</t>
        </is>
      </c>
      <c r="D386" t="inlineStr">
        <is>
          <t>Van điều chỉnh lưu lượng VCD - Kích thước D200</t>
        </is>
      </c>
      <c r="E386" t="inlineStr">
        <is>
          <t>200x0</t>
        </is>
      </c>
      <c r="F386" t="inlineStr">
        <is>
          <t>Cái</t>
        </is>
      </c>
      <c r="G386" s="2" t="n">
        <v>578</v>
      </c>
      <c r="H386" s="2">
        <f>SUMIF('01_BOC_TACH_ONG'!B:B, B386, '01_BOC_TACH_ONG'!K:K)</f>
        <v/>
      </c>
      <c r="I386" s="2">
        <f>SUMIF('02_BOC_TACH_CUA'!B:B, B386, '02_BOC_TACH_CUA'!K:K)</f>
        <v/>
      </c>
      <c r="J386" s="2">
        <f>SUMIF('03_BOC_TACH_VAN'!B:B, B386, '03_BOC_TACH_VAN'!K:K)</f>
        <v/>
      </c>
      <c r="K386" s="2">
        <f>SUM(H386:J386)</f>
        <v/>
      </c>
      <c r="L386" s="2">
        <f>K386*0.25</f>
        <v/>
      </c>
      <c r="M386" s="2">
        <f>K386*0.10</f>
        <v/>
      </c>
      <c r="N386" s="2">
        <f>K386+L386+M386</f>
        <v/>
      </c>
      <c r="O386" s="2">
        <f>IF(G386&gt;0, N386/G386, 0)</f>
        <v/>
      </c>
      <c r="P386" s="3" t="n">
        <v>0.18</v>
      </c>
      <c r="Q386" s="2">
        <f>O386*(1+P386)</f>
        <v/>
      </c>
      <c r="R386" s="2">
        <f>G386*Q386</f>
        <v/>
      </c>
    </row>
    <row r="387">
      <c r="A387" t="n">
        <v>386</v>
      </c>
      <c r="B387" t="inlineStr">
        <is>
          <t>SW-DAMPER-386</t>
        </is>
      </c>
      <c r="C387" t="inlineStr">
        <is>
          <t>VAN GIÓ</t>
        </is>
      </c>
      <c r="D387" t="inlineStr">
        <is>
          <t>Van điều chỉnh lưu lượng VCD - Kích thước D250</t>
        </is>
      </c>
      <c r="E387" t="inlineStr">
        <is>
          <t>250x0</t>
        </is>
      </c>
      <c r="F387" t="inlineStr">
        <is>
          <t>Cái</t>
        </is>
      </c>
      <c r="G387" s="2" t="n">
        <v>6</v>
      </c>
      <c r="H387" s="2">
        <f>SUMIF('01_BOC_TACH_ONG'!B:B, B387, '01_BOC_TACH_ONG'!K:K)</f>
        <v/>
      </c>
      <c r="I387" s="2">
        <f>SUMIF('02_BOC_TACH_CUA'!B:B, B387, '02_BOC_TACH_CUA'!K:K)</f>
        <v/>
      </c>
      <c r="J387" s="2">
        <f>SUMIF('03_BOC_TACH_VAN'!B:B, B387, '03_BOC_TACH_VAN'!K:K)</f>
        <v/>
      </c>
      <c r="K387" s="2">
        <f>SUM(H387:J387)</f>
        <v/>
      </c>
      <c r="L387" s="2">
        <f>K387*0.25</f>
        <v/>
      </c>
      <c r="M387" s="2">
        <f>K387*0.10</f>
        <v/>
      </c>
      <c r="N387" s="2">
        <f>K387+L387+M387</f>
        <v/>
      </c>
      <c r="O387" s="2">
        <f>IF(G387&gt;0, N387/G387, 0)</f>
        <v/>
      </c>
      <c r="P387" s="3" t="n">
        <v>0.18</v>
      </c>
      <c r="Q387" s="2">
        <f>O387*(1+P387)</f>
        <v/>
      </c>
      <c r="R387" s="2">
        <f>G387*Q387</f>
        <v/>
      </c>
    </row>
    <row r="388">
      <c r="A388" t="n">
        <v>387</v>
      </c>
      <c r="B388" t="inlineStr">
        <is>
          <t>SW-DAMPER-387</t>
        </is>
      </c>
      <c r="C388" t="inlineStr">
        <is>
          <t>VAN GIÓ</t>
        </is>
      </c>
      <c r="D388" t="inlineStr">
        <is>
          <t>Van điều chỉnh lưu lượng VCD - Kích thước 150x150</t>
        </is>
      </c>
      <c r="E388" t="inlineStr">
        <is>
          <t>150x150</t>
        </is>
      </c>
      <c r="F388" t="inlineStr">
        <is>
          <t>Cái</t>
        </is>
      </c>
      <c r="G388" s="2" t="n">
        <v>1</v>
      </c>
      <c r="H388" s="2">
        <f>SUMIF('01_BOC_TACH_ONG'!B:B, B388, '01_BOC_TACH_ONG'!K:K)</f>
        <v/>
      </c>
      <c r="I388" s="2">
        <f>SUMIF('02_BOC_TACH_CUA'!B:B, B388, '02_BOC_TACH_CUA'!K:K)</f>
        <v/>
      </c>
      <c r="J388" s="2">
        <f>SUMIF('03_BOC_TACH_VAN'!B:B, B388, '03_BOC_TACH_VAN'!K:K)</f>
        <v/>
      </c>
      <c r="K388" s="2">
        <f>SUM(H388:J388)</f>
        <v/>
      </c>
      <c r="L388" s="2">
        <f>K388*0.25</f>
        <v/>
      </c>
      <c r="M388" s="2">
        <f>K388*0.10</f>
        <v/>
      </c>
      <c r="N388" s="2">
        <f>K388+L388+M388</f>
        <v/>
      </c>
      <c r="O388" s="2">
        <f>IF(G388&gt;0, N388/G388, 0)</f>
        <v/>
      </c>
      <c r="P388" s="3" t="n">
        <v>0.18</v>
      </c>
      <c r="Q388" s="2">
        <f>O388*(1+P388)</f>
        <v/>
      </c>
      <c r="R388" s="2">
        <f>G388*Q388</f>
        <v/>
      </c>
    </row>
    <row r="389">
      <c r="A389" t="n">
        <v>388</v>
      </c>
      <c r="B389" t="inlineStr">
        <is>
          <t>SW-DAMPER-388</t>
        </is>
      </c>
      <c r="C389" t="inlineStr">
        <is>
          <t>VAN GIÓ</t>
        </is>
      </c>
      <c r="D389" t="inlineStr">
        <is>
          <t>Van điều chỉnh lưu lượng VCD - Kích thước 200x100</t>
        </is>
      </c>
      <c r="E389" t="inlineStr">
        <is>
          <t>200x100</t>
        </is>
      </c>
      <c r="F389" t="inlineStr">
        <is>
          <t>Cái</t>
        </is>
      </c>
      <c r="G389" s="2" t="n">
        <v>1</v>
      </c>
      <c r="H389" s="2">
        <f>SUMIF('01_BOC_TACH_ONG'!B:B, B389, '01_BOC_TACH_ONG'!K:K)</f>
        <v/>
      </c>
      <c r="I389" s="2">
        <f>SUMIF('02_BOC_TACH_CUA'!B:B, B389, '02_BOC_TACH_CUA'!K:K)</f>
        <v/>
      </c>
      <c r="J389" s="2">
        <f>SUMIF('03_BOC_TACH_VAN'!B:B, B389, '03_BOC_TACH_VAN'!K:K)</f>
        <v/>
      </c>
      <c r="K389" s="2">
        <f>SUM(H389:J389)</f>
        <v/>
      </c>
      <c r="L389" s="2">
        <f>K389*0.25</f>
        <v/>
      </c>
      <c r="M389" s="2">
        <f>K389*0.10</f>
        <v/>
      </c>
      <c r="N389" s="2">
        <f>K389+L389+M389</f>
        <v/>
      </c>
      <c r="O389" s="2">
        <f>IF(G389&gt;0, N389/G389, 0)</f>
        <v/>
      </c>
      <c r="P389" s="3" t="n">
        <v>0.18</v>
      </c>
      <c r="Q389" s="2">
        <f>O389*(1+P389)</f>
        <v/>
      </c>
      <c r="R389" s="2">
        <f>G389*Q389</f>
        <v/>
      </c>
    </row>
    <row r="390">
      <c r="A390" t="n">
        <v>389</v>
      </c>
      <c r="B390" t="inlineStr">
        <is>
          <t>SW-DAMPER-389</t>
        </is>
      </c>
      <c r="C390" t="inlineStr">
        <is>
          <t>VAN GIÓ</t>
        </is>
      </c>
      <c r="D390" t="inlineStr">
        <is>
          <t>Van điều chỉnh lưu lượng VCD - Kích thước 200x150</t>
        </is>
      </c>
      <c r="E390" t="inlineStr">
        <is>
          <t>200x150</t>
        </is>
      </c>
      <c r="F390" t="inlineStr">
        <is>
          <t>Cái</t>
        </is>
      </c>
      <c r="G390" s="2" t="n">
        <v>1</v>
      </c>
      <c r="H390" s="2">
        <f>SUMIF('01_BOC_TACH_ONG'!B:B, B390, '01_BOC_TACH_ONG'!K:K)</f>
        <v/>
      </c>
      <c r="I390" s="2">
        <f>SUMIF('02_BOC_TACH_CUA'!B:B, B390, '02_BOC_TACH_CUA'!K:K)</f>
        <v/>
      </c>
      <c r="J390" s="2">
        <f>SUMIF('03_BOC_TACH_VAN'!B:B, B390, '03_BOC_TACH_VAN'!K:K)</f>
        <v/>
      </c>
      <c r="K390" s="2">
        <f>SUM(H390:J390)</f>
        <v/>
      </c>
      <c r="L390" s="2">
        <f>K390*0.25</f>
        <v/>
      </c>
      <c r="M390" s="2">
        <f>K390*0.10</f>
        <v/>
      </c>
      <c r="N390" s="2">
        <f>K390+L390+M390</f>
        <v/>
      </c>
      <c r="O390" s="2">
        <f>IF(G390&gt;0, N390/G390, 0)</f>
        <v/>
      </c>
      <c r="P390" s="3" t="n">
        <v>0.18</v>
      </c>
      <c r="Q390" s="2">
        <f>O390*(1+P390)</f>
        <v/>
      </c>
      <c r="R390" s="2">
        <f>G390*Q390</f>
        <v/>
      </c>
    </row>
    <row r="391">
      <c r="A391" t="n">
        <v>390</v>
      </c>
      <c r="B391" t="inlineStr">
        <is>
          <t>SW-DAMPER-390</t>
        </is>
      </c>
      <c r="C391" t="inlineStr">
        <is>
          <t>VAN GIÓ</t>
        </is>
      </c>
      <c r="D391" t="inlineStr">
        <is>
          <t>Van điều chỉnh lưu lượng VCD - Kích thước 200x200</t>
        </is>
      </c>
      <c r="E391" t="inlineStr">
        <is>
          <t>200x200</t>
        </is>
      </c>
      <c r="F391" t="inlineStr">
        <is>
          <t>Cái</t>
        </is>
      </c>
      <c r="G391" s="2" t="n">
        <v>2</v>
      </c>
      <c r="H391" s="2">
        <f>SUMIF('01_BOC_TACH_ONG'!B:B, B391, '01_BOC_TACH_ONG'!K:K)</f>
        <v/>
      </c>
      <c r="I391" s="2">
        <f>SUMIF('02_BOC_TACH_CUA'!B:B, B391, '02_BOC_TACH_CUA'!K:K)</f>
        <v/>
      </c>
      <c r="J391" s="2">
        <f>SUMIF('03_BOC_TACH_VAN'!B:B, B391, '03_BOC_TACH_VAN'!K:K)</f>
        <v/>
      </c>
      <c r="K391" s="2">
        <f>SUM(H391:J391)</f>
        <v/>
      </c>
      <c r="L391" s="2">
        <f>K391*0.25</f>
        <v/>
      </c>
      <c r="M391" s="2">
        <f>K391*0.10</f>
        <v/>
      </c>
      <c r="N391" s="2">
        <f>K391+L391+M391</f>
        <v/>
      </c>
      <c r="O391" s="2">
        <f>IF(G391&gt;0, N391/G391, 0)</f>
        <v/>
      </c>
      <c r="P391" s="3" t="n">
        <v>0.18</v>
      </c>
      <c r="Q391" s="2">
        <f>O391*(1+P391)</f>
        <v/>
      </c>
      <c r="R391" s="2">
        <f>G391*Q391</f>
        <v/>
      </c>
    </row>
    <row r="392">
      <c r="A392" t="n">
        <v>391</v>
      </c>
      <c r="B392" t="inlineStr">
        <is>
          <t>SW-DAMPER-391</t>
        </is>
      </c>
      <c r="C392" t="inlineStr">
        <is>
          <t>VAN GIÓ</t>
        </is>
      </c>
      <c r="D392" t="inlineStr">
        <is>
          <t>Van điều chỉnh lưu lượng VCD - Kích thước 250x150</t>
        </is>
      </c>
      <c r="E392" t="inlineStr">
        <is>
          <t>250x150</t>
        </is>
      </c>
      <c r="F392" t="inlineStr">
        <is>
          <t>Cái</t>
        </is>
      </c>
      <c r="G392" s="2" t="n">
        <v>1</v>
      </c>
      <c r="H392" s="2">
        <f>SUMIF('01_BOC_TACH_ONG'!B:B, B392, '01_BOC_TACH_ONG'!K:K)</f>
        <v/>
      </c>
      <c r="I392" s="2">
        <f>SUMIF('02_BOC_TACH_CUA'!B:B, B392, '02_BOC_TACH_CUA'!K:K)</f>
        <v/>
      </c>
      <c r="J392" s="2">
        <f>SUMIF('03_BOC_TACH_VAN'!B:B, B392, '03_BOC_TACH_VAN'!K:K)</f>
        <v/>
      </c>
      <c r="K392" s="2">
        <f>SUM(H392:J392)</f>
        <v/>
      </c>
      <c r="L392" s="2">
        <f>K392*0.25</f>
        <v/>
      </c>
      <c r="M392" s="2">
        <f>K392*0.10</f>
        <v/>
      </c>
      <c r="N392" s="2">
        <f>K392+L392+M392</f>
        <v/>
      </c>
      <c r="O392" s="2">
        <f>IF(G392&gt;0, N392/G392, 0)</f>
        <v/>
      </c>
      <c r="P392" s="3" t="n">
        <v>0.18</v>
      </c>
      <c r="Q392" s="2">
        <f>O392*(1+P392)</f>
        <v/>
      </c>
      <c r="R392" s="2">
        <f>G392*Q392</f>
        <v/>
      </c>
    </row>
    <row r="393">
      <c r="A393" t="n">
        <v>392</v>
      </c>
      <c r="B393" t="inlineStr">
        <is>
          <t>SW-DAMPER-392</t>
        </is>
      </c>
      <c r="C393" t="inlineStr">
        <is>
          <t>VAN GIÓ</t>
        </is>
      </c>
      <c r="D393" t="inlineStr">
        <is>
          <t>Van điều chỉnh lưu lượng VCD - Kích thước 250x200</t>
        </is>
      </c>
      <c r="E393" t="inlineStr">
        <is>
          <t>250x200</t>
        </is>
      </c>
      <c r="F393" t="inlineStr">
        <is>
          <t>Cái</t>
        </is>
      </c>
      <c r="G393" s="2" t="n">
        <v>1</v>
      </c>
      <c r="H393" s="2">
        <f>SUMIF('01_BOC_TACH_ONG'!B:B, B393, '01_BOC_TACH_ONG'!K:K)</f>
        <v/>
      </c>
      <c r="I393" s="2">
        <f>SUMIF('02_BOC_TACH_CUA'!B:B, B393, '02_BOC_TACH_CUA'!K:K)</f>
        <v/>
      </c>
      <c r="J393" s="2">
        <f>SUMIF('03_BOC_TACH_VAN'!B:B, B393, '03_BOC_TACH_VAN'!K:K)</f>
        <v/>
      </c>
      <c r="K393" s="2">
        <f>SUM(H393:J393)</f>
        <v/>
      </c>
      <c r="L393" s="2">
        <f>K393*0.25</f>
        <v/>
      </c>
      <c r="M393" s="2">
        <f>K393*0.10</f>
        <v/>
      </c>
      <c r="N393" s="2">
        <f>K393+L393+M393</f>
        <v/>
      </c>
      <c r="O393" s="2">
        <f>IF(G393&gt;0, N393/G393, 0)</f>
        <v/>
      </c>
      <c r="P393" s="3" t="n">
        <v>0.18</v>
      </c>
      <c r="Q393" s="2">
        <f>O393*(1+P393)</f>
        <v/>
      </c>
      <c r="R393" s="2">
        <f>G393*Q393</f>
        <v/>
      </c>
    </row>
    <row r="394">
      <c r="A394" t="n">
        <v>393</v>
      </c>
      <c r="B394" t="inlineStr">
        <is>
          <t>SW-DAMPER-393</t>
        </is>
      </c>
      <c r="C394" t="inlineStr">
        <is>
          <t>VAN GIÓ</t>
        </is>
      </c>
      <c r="D394" t="inlineStr">
        <is>
          <t>Van điều chỉnh lưu lượng VCD - Kích thước 300x200</t>
        </is>
      </c>
      <c r="E394" t="inlineStr">
        <is>
          <t>300x200</t>
        </is>
      </c>
      <c r="F394" t="inlineStr">
        <is>
          <t>Cái</t>
        </is>
      </c>
      <c r="G394" s="2" t="n">
        <v>5</v>
      </c>
      <c r="H394" s="2">
        <f>SUMIF('01_BOC_TACH_ONG'!B:B, B394, '01_BOC_TACH_ONG'!K:K)</f>
        <v/>
      </c>
      <c r="I394" s="2">
        <f>SUMIF('02_BOC_TACH_CUA'!B:B, B394, '02_BOC_TACH_CUA'!K:K)</f>
        <v/>
      </c>
      <c r="J394" s="2">
        <f>SUMIF('03_BOC_TACH_VAN'!B:B, B394, '03_BOC_TACH_VAN'!K:K)</f>
        <v/>
      </c>
      <c r="K394" s="2">
        <f>SUM(H394:J394)</f>
        <v/>
      </c>
      <c r="L394" s="2">
        <f>K394*0.25</f>
        <v/>
      </c>
      <c r="M394" s="2">
        <f>K394*0.10</f>
        <v/>
      </c>
      <c r="N394" s="2">
        <f>K394+L394+M394</f>
        <v/>
      </c>
      <c r="O394" s="2">
        <f>IF(G394&gt;0, N394/G394, 0)</f>
        <v/>
      </c>
      <c r="P394" s="3" t="n">
        <v>0.18</v>
      </c>
      <c r="Q394" s="2">
        <f>O394*(1+P394)</f>
        <v/>
      </c>
      <c r="R394" s="2">
        <f>G394*Q394</f>
        <v/>
      </c>
    </row>
    <row r="395">
      <c r="A395" t="n">
        <v>394</v>
      </c>
      <c r="B395" t="inlineStr">
        <is>
          <t>SW-DAMPER-394</t>
        </is>
      </c>
      <c r="C395" t="inlineStr">
        <is>
          <t>VAN GIÓ</t>
        </is>
      </c>
      <c r="D395" t="inlineStr">
        <is>
          <t>Van điều chỉnh lưu lượng VCD - Kích thước 300x250</t>
        </is>
      </c>
      <c r="E395" t="inlineStr">
        <is>
          <t>300x250</t>
        </is>
      </c>
      <c r="F395" t="inlineStr">
        <is>
          <t>Cái</t>
        </is>
      </c>
      <c r="G395" s="2" t="n">
        <v>1</v>
      </c>
      <c r="H395" s="2">
        <f>SUMIF('01_BOC_TACH_ONG'!B:B, B395, '01_BOC_TACH_ONG'!K:K)</f>
        <v/>
      </c>
      <c r="I395" s="2">
        <f>SUMIF('02_BOC_TACH_CUA'!B:B, B395, '02_BOC_TACH_CUA'!K:K)</f>
        <v/>
      </c>
      <c r="J395" s="2">
        <f>SUMIF('03_BOC_TACH_VAN'!B:B, B395, '03_BOC_TACH_VAN'!K:K)</f>
        <v/>
      </c>
      <c r="K395" s="2">
        <f>SUM(H395:J395)</f>
        <v/>
      </c>
      <c r="L395" s="2">
        <f>K395*0.25</f>
        <v/>
      </c>
      <c r="M395" s="2">
        <f>K395*0.10</f>
        <v/>
      </c>
      <c r="N395" s="2">
        <f>K395+L395+M395</f>
        <v/>
      </c>
      <c r="O395" s="2">
        <f>IF(G395&gt;0, N395/G395, 0)</f>
        <v/>
      </c>
      <c r="P395" s="3" t="n">
        <v>0.18</v>
      </c>
      <c r="Q395" s="2">
        <f>O395*(1+P395)</f>
        <v/>
      </c>
      <c r="R395" s="2">
        <f>G395*Q395</f>
        <v/>
      </c>
    </row>
    <row r="396">
      <c r="A396" t="n">
        <v>395</v>
      </c>
      <c r="B396" t="inlineStr">
        <is>
          <t>SW-DAMPER-395</t>
        </is>
      </c>
      <c r="C396" t="inlineStr">
        <is>
          <t>VAN GIÓ</t>
        </is>
      </c>
      <c r="D396" t="inlineStr">
        <is>
          <t>Van điều chỉnh lưu lượng VCD - Kích thước 350x250</t>
        </is>
      </c>
      <c r="E396" t="inlineStr">
        <is>
          <t>350x250</t>
        </is>
      </c>
      <c r="F396" t="inlineStr">
        <is>
          <t>Cái</t>
        </is>
      </c>
      <c r="G396" s="2" t="n">
        <v>2</v>
      </c>
      <c r="H396" s="2">
        <f>SUMIF('01_BOC_TACH_ONG'!B:B, B396, '01_BOC_TACH_ONG'!K:K)</f>
        <v/>
      </c>
      <c r="I396" s="2">
        <f>SUMIF('02_BOC_TACH_CUA'!B:B, B396, '02_BOC_TACH_CUA'!K:K)</f>
        <v/>
      </c>
      <c r="J396" s="2">
        <f>SUMIF('03_BOC_TACH_VAN'!B:B, B396, '03_BOC_TACH_VAN'!K:K)</f>
        <v/>
      </c>
      <c r="K396" s="2">
        <f>SUM(H396:J396)</f>
        <v/>
      </c>
      <c r="L396" s="2">
        <f>K396*0.25</f>
        <v/>
      </c>
      <c r="M396" s="2">
        <f>K396*0.10</f>
        <v/>
      </c>
      <c r="N396" s="2">
        <f>K396+L396+M396</f>
        <v/>
      </c>
      <c r="O396" s="2">
        <f>IF(G396&gt;0, N396/G396, 0)</f>
        <v/>
      </c>
      <c r="P396" s="3" t="n">
        <v>0.18</v>
      </c>
      <c r="Q396" s="2">
        <f>O396*(1+P396)</f>
        <v/>
      </c>
      <c r="R396" s="2">
        <f>G396*Q396</f>
        <v/>
      </c>
    </row>
    <row r="397">
      <c r="A397" t="n">
        <v>396</v>
      </c>
      <c r="B397" t="inlineStr">
        <is>
          <t>SW-DAMPER-396</t>
        </is>
      </c>
      <c r="C397" t="inlineStr">
        <is>
          <t>VAN GIÓ</t>
        </is>
      </c>
      <c r="D397" t="inlineStr">
        <is>
          <t>Van điều chỉnh lưu lượng VCD - Kích thước 400x200</t>
        </is>
      </c>
      <c r="E397" t="inlineStr">
        <is>
          <t>400x200</t>
        </is>
      </c>
      <c r="F397" t="inlineStr">
        <is>
          <t>Cái</t>
        </is>
      </c>
      <c r="G397" s="2" t="n">
        <v>7</v>
      </c>
      <c r="H397" s="2">
        <f>SUMIF('01_BOC_TACH_ONG'!B:B, B397, '01_BOC_TACH_ONG'!K:K)</f>
        <v/>
      </c>
      <c r="I397" s="2">
        <f>SUMIF('02_BOC_TACH_CUA'!B:B, B397, '02_BOC_TACH_CUA'!K:K)</f>
        <v/>
      </c>
      <c r="J397" s="2">
        <f>SUMIF('03_BOC_TACH_VAN'!B:B, B397, '03_BOC_TACH_VAN'!K:K)</f>
        <v/>
      </c>
      <c r="K397" s="2">
        <f>SUM(H397:J397)</f>
        <v/>
      </c>
      <c r="L397" s="2">
        <f>K397*0.25</f>
        <v/>
      </c>
      <c r="M397" s="2">
        <f>K397*0.10</f>
        <v/>
      </c>
      <c r="N397" s="2">
        <f>K397+L397+M397</f>
        <v/>
      </c>
      <c r="O397" s="2">
        <f>IF(G397&gt;0, N397/G397, 0)</f>
        <v/>
      </c>
      <c r="P397" s="3" t="n">
        <v>0.18</v>
      </c>
      <c r="Q397" s="2">
        <f>O397*(1+P397)</f>
        <v/>
      </c>
      <c r="R397" s="2">
        <f>G397*Q397</f>
        <v/>
      </c>
    </row>
    <row r="398">
      <c r="A398" t="n">
        <v>397</v>
      </c>
      <c r="B398" t="inlineStr">
        <is>
          <t>SW-DAMPER-397</t>
        </is>
      </c>
      <c r="C398" t="inlineStr">
        <is>
          <t>VAN GIÓ</t>
        </is>
      </c>
      <c r="D398" t="inlineStr">
        <is>
          <t>Van điều chỉnh lưu lượng VCD - Kích thước 400x250</t>
        </is>
      </c>
      <c r="E398" t="inlineStr">
        <is>
          <t>400x250</t>
        </is>
      </c>
      <c r="F398" t="inlineStr">
        <is>
          <t>Cái</t>
        </is>
      </c>
      <c r="G398" s="2" t="n">
        <v>1</v>
      </c>
      <c r="H398" s="2">
        <f>SUMIF('01_BOC_TACH_ONG'!B:B, B398, '01_BOC_TACH_ONG'!K:K)</f>
        <v/>
      </c>
      <c r="I398" s="2">
        <f>SUMIF('02_BOC_TACH_CUA'!B:B, B398, '02_BOC_TACH_CUA'!K:K)</f>
        <v/>
      </c>
      <c r="J398" s="2">
        <f>SUMIF('03_BOC_TACH_VAN'!B:B, B398, '03_BOC_TACH_VAN'!K:K)</f>
        <v/>
      </c>
      <c r="K398" s="2">
        <f>SUM(H398:J398)</f>
        <v/>
      </c>
      <c r="L398" s="2">
        <f>K398*0.25</f>
        <v/>
      </c>
      <c r="M398" s="2">
        <f>K398*0.10</f>
        <v/>
      </c>
      <c r="N398" s="2">
        <f>K398+L398+M398</f>
        <v/>
      </c>
      <c r="O398" s="2">
        <f>IF(G398&gt;0, N398/G398, 0)</f>
        <v/>
      </c>
      <c r="P398" s="3" t="n">
        <v>0.18</v>
      </c>
      <c r="Q398" s="2">
        <f>O398*(1+P398)</f>
        <v/>
      </c>
      <c r="R398" s="2">
        <f>G398*Q398</f>
        <v/>
      </c>
    </row>
    <row r="399">
      <c r="A399" t="n">
        <v>398</v>
      </c>
      <c r="B399" t="inlineStr">
        <is>
          <t>SW-DAMPER-398</t>
        </is>
      </c>
      <c r="C399" t="inlineStr">
        <is>
          <t>VAN GIÓ</t>
        </is>
      </c>
      <c r="D399" t="inlineStr">
        <is>
          <t>Van điều chỉnh lưu lượng VCD - Kích thước 400x300</t>
        </is>
      </c>
      <c r="E399" t="inlineStr">
        <is>
          <t>400x300</t>
        </is>
      </c>
      <c r="F399" t="inlineStr">
        <is>
          <t>Cái</t>
        </is>
      </c>
      <c r="G399" s="2" t="n">
        <v>3</v>
      </c>
      <c r="H399" s="2">
        <f>SUMIF('01_BOC_TACH_ONG'!B:B, B399, '01_BOC_TACH_ONG'!K:K)</f>
        <v/>
      </c>
      <c r="I399" s="2">
        <f>SUMIF('02_BOC_TACH_CUA'!B:B, B399, '02_BOC_TACH_CUA'!K:K)</f>
        <v/>
      </c>
      <c r="J399" s="2">
        <f>SUMIF('03_BOC_TACH_VAN'!B:B, B399, '03_BOC_TACH_VAN'!K:K)</f>
        <v/>
      </c>
      <c r="K399" s="2">
        <f>SUM(H399:J399)</f>
        <v/>
      </c>
      <c r="L399" s="2">
        <f>K399*0.25</f>
        <v/>
      </c>
      <c r="M399" s="2">
        <f>K399*0.10</f>
        <v/>
      </c>
      <c r="N399" s="2">
        <f>K399+L399+M399</f>
        <v/>
      </c>
      <c r="O399" s="2">
        <f>IF(G399&gt;0, N399/G399, 0)</f>
        <v/>
      </c>
      <c r="P399" s="3" t="n">
        <v>0.18</v>
      </c>
      <c r="Q399" s="2">
        <f>O399*(1+P399)</f>
        <v/>
      </c>
      <c r="R399" s="2">
        <f>G399*Q399</f>
        <v/>
      </c>
    </row>
    <row r="400">
      <c r="A400" t="n">
        <v>399</v>
      </c>
      <c r="B400" t="inlineStr">
        <is>
          <t>SW-DAMPER-399</t>
        </is>
      </c>
      <c r="C400" t="inlineStr">
        <is>
          <t>VAN GIÓ</t>
        </is>
      </c>
      <c r="D400" t="inlineStr">
        <is>
          <t>Van điều chỉnh lưu lượng VCD - Kích thước 450x250</t>
        </is>
      </c>
      <c r="E400" t="inlineStr">
        <is>
          <t>450x250</t>
        </is>
      </c>
      <c r="F400" t="inlineStr">
        <is>
          <t>Cái</t>
        </is>
      </c>
      <c r="G400" s="2" t="n">
        <v>1</v>
      </c>
      <c r="H400" s="2">
        <f>SUMIF('01_BOC_TACH_ONG'!B:B, B400, '01_BOC_TACH_ONG'!K:K)</f>
        <v/>
      </c>
      <c r="I400" s="2">
        <f>SUMIF('02_BOC_TACH_CUA'!B:B, B400, '02_BOC_TACH_CUA'!K:K)</f>
        <v/>
      </c>
      <c r="J400" s="2">
        <f>SUMIF('03_BOC_TACH_VAN'!B:B, B400, '03_BOC_TACH_VAN'!K:K)</f>
        <v/>
      </c>
      <c r="K400" s="2">
        <f>SUM(H400:J400)</f>
        <v/>
      </c>
      <c r="L400" s="2">
        <f>K400*0.25</f>
        <v/>
      </c>
      <c r="M400" s="2">
        <f>K400*0.10</f>
        <v/>
      </c>
      <c r="N400" s="2">
        <f>K400+L400+M400</f>
        <v/>
      </c>
      <c r="O400" s="2">
        <f>IF(G400&gt;0, N400/G400, 0)</f>
        <v/>
      </c>
      <c r="P400" s="3" t="n">
        <v>0.18</v>
      </c>
      <c r="Q400" s="2">
        <f>O400*(1+P400)</f>
        <v/>
      </c>
      <c r="R400" s="2">
        <f>G400*Q400</f>
        <v/>
      </c>
    </row>
    <row r="401">
      <c r="A401" t="n">
        <v>400</v>
      </c>
      <c r="B401" t="inlineStr">
        <is>
          <t>SW-DAMPER-400</t>
        </is>
      </c>
      <c r="C401" t="inlineStr">
        <is>
          <t>VAN GIÓ</t>
        </is>
      </c>
      <c r="D401" t="inlineStr">
        <is>
          <t>Van điều chỉnh lưu lượng VCD - Kích thước 500x250</t>
        </is>
      </c>
      <c r="E401" t="inlineStr">
        <is>
          <t>500x250</t>
        </is>
      </c>
      <c r="F401" t="inlineStr">
        <is>
          <t>Cái</t>
        </is>
      </c>
      <c r="G401" s="2" t="n">
        <v>1</v>
      </c>
      <c r="H401" s="2">
        <f>SUMIF('01_BOC_TACH_ONG'!B:B, B401, '01_BOC_TACH_ONG'!K:K)</f>
        <v/>
      </c>
      <c r="I401" s="2">
        <f>SUMIF('02_BOC_TACH_CUA'!B:B, B401, '02_BOC_TACH_CUA'!K:K)</f>
        <v/>
      </c>
      <c r="J401" s="2">
        <f>SUMIF('03_BOC_TACH_VAN'!B:B, B401, '03_BOC_TACH_VAN'!K:K)</f>
        <v/>
      </c>
      <c r="K401" s="2">
        <f>SUM(H401:J401)</f>
        <v/>
      </c>
      <c r="L401" s="2">
        <f>K401*0.25</f>
        <v/>
      </c>
      <c r="M401" s="2">
        <f>K401*0.10</f>
        <v/>
      </c>
      <c r="N401" s="2">
        <f>K401+L401+M401</f>
        <v/>
      </c>
      <c r="O401" s="2">
        <f>IF(G401&gt;0, N401/G401, 0)</f>
        <v/>
      </c>
      <c r="P401" s="3" t="n">
        <v>0.18</v>
      </c>
      <c r="Q401" s="2">
        <f>O401*(1+P401)</f>
        <v/>
      </c>
      <c r="R401" s="2">
        <f>G401*Q401</f>
        <v/>
      </c>
    </row>
    <row r="402">
      <c r="A402" t="n">
        <v>401</v>
      </c>
      <c r="B402" t="inlineStr">
        <is>
          <t>SW-DAMPER-401</t>
        </is>
      </c>
      <c r="C402" t="inlineStr">
        <is>
          <t>VAN GIÓ</t>
        </is>
      </c>
      <c r="D402" t="inlineStr">
        <is>
          <t>Van điều chỉnh lưu lượng VCD - Kích thước 500x300</t>
        </is>
      </c>
      <c r="E402" t="inlineStr">
        <is>
          <t>500x300</t>
        </is>
      </c>
      <c r="F402" t="inlineStr">
        <is>
          <t>Cái</t>
        </is>
      </c>
      <c r="G402" s="2" t="n">
        <v>1</v>
      </c>
      <c r="H402" s="2">
        <f>SUMIF('01_BOC_TACH_ONG'!B:B, B402, '01_BOC_TACH_ONG'!K:K)</f>
        <v/>
      </c>
      <c r="I402" s="2">
        <f>SUMIF('02_BOC_TACH_CUA'!B:B, B402, '02_BOC_TACH_CUA'!K:K)</f>
        <v/>
      </c>
      <c r="J402" s="2">
        <f>SUMIF('03_BOC_TACH_VAN'!B:B, B402, '03_BOC_TACH_VAN'!K:K)</f>
        <v/>
      </c>
      <c r="K402" s="2">
        <f>SUM(H402:J402)</f>
        <v/>
      </c>
      <c r="L402" s="2">
        <f>K402*0.25</f>
        <v/>
      </c>
      <c r="M402" s="2">
        <f>K402*0.10</f>
        <v/>
      </c>
      <c r="N402" s="2">
        <f>K402+L402+M402</f>
        <v/>
      </c>
      <c r="O402" s="2">
        <f>IF(G402&gt;0, N402/G402, 0)</f>
        <v/>
      </c>
      <c r="P402" s="3" t="n">
        <v>0.18</v>
      </c>
      <c r="Q402" s="2">
        <f>O402*(1+P402)</f>
        <v/>
      </c>
      <c r="R402" s="2">
        <f>G402*Q402</f>
        <v/>
      </c>
    </row>
    <row r="403">
      <c r="A403" t="n">
        <v>402</v>
      </c>
      <c r="B403" t="inlineStr">
        <is>
          <t>SW-DAMPER-402</t>
        </is>
      </c>
      <c r="C403" t="inlineStr">
        <is>
          <t>VAN GIÓ</t>
        </is>
      </c>
      <c r="D403" t="inlineStr">
        <is>
          <t>Van điều chỉnh lưu lượng VCD - Kích thước 600x250</t>
        </is>
      </c>
      <c r="E403" t="inlineStr">
        <is>
          <t>600x250</t>
        </is>
      </c>
      <c r="F403" t="inlineStr">
        <is>
          <t>Cái</t>
        </is>
      </c>
      <c r="G403" s="2" t="n">
        <v>1</v>
      </c>
      <c r="H403" s="2">
        <f>SUMIF('01_BOC_TACH_ONG'!B:B, B403, '01_BOC_TACH_ONG'!K:K)</f>
        <v/>
      </c>
      <c r="I403" s="2">
        <f>SUMIF('02_BOC_TACH_CUA'!B:B, B403, '02_BOC_TACH_CUA'!K:K)</f>
        <v/>
      </c>
      <c r="J403" s="2">
        <f>SUMIF('03_BOC_TACH_VAN'!B:B, B403, '03_BOC_TACH_VAN'!K:K)</f>
        <v/>
      </c>
      <c r="K403" s="2">
        <f>SUM(H403:J403)</f>
        <v/>
      </c>
      <c r="L403" s="2">
        <f>K403*0.25</f>
        <v/>
      </c>
      <c r="M403" s="2">
        <f>K403*0.10</f>
        <v/>
      </c>
      <c r="N403" s="2">
        <f>K403+L403+M403</f>
        <v/>
      </c>
      <c r="O403" s="2">
        <f>IF(G403&gt;0, N403/G403, 0)</f>
        <v/>
      </c>
      <c r="P403" s="3" t="n">
        <v>0.18</v>
      </c>
      <c r="Q403" s="2">
        <f>O403*(1+P403)</f>
        <v/>
      </c>
      <c r="R403" s="2">
        <f>G403*Q403</f>
        <v/>
      </c>
    </row>
    <row r="404">
      <c r="A404" t="n">
        <v>403</v>
      </c>
      <c r="B404" t="inlineStr">
        <is>
          <t>SW-DAMPER-403</t>
        </is>
      </c>
      <c r="C404" t="inlineStr">
        <is>
          <t>VAN GIÓ</t>
        </is>
      </c>
      <c r="D404" t="inlineStr">
        <is>
          <t>Van điều chỉnh lưu lượng VCD - Kích thước 600x300</t>
        </is>
      </c>
      <c r="E404" t="inlineStr">
        <is>
          <t>600x300</t>
        </is>
      </c>
      <c r="F404" t="inlineStr">
        <is>
          <t>Cái</t>
        </is>
      </c>
      <c r="G404" s="2" t="n">
        <v>4</v>
      </c>
      <c r="H404" s="2">
        <f>SUMIF('01_BOC_TACH_ONG'!B:B, B404, '01_BOC_TACH_ONG'!K:K)</f>
        <v/>
      </c>
      <c r="I404" s="2">
        <f>SUMIF('02_BOC_TACH_CUA'!B:B, B404, '02_BOC_TACH_CUA'!K:K)</f>
        <v/>
      </c>
      <c r="J404" s="2">
        <f>SUMIF('03_BOC_TACH_VAN'!B:B, B404, '03_BOC_TACH_VAN'!K:K)</f>
        <v/>
      </c>
      <c r="K404" s="2">
        <f>SUM(H404:J404)</f>
        <v/>
      </c>
      <c r="L404" s="2">
        <f>K404*0.25</f>
        <v/>
      </c>
      <c r="M404" s="2">
        <f>K404*0.10</f>
        <v/>
      </c>
      <c r="N404" s="2">
        <f>K404+L404+M404</f>
        <v/>
      </c>
      <c r="O404" s="2">
        <f>IF(G404&gt;0, N404/G404, 0)</f>
        <v/>
      </c>
      <c r="P404" s="3" t="n">
        <v>0.18</v>
      </c>
      <c r="Q404" s="2">
        <f>O404*(1+P404)</f>
        <v/>
      </c>
      <c r="R404" s="2">
        <f>G404*Q404</f>
        <v/>
      </c>
    </row>
    <row r="405">
      <c r="A405" t="n">
        <v>404</v>
      </c>
      <c r="B405" t="inlineStr">
        <is>
          <t>SW-DAMPER-404</t>
        </is>
      </c>
      <c r="C405" t="inlineStr">
        <is>
          <t>VAN GIÓ</t>
        </is>
      </c>
      <c r="D405" t="inlineStr">
        <is>
          <t>Van điều chỉnh lưu lượng VCD - Kích thước 600x400</t>
        </is>
      </c>
      <c r="E405" t="inlineStr">
        <is>
          <t>600x400</t>
        </is>
      </c>
      <c r="F405" t="inlineStr">
        <is>
          <t>Cái</t>
        </is>
      </c>
      <c r="G405" s="2" t="n">
        <v>1</v>
      </c>
      <c r="H405" s="2">
        <f>SUMIF('01_BOC_TACH_ONG'!B:B, B405, '01_BOC_TACH_ONG'!K:K)</f>
        <v/>
      </c>
      <c r="I405" s="2">
        <f>SUMIF('02_BOC_TACH_CUA'!B:B, B405, '02_BOC_TACH_CUA'!K:K)</f>
        <v/>
      </c>
      <c r="J405" s="2">
        <f>SUMIF('03_BOC_TACH_VAN'!B:B, B405, '03_BOC_TACH_VAN'!K:K)</f>
        <v/>
      </c>
      <c r="K405" s="2">
        <f>SUM(H405:J405)</f>
        <v/>
      </c>
      <c r="L405" s="2">
        <f>K405*0.25</f>
        <v/>
      </c>
      <c r="M405" s="2">
        <f>K405*0.10</f>
        <v/>
      </c>
      <c r="N405" s="2">
        <f>K405+L405+M405</f>
        <v/>
      </c>
      <c r="O405" s="2">
        <f>IF(G405&gt;0, N405/G405, 0)</f>
        <v/>
      </c>
      <c r="P405" s="3" t="n">
        <v>0.18</v>
      </c>
      <c r="Q405" s="2">
        <f>O405*(1+P405)</f>
        <v/>
      </c>
      <c r="R405" s="2">
        <f>G405*Q405</f>
        <v/>
      </c>
    </row>
    <row r="406">
      <c r="A406" t="n">
        <v>405</v>
      </c>
      <c r="B406" t="inlineStr">
        <is>
          <t>SW-DAMPER-405</t>
        </is>
      </c>
      <c r="C406" t="inlineStr">
        <is>
          <t>VAN GIÓ</t>
        </is>
      </c>
      <c r="D406" t="inlineStr">
        <is>
          <t>Van điều chỉnh lưu lượng VCD - Kích thước 650x250</t>
        </is>
      </c>
      <c r="E406" t="inlineStr">
        <is>
          <t>650x250</t>
        </is>
      </c>
      <c r="F406" t="inlineStr">
        <is>
          <t>Cái</t>
        </is>
      </c>
      <c r="G406" s="2" t="n">
        <v>2</v>
      </c>
      <c r="H406" s="2">
        <f>SUMIF('01_BOC_TACH_ONG'!B:B, B406, '01_BOC_TACH_ONG'!K:K)</f>
        <v/>
      </c>
      <c r="I406" s="2">
        <f>SUMIF('02_BOC_TACH_CUA'!B:B, B406, '02_BOC_TACH_CUA'!K:K)</f>
        <v/>
      </c>
      <c r="J406" s="2">
        <f>SUMIF('03_BOC_TACH_VAN'!B:B, B406, '03_BOC_TACH_VAN'!K:K)</f>
        <v/>
      </c>
      <c r="K406" s="2">
        <f>SUM(H406:J406)</f>
        <v/>
      </c>
      <c r="L406" s="2">
        <f>K406*0.25</f>
        <v/>
      </c>
      <c r="M406" s="2">
        <f>K406*0.10</f>
        <v/>
      </c>
      <c r="N406" s="2">
        <f>K406+L406+M406</f>
        <v/>
      </c>
      <c r="O406" s="2">
        <f>IF(G406&gt;0, N406/G406, 0)</f>
        <v/>
      </c>
      <c r="P406" s="3" t="n">
        <v>0.18</v>
      </c>
      <c r="Q406" s="2">
        <f>O406*(1+P406)</f>
        <v/>
      </c>
      <c r="R406" s="2">
        <f>G406*Q406</f>
        <v/>
      </c>
    </row>
    <row r="407">
      <c r="A407" t="n">
        <v>406</v>
      </c>
      <c r="B407" t="inlineStr">
        <is>
          <t>SW-DAMPER-406</t>
        </is>
      </c>
      <c r="C407" t="inlineStr">
        <is>
          <t>VAN GIÓ</t>
        </is>
      </c>
      <c r="D407" t="inlineStr">
        <is>
          <t>Van điều chỉnh lưu lượng VCD - Kích thước 650x300</t>
        </is>
      </c>
      <c r="E407" t="inlineStr">
        <is>
          <t>650x300</t>
        </is>
      </c>
      <c r="F407" t="inlineStr">
        <is>
          <t>Cái</t>
        </is>
      </c>
      <c r="G407" s="2" t="n">
        <v>1</v>
      </c>
      <c r="H407" s="2">
        <f>SUMIF('01_BOC_TACH_ONG'!B:B, B407, '01_BOC_TACH_ONG'!K:K)</f>
        <v/>
      </c>
      <c r="I407" s="2">
        <f>SUMIF('02_BOC_TACH_CUA'!B:B, B407, '02_BOC_TACH_CUA'!K:K)</f>
        <v/>
      </c>
      <c r="J407" s="2">
        <f>SUMIF('03_BOC_TACH_VAN'!B:B, B407, '03_BOC_TACH_VAN'!K:K)</f>
        <v/>
      </c>
      <c r="K407" s="2">
        <f>SUM(H407:J407)</f>
        <v/>
      </c>
      <c r="L407" s="2">
        <f>K407*0.25</f>
        <v/>
      </c>
      <c r="M407" s="2">
        <f>K407*0.10</f>
        <v/>
      </c>
      <c r="N407" s="2">
        <f>K407+L407+M407</f>
        <v/>
      </c>
      <c r="O407" s="2">
        <f>IF(G407&gt;0, N407/G407, 0)</f>
        <v/>
      </c>
      <c r="P407" s="3" t="n">
        <v>0.18</v>
      </c>
      <c r="Q407" s="2">
        <f>O407*(1+P407)</f>
        <v/>
      </c>
      <c r="R407" s="2">
        <f>G407*Q407</f>
        <v/>
      </c>
    </row>
    <row r="408">
      <c r="A408" t="n">
        <v>407</v>
      </c>
      <c r="B408" t="inlineStr">
        <is>
          <t>SW-DAMPER-407</t>
        </is>
      </c>
      <c r="C408" t="inlineStr">
        <is>
          <t>VAN GIÓ</t>
        </is>
      </c>
      <c r="D408" t="inlineStr">
        <is>
          <t>Van điều chỉnh lưu lượng VCD - Kích thước 650x350</t>
        </is>
      </c>
      <c r="E408" t="inlineStr">
        <is>
          <t>650x350</t>
        </is>
      </c>
      <c r="F408" t="inlineStr">
        <is>
          <t>Cái</t>
        </is>
      </c>
      <c r="G408" s="2" t="n">
        <v>1</v>
      </c>
      <c r="H408" s="2">
        <f>SUMIF('01_BOC_TACH_ONG'!B:B, B408, '01_BOC_TACH_ONG'!K:K)</f>
        <v/>
      </c>
      <c r="I408" s="2">
        <f>SUMIF('02_BOC_TACH_CUA'!B:B, B408, '02_BOC_TACH_CUA'!K:K)</f>
        <v/>
      </c>
      <c r="J408" s="2">
        <f>SUMIF('03_BOC_TACH_VAN'!B:B, B408, '03_BOC_TACH_VAN'!K:K)</f>
        <v/>
      </c>
      <c r="K408" s="2">
        <f>SUM(H408:J408)</f>
        <v/>
      </c>
      <c r="L408" s="2">
        <f>K408*0.25</f>
        <v/>
      </c>
      <c r="M408" s="2">
        <f>K408*0.10</f>
        <v/>
      </c>
      <c r="N408" s="2">
        <f>K408+L408+M408</f>
        <v/>
      </c>
      <c r="O408" s="2">
        <f>IF(G408&gt;0, N408/G408, 0)</f>
        <v/>
      </c>
      <c r="P408" s="3" t="n">
        <v>0.18</v>
      </c>
      <c r="Q408" s="2">
        <f>O408*(1+P408)</f>
        <v/>
      </c>
      <c r="R408" s="2">
        <f>G408*Q408</f>
        <v/>
      </c>
    </row>
    <row r="409">
      <c r="A409" t="n">
        <v>408</v>
      </c>
      <c r="B409" t="inlineStr">
        <is>
          <t>SW-DAMPER-408</t>
        </is>
      </c>
      <c r="C409" t="inlineStr">
        <is>
          <t>VAN GIÓ</t>
        </is>
      </c>
      <c r="D409" t="inlineStr">
        <is>
          <t>Van điều chỉnh lưu lượng VCD - Kích thước 650x400</t>
        </is>
      </c>
      <c r="E409" t="inlineStr">
        <is>
          <t>650x400</t>
        </is>
      </c>
      <c r="F409" t="inlineStr">
        <is>
          <t>Cái</t>
        </is>
      </c>
      <c r="G409" s="2" t="n">
        <v>1</v>
      </c>
      <c r="H409" s="2">
        <f>SUMIF('01_BOC_TACH_ONG'!B:B, B409, '01_BOC_TACH_ONG'!K:K)</f>
        <v/>
      </c>
      <c r="I409" s="2">
        <f>SUMIF('02_BOC_TACH_CUA'!B:B, B409, '02_BOC_TACH_CUA'!K:K)</f>
        <v/>
      </c>
      <c r="J409" s="2">
        <f>SUMIF('03_BOC_TACH_VAN'!B:B, B409, '03_BOC_TACH_VAN'!K:K)</f>
        <v/>
      </c>
      <c r="K409" s="2">
        <f>SUM(H409:J409)</f>
        <v/>
      </c>
      <c r="L409" s="2">
        <f>K409*0.25</f>
        <v/>
      </c>
      <c r="M409" s="2">
        <f>K409*0.10</f>
        <v/>
      </c>
      <c r="N409" s="2">
        <f>K409+L409+M409</f>
        <v/>
      </c>
      <c r="O409" s="2">
        <f>IF(G409&gt;0, N409/G409, 0)</f>
        <v/>
      </c>
      <c r="P409" s="3" t="n">
        <v>0.18</v>
      </c>
      <c r="Q409" s="2">
        <f>O409*(1+P409)</f>
        <v/>
      </c>
      <c r="R409" s="2">
        <f>G409*Q409</f>
        <v/>
      </c>
    </row>
    <row r="410">
      <c r="A410" t="n">
        <v>409</v>
      </c>
      <c r="B410" t="inlineStr">
        <is>
          <t>SW-DAMPER-409</t>
        </is>
      </c>
      <c r="C410" t="inlineStr">
        <is>
          <t>VAN GIÓ</t>
        </is>
      </c>
      <c r="D410" t="inlineStr">
        <is>
          <t>Van điều chỉnh lưu lượng VCD - Kích thước 700x350</t>
        </is>
      </c>
      <c r="E410" t="inlineStr">
        <is>
          <t>700x350</t>
        </is>
      </c>
      <c r="F410" t="inlineStr">
        <is>
          <t>Cái</t>
        </is>
      </c>
      <c r="G410" s="2" t="n">
        <v>1</v>
      </c>
      <c r="H410" s="2">
        <f>SUMIF('01_BOC_TACH_ONG'!B:B, B410, '01_BOC_TACH_ONG'!K:K)</f>
        <v/>
      </c>
      <c r="I410" s="2">
        <f>SUMIF('02_BOC_TACH_CUA'!B:B, B410, '02_BOC_TACH_CUA'!K:K)</f>
        <v/>
      </c>
      <c r="J410" s="2">
        <f>SUMIF('03_BOC_TACH_VAN'!B:B, B410, '03_BOC_TACH_VAN'!K:K)</f>
        <v/>
      </c>
      <c r="K410" s="2">
        <f>SUM(H410:J410)</f>
        <v/>
      </c>
      <c r="L410" s="2">
        <f>K410*0.25</f>
        <v/>
      </c>
      <c r="M410" s="2">
        <f>K410*0.10</f>
        <v/>
      </c>
      <c r="N410" s="2">
        <f>K410+L410+M410</f>
        <v/>
      </c>
      <c r="O410" s="2">
        <f>IF(G410&gt;0, N410/G410, 0)</f>
        <v/>
      </c>
      <c r="P410" s="3" t="n">
        <v>0.18</v>
      </c>
      <c r="Q410" s="2">
        <f>O410*(1+P410)</f>
        <v/>
      </c>
      <c r="R410" s="2">
        <f>G410*Q410</f>
        <v/>
      </c>
    </row>
    <row r="411">
      <c r="A411" t="n">
        <v>410</v>
      </c>
      <c r="B411" t="inlineStr">
        <is>
          <t>SW-DAMPER-410</t>
        </is>
      </c>
      <c r="C411" t="inlineStr">
        <is>
          <t>VAN GIÓ</t>
        </is>
      </c>
      <c r="D411" t="inlineStr">
        <is>
          <t>Van điều chỉnh lưu lượng VCD - Kích thước 700x400</t>
        </is>
      </c>
      <c r="E411" t="inlineStr">
        <is>
          <t>700x400</t>
        </is>
      </c>
      <c r="F411" t="inlineStr">
        <is>
          <t>Cái</t>
        </is>
      </c>
      <c r="G411" s="2" t="n">
        <v>1</v>
      </c>
      <c r="H411" s="2">
        <f>SUMIF('01_BOC_TACH_ONG'!B:B, B411, '01_BOC_TACH_ONG'!K:K)</f>
        <v/>
      </c>
      <c r="I411" s="2">
        <f>SUMIF('02_BOC_TACH_CUA'!B:B, B411, '02_BOC_TACH_CUA'!K:K)</f>
        <v/>
      </c>
      <c r="J411" s="2">
        <f>SUMIF('03_BOC_TACH_VAN'!B:B, B411, '03_BOC_TACH_VAN'!K:K)</f>
        <v/>
      </c>
      <c r="K411" s="2">
        <f>SUM(H411:J411)</f>
        <v/>
      </c>
      <c r="L411" s="2">
        <f>K411*0.25</f>
        <v/>
      </c>
      <c r="M411" s="2">
        <f>K411*0.10</f>
        <v/>
      </c>
      <c r="N411" s="2">
        <f>K411+L411+M411</f>
        <v/>
      </c>
      <c r="O411" s="2">
        <f>IF(G411&gt;0, N411/G411, 0)</f>
        <v/>
      </c>
      <c r="P411" s="3" t="n">
        <v>0.18</v>
      </c>
      <c r="Q411" s="2">
        <f>O411*(1+P411)</f>
        <v/>
      </c>
      <c r="R411" s="2">
        <f>G411*Q411</f>
        <v/>
      </c>
    </row>
    <row r="412">
      <c r="A412" t="n">
        <v>411</v>
      </c>
      <c r="B412" t="inlineStr">
        <is>
          <t>SW-DAMPER-411</t>
        </is>
      </c>
      <c r="C412" t="inlineStr">
        <is>
          <t>VAN GIÓ</t>
        </is>
      </c>
      <c r="D412" t="inlineStr">
        <is>
          <t>Van điều chỉnh lưu lượng VCD - Kích thước 800x600</t>
        </is>
      </c>
      <c r="E412" t="inlineStr">
        <is>
          <t>800x600</t>
        </is>
      </c>
      <c r="F412" t="inlineStr">
        <is>
          <t>Cái</t>
        </is>
      </c>
      <c r="G412" s="2" t="n">
        <v>1</v>
      </c>
      <c r="H412" s="2">
        <f>SUMIF('01_BOC_TACH_ONG'!B:B, B412, '01_BOC_TACH_ONG'!K:K)</f>
        <v/>
      </c>
      <c r="I412" s="2">
        <f>SUMIF('02_BOC_TACH_CUA'!B:B, B412, '02_BOC_TACH_CUA'!K:K)</f>
        <v/>
      </c>
      <c r="J412" s="2">
        <f>SUMIF('03_BOC_TACH_VAN'!B:B, B412, '03_BOC_TACH_VAN'!K:K)</f>
        <v/>
      </c>
      <c r="K412" s="2">
        <f>SUM(H412:J412)</f>
        <v/>
      </c>
      <c r="L412" s="2">
        <f>K412*0.25</f>
        <v/>
      </c>
      <c r="M412" s="2">
        <f>K412*0.10</f>
        <v/>
      </c>
      <c r="N412" s="2">
        <f>K412+L412+M412</f>
        <v/>
      </c>
      <c r="O412" s="2">
        <f>IF(G412&gt;0, N412/G412, 0)</f>
        <v/>
      </c>
      <c r="P412" s="3" t="n">
        <v>0.18</v>
      </c>
      <c r="Q412" s="2">
        <f>O412*(1+P412)</f>
        <v/>
      </c>
      <c r="R412" s="2">
        <f>G412*Q412</f>
        <v/>
      </c>
    </row>
    <row r="413">
      <c r="A413" t="n">
        <v>412</v>
      </c>
      <c r="B413" t="inlineStr">
        <is>
          <t>SW-DAMPER-412</t>
        </is>
      </c>
      <c r="C413" t="inlineStr">
        <is>
          <t>VAN GIÓ</t>
        </is>
      </c>
      <c r="D413" t="inlineStr">
        <is>
          <t>Van điều chỉnh lưu lượng VCD - Kích thước 900x500</t>
        </is>
      </c>
      <c r="E413" t="inlineStr">
        <is>
          <t>900x500</t>
        </is>
      </c>
      <c r="F413" t="inlineStr">
        <is>
          <t>Cái</t>
        </is>
      </c>
      <c r="G413" s="2" t="n">
        <v>1</v>
      </c>
      <c r="H413" s="2">
        <f>SUMIF('01_BOC_TACH_ONG'!B:B, B413, '01_BOC_TACH_ONG'!K:K)</f>
        <v/>
      </c>
      <c r="I413" s="2">
        <f>SUMIF('02_BOC_TACH_CUA'!B:B, B413, '02_BOC_TACH_CUA'!K:K)</f>
        <v/>
      </c>
      <c r="J413" s="2">
        <f>SUMIF('03_BOC_TACH_VAN'!B:B, B413, '03_BOC_TACH_VAN'!K:K)</f>
        <v/>
      </c>
      <c r="K413" s="2">
        <f>SUM(H413:J413)</f>
        <v/>
      </c>
      <c r="L413" s="2">
        <f>K413*0.25</f>
        <v/>
      </c>
      <c r="M413" s="2">
        <f>K413*0.10</f>
        <v/>
      </c>
      <c r="N413" s="2">
        <f>K413+L413+M413</f>
        <v/>
      </c>
      <c r="O413" s="2">
        <f>IF(G413&gt;0, N413/G413, 0)</f>
        <v/>
      </c>
      <c r="P413" s="3" t="n">
        <v>0.18</v>
      </c>
      <c r="Q413" s="2">
        <f>O413*(1+P413)</f>
        <v/>
      </c>
      <c r="R413" s="2">
        <f>G413*Q413</f>
        <v/>
      </c>
    </row>
    <row r="414">
      <c r="A414" t="n">
        <v>413</v>
      </c>
      <c r="B414" t="inlineStr">
        <is>
          <t>SW-DAMPER-413</t>
        </is>
      </c>
      <c r="C414" t="inlineStr">
        <is>
          <t>VAN GIÓ</t>
        </is>
      </c>
      <c r="D414" t="inlineStr">
        <is>
          <t>Van điều chỉnh lưu lượng VCD - Kích thước 950x500</t>
        </is>
      </c>
      <c r="E414" t="inlineStr">
        <is>
          <t>950x500</t>
        </is>
      </c>
      <c r="F414" t="inlineStr">
        <is>
          <t>Cái</t>
        </is>
      </c>
      <c r="G414" s="2" t="n">
        <v>1</v>
      </c>
      <c r="H414" s="2">
        <f>SUMIF('01_BOC_TACH_ONG'!B:B, B414, '01_BOC_TACH_ONG'!K:K)</f>
        <v/>
      </c>
      <c r="I414" s="2">
        <f>SUMIF('02_BOC_TACH_CUA'!B:B, B414, '02_BOC_TACH_CUA'!K:K)</f>
        <v/>
      </c>
      <c r="J414" s="2">
        <f>SUMIF('03_BOC_TACH_VAN'!B:B, B414, '03_BOC_TACH_VAN'!K:K)</f>
        <v/>
      </c>
      <c r="K414" s="2">
        <f>SUM(H414:J414)</f>
        <v/>
      </c>
      <c r="L414" s="2">
        <f>K414*0.25</f>
        <v/>
      </c>
      <c r="M414" s="2">
        <f>K414*0.10</f>
        <v/>
      </c>
      <c r="N414" s="2">
        <f>K414+L414+M414</f>
        <v/>
      </c>
      <c r="O414" s="2">
        <f>IF(G414&gt;0, N414/G414, 0)</f>
        <v/>
      </c>
      <c r="P414" s="3" t="n">
        <v>0.18</v>
      </c>
      <c r="Q414" s="2">
        <f>O414*(1+P414)</f>
        <v/>
      </c>
      <c r="R414" s="2">
        <f>G414*Q414</f>
        <v/>
      </c>
    </row>
    <row r="415">
      <c r="A415" t="n">
        <v>414</v>
      </c>
      <c r="B415" t="inlineStr">
        <is>
          <t>SW-DAMPER-414</t>
        </is>
      </c>
      <c r="C415" t="inlineStr">
        <is>
          <t>VAN GIÓ</t>
        </is>
      </c>
      <c r="D415" t="inlineStr">
        <is>
          <t>Van điều chỉnh lưu lượng VCD - Kích thước 1000x1000</t>
        </is>
      </c>
      <c r="E415" t="inlineStr">
        <is>
          <t>1000x1000</t>
        </is>
      </c>
      <c r="F415" t="inlineStr">
        <is>
          <t>Cái</t>
        </is>
      </c>
      <c r="G415" s="2" t="n">
        <v>2</v>
      </c>
      <c r="H415" s="2">
        <f>SUMIF('01_BOC_TACH_ONG'!B:B, B415, '01_BOC_TACH_ONG'!K:K)</f>
        <v/>
      </c>
      <c r="I415" s="2">
        <f>SUMIF('02_BOC_TACH_CUA'!B:B, B415, '02_BOC_TACH_CUA'!K:K)</f>
        <v/>
      </c>
      <c r="J415" s="2">
        <f>SUMIF('03_BOC_TACH_VAN'!B:B, B415, '03_BOC_TACH_VAN'!K:K)</f>
        <v/>
      </c>
      <c r="K415" s="2">
        <f>SUM(H415:J415)</f>
        <v/>
      </c>
      <c r="L415" s="2">
        <f>K415*0.25</f>
        <v/>
      </c>
      <c r="M415" s="2">
        <f>K415*0.10</f>
        <v/>
      </c>
      <c r="N415" s="2">
        <f>K415+L415+M415</f>
        <v/>
      </c>
      <c r="O415" s="2">
        <f>IF(G415&gt;0, N415/G415, 0)</f>
        <v/>
      </c>
      <c r="P415" s="3" t="n">
        <v>0.18</v>
      </c>
      <c r="Q415" s="2">
        <f>O415*(1+P415)</f>
        <v/>
      </c>
      <c r="R415" s="2">
        <f>G415*Q415</f>
        <v/>
      </c>
    </row>
    <row r="416">
      <c r="A416" t="n">
        <v>415</v>
      </c>
      <c r="B416" t="inlineStr">
        <is>
          <t>SW-DAMPER-415</t>
        </is>
      </c>
      <c r="C416" t="inlineStr">
        <is>
          <t>VAN GIÓ</t>
        </is>
      </c>
      <c r="D416" t="inlineStr">
        <is>
          <t>Van điều chỉnh lưu lượng VCD - Kích thước 1900x600</t>
        </is>
      </c>
      <c r="E416" t="inlineStr">
        <is>
          <t>1900x600</t>
        </is>
      </c>
      <c r="F416" t="inlineStr">
        <is>
          <t>Cái</t>
        </is>
      </c>
      <c r="G416" s="2" t="n">
        <v>1</v>
      </c>
      <c r="H416" s="2">
        <f>SUMIF('01_BOC_TACH_ONG'!B:B, B416, '01_BOC_TACH_ONG'!K:K)</f>
        <v/>
      </c>
      <c r="I416" s="2">
        <f>SUMIF('02_BOC_TACH_CUA'!B:B, B416, '02_BOC_TACH_CUA'!K:K)</f>
        <v/>
      </c>
      <c r="J416" s="2">
        <f>SUMIF('03_BOC_TACH_VAN'!B:B, B416, '03_BOC_TACH_VAN'!K:K)</f>
        <v/>
      </c>
      <c r="K416" s="2">
        <f>SUM(H416:J416)</f>
        <v/>
      </c>
      <c r="L416" s="2">
        <f>K416*0.25</f>
        <v/>
      </c>
      <c r="M416" s="2">
        <f>K416*0.10</f>
        <v/>
      </c>
      <c r="N416" s="2">
        <f>K416+L416+M416</f>
        <v/>
      </c>
      <c r="O416" s="2">
        <f>IF(G416&gt;0, N416/G416, 0)</f>
        <v/>
      </c>
      <c r="P416" s="3" t="n">
        <v>0.18</v>
      </c>
      <c r="Q416" s="2">
        <f>O416*(1+P416)</f>
        <v/>
      </c>
      <c r="R416" s="2">
        <f>G416*Q416</f>
        <v/>
      </c>
    </row>
    <row r="417">
      <c r="A417" t="n">
        <v>416</v>
      </c>
      <c r="B417" t="inlineStr">
        <is>
          <t>SW-DAMPER-416</t>
        </is>
      </c>
      <c r="C417" t="inlineStr">
        <is>
          <t>VAN GIÓ</t>
        </is>
      </c>
      <c r="D417" t="inlineStr">
        <is>
          <t>Van chặn lửa FD EI45 - Kích thước 150x100</t>
        </is>
      </c>
      <c r="E417" t="inlineStr">
        <is>
          <t>150x150</t>
        </is>
      </c>
      <c r="F417" t="inlineStr">
        <is>
          <t>Cái</t>
        </is>
      </c>
      <c r="G417" s="2" t="n">
        <v>76</v>
      </c>
      <c r="H417" s="2">
        <f>SUMIF('01_BOC_TACH_ONG'!B:B, B417, '01_BOC_TACH_ONG'!K:K)</f>
        <v/>
      </c>
      <c r="I417" s="2">
        <f>SUMIF('02_BOC_TACH_CUA'!B:B, B417, '02_BOC_TACH_CUA'!K:K)</f>
        <v/>
      </c>
      <c r="J417" s="2">
        <f>SUMIF('03_BOC_TACH_VAN'!B:B, B417, '03_BOC_TACH_VAN'!K:K)</f>
        <v/>
      </c>
      <c r="K417" s="2">
        <f>SUM(H417:J417)</f>
        <v/>
      </c>
      <c r="L417" s="2">
        <f>K417*0.25</f>
        <v/>
      </c>
      <c r="M417" s="2">
        <f>K417*0.10</f>
        <v/>
      </c>
      <c r="N417" s="2">
        <f>K417+L417+M417</f>
        <v/>
      </c>
      <c r="O417" s="2">
        <f>IF(G417&gt;0, N417/G417, 0)</f>
        <v/>
      </c>
      <c r="P417" s="3" t="n">
        <v>0.18</v>
      </c>
      <c r="Q417" s="2">
        <f>O417*(1+P417)</f>
        <v/>
      </c>
      <c r="R417" s="2">
        <f>G417*Q417</f>
        <v/>
      </c>
    </row>
    <row r="418">
      <c r="A418" t="n">
        <v>417</v>
      </c>
      <c r="B418" t="inlineStr">
        <is>
          <t>SW-DAMPER-417</t>
        </is>
      </c>
      <c r="C418" t="inlineStr">
        <is>
          <t>VAN GIÓ</t>
        </is>
      </c>
      <c r="D418" t="inlineStr">
        <is>
          <t>Van chặn lửa FD EI45 - Kích thước 150x150</t>
        </is>
      </c>
      <c r="E418" t="inlineStr">
        <is>
          <t>150x150</t>
        </is>
      </c>
      <c r="F418" t="inlineStr">
        <is>
          <t>Cái</t>
        </is>
      </c>
      <c r="G418" s="2" t="n">
        <v>23</v>
      </c>
      <c r="H418" s="2">
        <f>SUMIF('01_BOC_TACH_ONG'!B:B, B418, '01_BOC_TACH_ONG'!K:K)</f>
        <v/>
      </c>
      <c r="I418" s="2">
        <f>SUMIF('02_BOC_TACH_CUA'!B:B, B418, '02_BOC_TACH_CUA'!K:K)</f>
        <v/>
      </c>
      <c r="J418" s="2">
        <f>SUMIF('03_BOC_TACH_VAN'!B:B, B418, '03_BOC_TACH_VAN'!K:K)</f>
        <v/>
      </c>
      <c r="K418" s="2">
        <f>SUM(H418:J418)</f>
        <v/>
      </c>
      <c r="L418" s="2">
        <f>K418*0.25</f>
        <v/>
      </c>
      <c r="M418" s="2">
        <f>K418*0.10</f>
        <v/>
      </c>
      <c r="N418" s="2">
        <f>K418+L418+M418</f>
        <v/>
      </c>
      <c r="O418" s="2">
        <f>IF(G418&gt;0, N418/G418, 0)</f>
        <v/>
      </c>
      <c r="P418" s="3" t="n">
        <v>0.18</v>
      </c>
      <c r="Q418" s="2">
        <f>O418*(1+P418)</f>
        <v/>
      </c>
      <c r="R418" s="2">
        <f>G418*Q418</f>
        <v/>
      </c>
    </row>
    <row r="419">
      <c r="A419" t="n">
        <v>418</v>
      </c>
      <c r="B419" t="inlineStr">
        <is>
          <t>SW-DAMPER-418</t>
        </is>
      </c>
      <c r="C419" t="inlineStr">
        <is>
          <t>VAN GIÓ</t>
        </is>
      </c>
      <c r="D419" t="inlineStr">
        <is>
          <t>Van chặn lửa FD EI45 - Kích thước 200x100</t>
        </is>
      </c>
      <c r="E419" t="inlineStr">
        <is>
          <t>200x150</t>
        </is>
      </c>
      <c r="F419" t="inlineStr">
        <is>
          <t>Cái</t>
        </is>
      </c>
      <c r="G419" s="2" t="n">
        <v>29</v>
      </c>
      <c r="H419" s="2">
        <f>SUMIF('01_BOC_TACH_ONG'!B:B, B419, '01_BOC_TACH_ONG'!K:K)</f>
        <v/>
      </c>
      <c r="I419" s="2">
        <f>SUMIF('02_BOC_TACH_CUA'!B:B, B419, '02_BOC_TACH_CUA'!K:K)</f>
        <v/>
      </c>
      <c r="J419" s="2">
        <f>SUMIF('03_BOC_TACH_VAN'!B:B, B419, '03_BOC_TACH_VAN'!K:K)</f>
        <v/>
      </c>
      <c r="K419" s="2">
        <f>SUM(H419:J419)</f>
        <v/>
      </c>
      <c r="L419" s="2">
        <f>K419*0.25</f>
        <v/>
      </c>
      <c r="M419" s="2">
        <f>K419*0.10</f>
        <v/>
      </c>
      <c r="N419" s="2">
        <f>K419+L419+M419</f>
        <v/>
      </c>
      <c r="O419" s="2">
        <f>IF(G419&gt;0, N419/G419, 0)</f>
        <v/>
      </c>
      <c r="P419" s="3" t="n">
        <v>0.18</v>
      </c>
      <c r="Q419" s="2">
        <f>O419*(1+P419)</f>
        <v/>
      </c>
      <c r="R419" s="2">
        <f>G419*Q419</f>
        <v/>
      </c>
    </row>
    <row r="420">
      <c r="A420" t="n">
        <v>419</v>
      </c>
      <c r="B420" t="inlineStr">
        <is>
          <t>SW-DAMPER-419</t>
        </is>
      </c>
      <c r="C420" t="inlineStr">
        <is>
          <t>VAN GIÓ</t>
        </is>
      </c>
      <c r="D420" t="inlineStr">
        <is>
          <t>Van chặn lửa FD EI45 - Kích thước 200x150</t>
        </is>
      </c>
      <c r="E420" t="inlineStr">
        <is>
          <t>200x150</t>
        </is>
      </c>
      <c r="F420" t="inlineStr">
        <is>
          <t>Cái</t>
        </is>
      </c>
      <c r="G420" s="2" t="n">
        <v>21</v>
      </c>
      <c r="H420" s="2">
        <f>SUMIF('01_BOC_TACH_ONG'!B:B, B420, '01_BOC_TACH_ONG'!K:K)</f>
        <v/>
      </c>
      <c r="I420" s="2">
        <f>SUMIF('02_BOC_TACH_CUA'!B:B, B420, '02_BOC_TACH_CUA'!K:K)</f>
        <v/>
      </c>
      <c r="J420" s="2">
        <f>SUMIF('03_BOC_TACH_VAN'!B:B, B420, '03_BOC_TACH_VAN'!K:K)</f>
        <v/>
      </c>
      <c r="K420" s="2">
        <f>SUM(H420:J420)</f>
        <v/>
      </c>
      <c r="L420" s="2">
        <f>K420*0.25</f>
        <v/>
      </c>
      <c r="M420" s="2">
        <f>K420*0.10</f>
        <v/>
      </c>
      <c r="N420" s="2">
        <f>K420+L420+M420</f>
        <v/>
      </c>
      <c r="O420" s="2">
        <f>IF(G420&gt;0, N420/G420, 0)</f>
        <v/>
      </c>
      <c r="P420" s="3" t="n">
        <v>0.18</v>
      </c>
      <c r="Q420" s="2">
        <f>O420*(1+P420)</f>
        <v/>
      </c>
      <c r="R420" s="2">
        <f>G420*Q420</f>
        <v/>
      </c>
    </row>
    <row r="421">
      <c r="A421" t="n">
        <v>420</v>
      </c>
      <c r="B421" t="inlineStr">
        <is>
          <t>SW-DAMPER-420</t>
        </is>
      </c>
      <c r="C421" t="inlineStr">
        <is>
          <t>VAN GIÓ</t>
        </is>
      </c>
      <c r="D421" t="inlineStr">
        <is>
          <t>Van chặn lửa FD EI45 - Kích thước 200x200</t>
        </is>
      </c>
      <c r="E421" t="inlineStr">
        <is>
          <t>200x200</t>
        </is>
      </c>
      <c r="F421" t="inlineStr">
        <is>
          <t>Cái</t>
        </is>
      </c>
      <c r="G421" s="2" t="n">
        <v>2</v>
      </c>
      <c r="H421" s="2">
        <f>SUMIF('01_BOC_TACH_ONG'!B:B, B421, '01_BOC_TACH_ONG'!K:K)</f>
        <v/>
      </c>
      <c r="I421" s="2">
        <f>SUMIF('02_BOC_TACH_CUA'!B:B, B421, '02_BOC_TACH_CUA'!K:K)</f>
        <v/>
      </c>
      <c r="J421" s="2">
        <f>SUMIF('03_BOC_TACH_VAN'!B:B, B421, '03_BOC_TACH_VAN'!K:K)</f>
        <v/>
      </c>
      <c r="K421" s="2">
        <f>SUM(H421:J421)</f>
        <v/>
      </c>
      <c r="L421" s="2">
        <f>K421*0.25</f>
        <v/>
      </c>
      <c r="M421" s="2">
        <f>K421*0.10</f>
        <v/>
      </c>
      <c r="N421" s="2">
        <f>K421+L421+M421</f>
        <v/>
      </c>
      <c r="O421" s="2">
        <f>IF(G421&gt;0, N421/G421, 0)</f>
        <v/>
      </c>
      <c r="P421" s="3" t="n">
        <v>0.18</v>
      </c>
      <c r="Q421" s="2">
        <f>O421*(1+P421)</f>
        <v/>
      </c>
      <c r="R421" s="2">
        <f>G421*Q421</f>
        <v/>
      </c>
    </row>
    <row r="422">
      <c r="A422" t="n">
        <v>421</v>
      </c>
      <c r="B422" t="inlineStr">
        <is>
          <t>SW-DAMPER-421</t>
        </is>
      </c>
      <c r="C422" t="inlineStr">
        <is>
          <t>VAN GIÓ</t>
        </is>
      </c>
      <c r="D422" t="inlineStr">
        <is>
          <t>Van chặn lửa FD EI45 - Kích thước 250x150</t>
        </is>
      </c>
      <c r="E422" t="inlineStr">
        <is>
          <t>250x150</t>
        </is>
      </c>
      <c r="F422" t="inlineStr">
        <is>
          <t>Cái</t>
        </is>
      </c>
      <c r="G422" s="2" t="n">
        <v>3</v>
      </c>
      <c r="H422" s="2">
        <f>SUMIF('01_BOC_TACH_ONG'!B:B, B422, '01_BOC_TACH_ONG'!K:K)</f>
        <v/>
      </c>
      <c r="I422" s="2">
        <f>SUMIF('02_BOC_TACH_CUA'!B:B, B422, '02_BOC_TACH_CUA'!K:K)</f>
        <v/>
      </c>
      <c r="J422" s="2">
        <f>SUMIF('03_BOC_TACH_VAN'!B:B, B422, '03_BOC_TACH_VAN'!K:K)</f>
        <v/>
      </c>
      <c r="K422" s="2">
        <f>SUM(H422:J422)</f>
        <v/>
      </c>
      <c r="L422" s="2">
        <f>K422*0.25</f>
        <v/>
      </c>
      <c r="M422" s="2">
        <f>K422*0.10</f>
        <v/>
      </c>
      <c r="N422" s="2">
        <f>K422+L422+M422</f>
        <v/>
      </c>
      <c r="O422" s="2">
        <f>IF(G422&gt;0, N422/G422, 0)</f>
        <v/>
      </c>
      <c r="P422" s="3" t="n">
        <v>0.18</v>
      </c>
      <c r="Q422" s="2">
        <f>O422*(1+P422)</f>
        <v/>
      </c>
      <c r="R422" s="2">
        <f>G422*Q422</f>
        <v/>
      </c>
    </row>
    <row r="423">
      <c r="A423" t="n">
        <v>422</v>
      </c>
      <c r="B423" t="inlineStr">
        <is>
          <t>SW-DAMPER-422</t>
        </is>
      </c>
      <c r="C423" t="inlineStr">
        <is>
          <t>VAN GIÓ</t>
        </is>
      </c>
      <c r="D423" t="inlineStr">
        <is>
          <t>Van chặn lửa FD EI45 - Kích thước 300x200</t>
        </is>
      </c>
      <c r="E423" t="inlineStr">
        <is>
          <t>300x200</t>
        </is>
      </c>
      <c r="F423" t="inlineStr">
        <is>
          <t>Cái</t>
        </is>
      </c>
      <c r="G423" s="2" t="n">
        <v>8</v>
      </c>
      <c r="H423" s="2">
        <f>SUMIF('01_BOC_TACH_ONG'!B:B, B423, '01_BOC_TACH_ONG'!K:K)</f>
        <v/>
      </c>
      <c r="I423" s="2">
        <f>SUMIF('02_BOC_TACH_CUA'!B:B, B423, '02_BOC_TACH_CUA'!K:K)</f>
        <v/>
      </c>
      <c r="J423" s="2">
        <f>SUMIF('03_BOC_TACH_VAN'!B:B, B423, '03_BOC_TACH_VAN'!K:K)</f>
        <v/>
      </c>
      <c r="K423" s="2">
        <f>SUM(H423:J423)</f>
        <v/>
      </c>
      <c r="L423" s="2">
        <f>K423*0.25</f>
        <v/>
      </c>
      <c r="M423" s="2">
        <f>K423*0.10</f>
        <v/>
      </c>
      <c r="N423" s="2">
        <f>K423+L423+M423</f>
        <v/>
      </c>
      <c r="O423" s="2">
        <f>IF(G423&gt;0, N423/G423, 0)</f>
        <v/>
      </c>
      <c r="P423" s="3" t="n">
        <v>0.18</v>
      </c>
      <c r="Q423" s="2">
        <f>O423*(1+P423)</f>
        <v/>
      </c>
      <c r="R423" s="2">
        <f>G423*Q423</f>
        <v/>
      </c>
    </row>
    <row r="424">
      <c r="A424" t="n">
        <v>423</v>
      </c>
      <c r="B424" t="inlineStr">
        <is>
          <t>SW-DAMPER-423</t>
        </is>
      </c>
      <c r="C424" t="inlineStr">
        <is>
          <t>VAN GIÓ</t>
        </is>
      </c>
      <c r="D424" t="inlineStr">
        <is>
          <t>Van chặn lửa FD EI45 - Kích thước 300x250</t>
        </is>
      </c>
      <c r="E424" t="inlineStr">
        <is>
          <t>300x250</t>
        </is>
      </c>
      <c r="F424" t="inlineStr">
        <is>
          <t>Cái</t>
        </is>
      </c>
      <c r="G424" s="2" t="n">
        <v>3</v>
      </c>
      <c r="H424" s="2">
        <f>SUMIF('01_BOC_TACH_ONG'!B:B, B424, '01_BOC_TACH_ONG'!K:K)</f>
        <v/>
      </c>
      <c r="I424" s="2">
        <f>SUMIF('02_BOC_TACH_CUA'!B:B, B424, '02_BOC_TACH_CUA'!K:K)</f>
        <v/>
      </c>
      <c r="J424" s="2">
        <f>SUMIF('03_BOC_TACH_VAN'!B:B, B424, '03_BOC_TACH_VAN'!K:K)</f>
        <v/>
      </c>
      <c r="K424" s="2">
        <f>SUM(H424:J424)</f>
        <v/>
      </c>
      <c r="L424" s="2">
        <f>K424*0.25</f>
        <v/>
      </c>
      <c r="M424" s="2">
        <f>K424*0.10</f>
        <v/>
      </c>
      <c r="N424" s="2">
        <f>K424+L424+M424</f>
        <v/>
      </c>
      <c r="O424" s="2">
        <f>IF(G424&gt;0, N424/G424, 0)</f>
        <v/>
      </c>
      <c r="P424" s="3" t="n">
        <v>0.18</v>
      </c>
      <c r="Q424" s="2">
        <f>O424*(1+P424)</f>
        <v/>
      </c>
      <c r="R424" s="2">
        <f>G424*Q424</f>
        <v/>
      </c>
    </row>
    <row r="425">
      <c r="A425" t="n">
        <v>424</v>
      </c>
      <c r="B425" t="inlineStr">
        <is>
          <t>SW-DAMPER-424</t>
        </is>
      </c>
      <c r="C425" t="inlineStr">
        <is>
          <t>VAN GIÓ</t>
        </is>
      </c>
      <c r="D425" t="inlineStr">
        <is>
          <t>Van chặn lửa FD EI45 - Kích thước 350x150</t>
        </is>
      </c>
      <c r="E425" t="inlineStr">
        <is>
          <t>350x150</t>
        </is>
      </c>
      <c r="F425" t="inlineStr">
        <is>
          <t>Cái</t>
        </is>
      </c>
      <c r="G425" s="2" t="n">
        <v>2</v>
      </c>
      <c r="H425" s="2">
        <f>SUMIF('01_BOC_TACH_ONG'!B:B, B425, '01_BOC_TACH_ONG'!K:K)</f>
        <v/>
      </c>
      <c r="I425" s="2">
        <f>SUMIF('02_BOC_TACH_CUA'!B:B, B425, '02_BOC_TACH_CUA'!K:K)</f>
        <v/>
      </c>
      <c r="J425" s="2">
        <f>SUMIF('03_BOC_TACH_VAN'!B:B, B425, '03_BOC_TACH_VAN'!K:K)</f>
        <v/>
      </c>
      <c r="K425" s="2">
        <f>SUM(H425:J425)</f>
        <v/>
      </c>
      <c r="L425" s="2">
        <f>K425*0.25</f>
        <v/>
      </c>
      <c r="M425" s="2">
        <f>K425*0.10</f>
        <v/>
      </c>
      <c r="N425" s="2">
        <f>K425+L425+M425</f>
        <v/>
      </c>
      <c r="O425" s="2">
        <f>IF(G425&gt;0, N425/G425, 0)</f>
        <v/>
      </c>
      <c r="P425" s="3" t="n">
        <v>0.18</v>
      </c>
      <c r="Q425" s="2">
        <f>O425*(1+P425)</f>
        <v/>
      </c>
      <c r="R425" s="2">
        <f>G425*Q425</f>
        <v/>
      </c>
    </row>
    <row r="426">
      <c r="A426" t="n">
        <v>425</v>
      </c>
      <c r="B426" t="inlineStr">
        <is>
          <t>SW-DAMPER-425</t>
        </is>
      </c>
      <c r="C426" t="inlineStr">
        <is>
          <t>VAN GIÓ</t>
        </is>
      </c>
      <c r="D426" t="inlineStr">
        <is>
          <t>Van chặn lửa FD EI45 - Kích thước 350x200</t>
        </is>
      </c>
      <c r="E426" t="inlineStr">
        <is>
          <t>350x200</t>
        </is>
      </c>
      <c r="F426" t="inlineStr">
        <is>
          <t>Cái</t>
        </is>
      </c>
      <c r="G426" s="2" t="n">
        <v>1</v>
      </c>
      <c r="H426" s="2">
        <f>SUMIF('01_BOC_TACH_ONG'!B:B, B426, '01_BOC_TACH_ONG'!K:K)</f>
        <v/>
      </c>
      <c r="I426" s="2">
        <f>SUMIF('02_BOC_TACH_CUA'!B:B, B426, '02_BOC_TACH_CUA'!K:K)</f>
        <v/>
      </c>
      <c r="J426" s="2">
        <f>SUMIF('03_BOC_TACH_VAN'!B:B, B426, '03_BOC_TACH_VAN'!K:K)</f>
        <v/>
      </c>
      <c r="K426" s="2">
        <f>SUM(H426:J426)</f>
        <v/>
      </c>
      <c r="L426" s="2">
        <f>K426*0.25</f>
        <v/>
      </c>
      <c r="M426" s="2">
        <f>K426*0.10</f>
        <v/>
      </c>
      <c r="N426" s="2">
        <f>K426+L426+M426</f>
        <v/>
      </c>
      <c r="O426" s="2">
        <f>IF(G426&gt;0, N426/G426, 0)</f>
        <v/>
      </c>
      <c r="P426" s="3" t="n">
        <v>0.18</v>
      </c>
      <c r="Q426" s="2">
        <f>O426*(1+P426)</f>
        <v/>
      </c>
      <c r="R426" s="2">
        <f>G426*Q426</f>
        <v/>
      </c>
    </row>
    <row r="427">
      <c r="A427" t="n">
        <v>426</v>
      </c>
      <c r="B427" t="inlineStr">
        <is>
          <t>SW-DAMPER-426</t>
        </is>
      </c>
      <c r="C427" t="inlineStr">
        <is>
          <t>VAN GIÓ</t>
        </is>
      </c>
      <c r="D427" t="inlineStr">
        <is>
          <t>Van chặn lửa FD EI45 - Kích thước 350x250</t>
        </is>
      </c>
      <c r="E427" t="inlineStr">
        <is>
          <t>350x250</t>
        </is>
      </c>
      <c r="F427" t="inlineStr">
        <is>
          <t>Cái</t>
        </is>
      </c>
      <c r="G427" s="2" t="n">
        <v>4</v>
      </c>
      <c r="H427" s="2">
        <f>SUMIF('01_BOC_TACH_ONG'!B:B, B427, '01_BOC_TACH_ONG'!K:K)</f>
        <v/>
      </c>
      <c r="I427" s="2">
        <f>SUMIF('02_BOC_TACH_CUA'!B:B, B427, '02_BOC_TACH_CUA'!K:K)</f>
        <v/>
      </c>
      <c r="J427" s="2">
        <f>SUMIF('03_BOC_TACH_VAN'!B:B, B427, '03_BOC_TACH_VAN'!K:K)</f>
        <v/>
      </c>
      <c r="K427" s="2">
        <f>SUM(H427:J427)</f>
        <v/>
      </c>
      <c r="L427" s="2">
        <f>K427*0.25</f>
        <v/>
      </c>
      <c r="M427" s="2">
        <f>K427*0.10</f>
        <v/>
      </c>
      <c r="N427" s="2">
        <f>K427+L427+M427</f>
        <v/>
      </c>
      <c r="O427" s="2">
        <f>IF(G427&gt;0, N427/G427, 0)</f>
        <v/>
      </c>
      <c r="P427" s="3" t="n">
        <v>0.18</v>
      </c>
      <c r="Q427" s="2">
        <f>O427*(1+P427)</f>
        <v/>
      </c>
      <c r="R427" s="2">
        <f>G427*Q427</f>
        <v/>
      </c>
    </row>
    <row r="428">
      <c r="A428" t="n">
        <v>427</v>
      </c>
      <c r="B428" t="inlineStr">
        <is>
          <t>SW-DAMPER-427</t>
        </is>
      </c>
      <c r="C428" t="inlineStr">
        <is>
          <t>VAN GIÓ</t>
        </is>
      </c>
      <c r="D428" t="inlineStr">
        <is>
          <t>Van chặn lửa FD EI45 - Kích thước 350x300</t>
        </is>
      </c>
      <c r="E428" t="inlineStr">
        <is>
          <t>350x300</t>
        </is>
      </c>
      <c r="F428" t="inlineStr">
        <is>
          <t>Cái</t>
        </is>
      </c>
      <c r="G428" s="2" t="n">
        <v>2</v>
      </c>
      <c r="H428" s="2">
        <f>SUMIF('01_BOC_TACH_ONG'!B:B, B428, '01_BOC_TACH_ONG'!K:K)</f>
        <v/>
      </c>
      <c r="I428" s="2">
        <f>SUMIF('02_BOC_TACH_CUA'!B:B, B428, '02_BOC_TACH_CUA'!K:K)</f>
        <v/>
      </c>
      <c r="J428" s="2">
        <f>SUMIF('03_BOC_TACH_VAN'!B:B, B428, '03_BOC_TACH_VAN'!K:K)</f>
        <v/>
      </c>
      <c r="K428" s="2">
        <f>SUM(H428:J428)</f>
        <v/>
      </c>
      <c r="L428" s="2">
        <f>K428*0.25</f>
        <v/>
      </c>
      <c r="M428" s="2">
        <f>K428*0.10</f>
        <v/>
      </c>
      <c r="N428" s="2">
        <f>K428+L428+M428</f>
        <v/>
      </c>
      <c r="O428" s="2">
        <f>IF(G428&gt;0, N428/G428, 0)</f>
        <v/>
      </c>
      <c r="P428" s="3" t="n">
        <v>0.18</v>
      </c>
      <c r="Q428" s="2">
        <f>O428*(1+P428)</f>
        <v/>
      </c>
      <c r="R428" s="2">
        <f>G428*Q428</f>
        <v/>
      </c>
    </row>
    <row r="429">
      <c r="A429" t="n">
        <v>428</v>
      </c>
      <c r="B429" t="inlineStr">
        <is>
          <t>SW-DAMPER-428</t>
        </is>
      </c>
      <c r="C429" t="inlineStr">
        <is>
          <t>VAN GIÓ</t>
        </is>
      </c>
      <c r="D429" t="inlineStr">
        <is>
          <t>Van chặn lửa FD EI45 - Kích thước 400x200</t>
        </is>
      </c>
      <c r="E429" t="inlineStr">
        <is>
          <t>400x200</t>
        </is>
      </c>
      <c r="F429" t="inlineStr">
        <is>
          <t>Cái</t>
        </is>
      </c>
      <c r="G429" s="2" t="n">
        <v>3</v>
      </c>
      <c r="H429" s="2">
        <f>SUMIF('01_BOC_TACH_ONG'!B:B, B429, '01_BOC_TACH_ONG'!K:K)</f>
        <v/>
      </c>
      <c r="I429" s="2">
        <f>SUMIF('02_BOC_TACH_CUA'!B:B, B429, '02_BOC_TACH_CUA'!K:K)</f>
        <v/>
      </c>
      <c r="J429" s="2">
        <f>SUMIF('03_BOC_TACH_VAN'!B:B, B429, '03_BOC_TACH_VAN'!K:K)</f>
        <v/>
      </c>
      <c r="K429" s="2">
        <f>SUM(H429:J429)</f>
        <v/>
      </c>
      <c r="L429" s="2">
        <f>K429*0.25</f>
        <v/>
      </c>
      <c r="M429" s="2">
        <f>K429*0.10</f>
        <v/>
      </c>
      <c r="N429" s="2">
        <f>K429+L429+M429</f>
        <v/>
      </c>
      <c r="O429" s="2">
        <f>IF(G429&gt;0, N429/G429, 0)</f>
        <v/>
      </c>
      <c r="P429" s="3" t="n">
        <v>0.18</v>
      </c>
      <c r="Q429" s="2">
        <f>O429*(1+P429)</f>
        <v/>
      </c>
      <c r="R429" s="2">
        <f>G429*Q429</f>
        <v/>
      </c>
    </row>
    <row r="430">
      <c r="A430" t="n">
        <v>429</v>
      </c>
      <c r="B430" t="inlineStr">
        <is>
          <t>SW-DAMPER-429</t>
        </is>
      </c>
      <c r="C430" t="inlineStr">
        <is>
          <t>VAN GIÓ</t>
        </is>
      </c>
      <c r="D430" t="inlineStr">
        <is>
          <t>Van chặn lửa FD EI45 - Kích thước 400x250</t>
        </is>
      </c>
      <c r="E430" t="inlineStr">
        <is>
          <t>400x250</t>
        </is>
      </c>
      <c r="F430" t="inlineStr">
        <is>
          <t>Cái</t>
        </is>
      </c>
      <c r="G430" s="2" t="n">
        <v>4</v>
      </c>
      <c r="H430" s="2">
        <f>SUMIF('01_BOC_TACH_ONG'!B:B, B430, '01_BOC_TACH_ONG'!K:K)</f>
        <v/>
      </c>
      <c r="I430" s="2">
        <f>SUMIF('02_BOC_TACH_CUA'!B:B, B430, '02_BOC_TACH_CUA'!K:K)</f>
        <v/>
      </c>
      <c r="J430" s="2">
        <f>SUMIF('03_BOC_TACH_VAN'!B:B, B430, '03_BOC_TACH_VAN'!K:K)</f>
        <v/>
      </c>
      <c r="K430" s="2">
        <f>SUM(H430:J430)</f>
        <v/>
      </c>
      <c r="L430" s="2">
        <f>K430*0.25</f>
        <v/>
      </c>
      <c r="M430" s="2">
        <f>K430*0.10</f>
        <v/>
      </c>
      <c r="N430" s="2">
        <f>K430+L430+M430</f>
        <v/>
      </c>
      <c r="O430" s="2">
        <f>IF(G430&gt;0, N430/G430, 0)</f>
        <v/>
      </c>
      <c r="P430" s="3" t="n">
        <v>0.18</v>
      </c>
      <c r="Q430" s="2">
        <f>O430*(1+P430)</f>
        <v/>
      </c>
      <c r="R430" s="2">
        <f>G430*Q430</f>
        <v/>
      </c>
    </row>
    <row r="431">
      <c r="A431" t="n">
        <v>430</v>
      </c>
      <c r="B431" t="inlineStr">
        <is>
          <t>SW-DAMPER-430</t>
        </is>
      </c>
      <c r="C431" t="inlineStr">
        <is>
          <t>VAN GIÓ</t>
        </is>
      </c>
      <c r="D431" t="inlineStr">
        <is>
          <t>Van chặn lửa FD EI45 - Kích thước 400x300</t>
        </is>
      </c>
      <c r="E431" t="inlineStr">
        <is>
          <t>400x300</t>
        </is>
      </c>
      <c r="F431" t="inlineStr">
        <is>
          <t>Cái</t>
        </is>
      </c>
      <c r="G431" s="2" t="n">
        <v>5</v>
      </c>
      <c r="H431" s="2">
        <f>SUMIF('01_BOC_TACH_ONG'!B:B, B431, '01_BOC_TACH_ONG'!K:K)</f>
        <v/>
      </c>
      <c r="I431" s="2">
        <f>SUMIF('02_BOC_TACH_CUA'!B:B, B431, '02_BOC_TACH_CUA'!K:K)</f>
        <v/>
      </c>
      <c r="J431" s="2">
        <f>SUMIF('03_BOC_TACH_VAN'!B:B, B431, '03_BOC_TACH_VAN'!K:K)</f>
        <v/>
      </c>
      <c r="K431" s="2">
        <f>SUM(H431:J431)</f>
        <v/>
      </c>
      <c r="L431" s="2">
        <f>K431*0.25</f>
        <v/>
      </c>
      <c r="M431" s="2">
        <f>K431*0.10</f>
        <v/>
      </c>
      <c r="N431" s="2">
        <f>K431+L431+M431</f>
        <v/>
      </c>
      <c r="O431" s="2">
        <f>IF(G431&gt;0, N431/G431, 0)</f>
        <v/>
      </c>
      <c r="P431" s="3" t="n">
        <v>0.18</v>
      </c>
      <c r="Q431" s="2">
        <f>O431*(1+P431)</f>
        <v/>
      </c>
      <c r="R431" s="2">
        <f>G431*Q431</f>
        <v/>
      </c>
    </row>
    <row r="432">
      <c r="A432" t="n">
        <v>431</v>
      </c>
      <c r="B432" t="inlineStr">
        <is>
          <t>SW-DAMPER-431</t>
        </is>
      </c>
      <c r="C432" t="inlineStr">
        <is>
          <t>VAN GIÓ</t>
        </is>
      </c>
      <c r="D432" t="inlineStr">
        <is>
          <t>Van chặn lửa FD EI45 - Kích thước 400x350</t>
        </is>
      </c>
      <c r="E432" t="inlineStr">
        <is>
          <t>400x350</t>
        </is>
      </c>
      <c r="F432" t="inlineStr">
        <is>
          <t>Cái</t>
        </is>
      </c>
      <c r="G432" s="2" t="n">
        <v>1</v>
      </c>
      <c r="H432" s="2">
        <f>SUMIF('01_BOC_TACH_ONG'!B:B, B432, '01_BOC_TACH_ONG'!K:K)</f>
        <v/>
      </c>
      <c r="I432" s="2">
        <f>SUMIF('02_BOC_TACH_CUA'!B:B, B432, '02_BOC_TACH_CUA'!K:K)</f>
        <v/>
      </c>
      <c r="J432" s="2">
        <f>SUMIF('03_BOC_TACH_VAN'!B:B, B432, '03_BOC_TACH_VAN'!K:K)</f>
        <v/>
      </c>
      <c r="K432" s="2">
        <f>SUM(H432:J432)</f>
        <v/>
      </c>
      <c r="L432" s="2">
        <f>K432*0.25</f>
        <v/>
      </c>
      <c r="M432" s="2">
        <f>K432*0.10</f>
        <v/>
      </c>
      <c r="N432" s="2">
        <f>K432+L432+M432</f>
        <v/>
      </c>
      <c r="O432" s="2">
        <f>IF(G432&gt;0, N432/G432, 0)</f>
        <v/>
      </c>
      <c r="P432" s="3" t="n">
        <v>0.18</v>
      </c>
      <c r="Q432" s="2">
        <f>O432*(1+P432)</f>
        <v/>
      </c>
      <c r="R432" s="2">
        <f>G432*Q432</f>
        <v/>
      </c>
    </row>
    <row r="433">
      <c r="A433" t="n">
        <v>432</v>
      </c>
      <c r="B433" t="inlineStr">
        <is>
          <t>SW-DAMPER-432</t>
        </is>
      </c>
      <c r="C433" t="inlineStr">
        <is>
          <t>VAN GIÓ</t>
        </is>
      </c>
      <c r="D433" t="inlineStr">
        <is>
          <t>Van chặn lửa FD EI45 - Kích thước 450x350</t>
        </is>
      </c>
      <c r="E433" t="inlineStr">
        <is>
          <t>450x350</t>
        </is>
      </c>
      <c r="F433" t="inlineStr">
        <is>
          <t>Cái</t>
        </is>
      </c>
      <c r="G433" s="2" t="n">
        <v>2</v>
      </c>
      <c r="H433" s="2">
        <f>SUMIF('01_BOC_TACH_ONG'!B:B, B433, '01_BOC_TACH_ONG'!K:K)</f>
        <v/>
      </c>
      <c r="I433" s="2">
        <f>SUMIF('02_BOC_TACH_CUA'!B:B, B433, '02_BOC_TACH_CUA'!K:K)</f>
        <v/>
      </c>
      <c r="J433" s="2">
        <f>SUMIF('03_BOC_TACH_VAN'!B:B, B433, '03_BOC_TACH_VAN'!K:K)</f>
        <v/>
      </c>
      <c r="K433" s="2">
        <f>SUM(H433:J433)</f>
        <v/>
      </c>
      <c r="L433" s="2">
        <f>K433*0.25</f>
        <v/>
      </c>
      <c r="M433" s="2">
        <f>K433*0.10</f>
        <v/>
      </c>
      <c r="N433" s="2">
        <f>K433+L433+M433</f>
        <v/>
      </c>
      <c r="O433" s="2">
        <f>IF(G433&gt;0, N433/G433, 0)</f>
        <v/>
      </c>
      <c r="P433" s="3" t="n">
        <v>0.18</v>
      </c>
      <c r="Q433" s="2">
        <f>O433*(1+P433)</f>
        <v/>
      </c>
      <c r="R433" s="2">
        <f>G433*Q433</f>
        <v/>
      </c>
    </row>
    <row r="434">
      <c r="A434" t="n">
        <v>433</v>
      </c>
      <c r="B434" t="inlineStr">
        <is>
          <t>SW-DAMPER-433</t>
        </is>
      </c>
      <c r="C434" t="inlineStr">
        <is>
          <t>VAN GIÓ</t>
        </is>
      </c>
      <c r="D434" t="inlineStr">
        <is>
          <t>Van chặn lửa FD EI45 - Kích thước 500x250</t>
        </is>
      </c>
      <c r="E434" t="inlineStr">
        <is>
          <t>500x250</t>
        </is>
      </c>
      <c r="F434" t="inlineStr">
        <is>
          <t>Cái</t>
        </is>
      </c>
      <c r="G434" s="2" t="n">
        <v>2</v>
      </c>
      <c r="H434" s="2">
        <f>SUMIF('01_BOC_TACH_ONG'!B:B, B434, '01_BOC_TACH_ONG'!K:K)</f>
        <v/>
      </c>
      <c r="I434" s="2">
        <f>SUMIF('02_BOC_TACH_CUA'!B:B, B434, '02_BOC_TACH_CUA'!K:K)</f>
        <v/>
      </c>
      <c r="J434" s="2">
        <f>SUMIF('03_BOC_TACH_VAN'!B:B, B434, '03_BOC_TACH_VAN'!K:K)</f>
        <v/>
      </c>
      <c r="K434" s="2">
        <f>SUM(H434:J434)</f>
        <v/>
      </c>
      <c r="L434" s="2">
        <f>K434*0.25</f>
        <v/>
      </c>
      <c r="M434" s="2">
        <f>K434*0.10</f>
        <v/>
      </c>
      <c r="N434" s="2">
        <f>K434+L434+M434</f>
        <v/>
      </c>
      <c r="O434" s="2">
        <f>IF(G434&gt;0, N434/G434, 0)</f>
        <v/>
      </c>
      <c r="P434" s="3" t="n">
        <v>0.18</v>
      </c>
      <c r="Q434" s="2">
        <f>O434*(1+P434)</f>
        <v/>
      </c>
      <c r="R434" s="2">
        <f>G434*Q434</f>
        <v/>
      </c>
    </row>
    <row r="435">
      <c r="A435" t="n">
        <v>434</v>
      </c>
      <c r="B435" t="inlineStr">
        <is>
          <t>SW-DAMPER-434</t>
        </is>
      </c>
      <c r="C435" t="inlineStr">
        <is>
          <t>VAN GIÓ</t>
        </is>
      </c>
      <c r="D435" t="inlineStr">
        <is>
          <t>Van chặn lửa FD EI45 - Kích thước 500x300</t>
        </is>
      </c>
      <c r="E435" t="inlineStr">
        <is>
          <t>500x300</t>
        </is>
      </c>
      <c r="F435" t="inlineStr">
        <is>
          <t>Cái</t>
        </is>
      </c>
      <c r="G435" s="2" t="n">
        <v>3</v>
      </c>
      <c r="H435" s="2">
        <f>SUMIF('01_BOC_TACH_ONG'!B:B, B435, '01_BOC_TACH_ONG'!K:K)</f>
        <v/>
      </c>
      <c r="I435" s="2">
        <f>SUMIF('02_BOC_TACH_CUA'!B:B, B435, '02_BOC_TACH_CUA'!K:K)</f>
        <v/>
      </c>
      <c r="J435" s="2">
        <f>SUMIF('03_BOC_TACH_VAN'!B:B, B435, '03_BOC_TACH_VAN'!K:K)</f>
        <v/>
      </c>
      <c r="K435" s="2">
        <f>SUM(H435:J435)</f>
        <v/>
      </c>
      <c r="L435" s="2">
        <f>K435*0.25</f>
        <v/>
      </c>
      <c r="M435" s="2">
        <f>K435*0.10</f>
        <v/>
      </c>
      <c r="N435" s="2">
        <f>K435+L435+M435</f>
        <v/>
      </c>
      <c r="O435" s="2">
        <f>IF(G435&gt;0, N435/G435, 0)</f>
        <v/>
      </c>
      <c r="P435" s="3" t="n">
        <v>0.18</v>
      </c>
      <c r="Q435" s="2">
        <f>O435*(1+P435)</f>
        <v/>
      </c>
      <c r="R435" s="2">
        <f>G435*Q435</f>
        <v/>
      </c>
    </row>
    <row r="436">
      <c r="A436" t="n">
        <v>435</v>
      </c>
      <c r="B436" t="inlineStr">
        <is>
          <t>SW-DAMPER-435</t>
        </is>
      </c>
      <c r="C436" t="inlineStr">
        <is>
          <t>VAN GIÓ</t>
        </is>
      </c>
      <c r="D436" t="inlineStr">
        <is>
          <t>Van chặn lửa FD EI45 - Kích thước 500x350</t>
        </is>
      </c>
      <c r="E436" t="inlineStr">
        <is>
          <t>500x350</t>
        </is>
      </c>
      <c r="F436" t="inlineStr">
        <is>
          <t>Cái</t>
        </is>
      </c>
      <c r="G436" s="2" t="n">
        <v>3</v>
      </c>
      <c r="H436" s="2">
        <f>SUMIF('01_BOC_TACH_ONG'!B:B, B436, '01_BOC_TACH_ONG'!K:K)</f>
        <v/>
      </c>
      <c r="I436" s="2">
        <f>SUMIF('02_BOC_TACH_CUA'!B:B, B436, '02_BOC_TACH_CUA'!K:K)</f>
        <v/>
      </c>
      <c r="J436" s="2">
        <f>SUMIF('03_BOC_TACH_VAN'!B:B, B436, '03_BOC_TACH_VAN'!K:K)</f>
        <v/>
      </c>
      <c r="K436" s="2">
        <f>SUM(H436:J436)</f>
        <v/>
      </c>
      <c r="L436" s="2">
        <f>K436*0.25</f>
        <v/>
      </c>
      <c r="M436" s="2">
        <f>K436*0.10</f>
        <v/>
      </c>
      <c r="N436" s="2">
        <f>K436+L436+M436</f>
        <v/>
      </c>
      <c r="O436" s="2">
        <f>IF(G436&gt;0, N436/G436, 0)</f>
        <v/>
      </c>
      <c r="P436" s="3" t="n">
        <v>0.18</v>
      </c>
      <c r="Q436" s="2">
        <f>O436*(1+P436)</f>
        <v/>
      </c>
      <c r="R436" s="2">
        <f>G436*Q436</f>
        <v/>
      </c>
    </row>
    <row r="437">
      <c r="A437" t="n">
        <v>436</v>
      </c>
      <c r="B437" t="inlineStr">
        <is>
          <t>SW-DAMPER-436</t>
        </is>
      </c>
      <c r="C437" t="inlineStr">
        <is>
          <t>VAN GIÓ</t>
        </is>
      </c>
      <c r="D437" t="inlineStr">
        <is>
          <t>Van chặn lửa FD EI45 - Kích thước 550x250</t>
        </is>
      </c>
      <c r="E437" t="inlineStr">
        <is>
          <t>550x250</t>
        </is>
      </c>
      <c r="F437" t="inlineStr">
        <is>
          <t>Cái</t>
        </is>
      </c>
      <c r="G437" s="2" t="n">
        <v>3</v>
      </c>
      <c r="H437" s="2">
        <f>SUMIF('01_BOC_TACH_ONG'!B:B, B437, '01_BOC_TACH_ONG'!K:K)</f>
        <v/>
      </c>
      <c r="I437" s="2">
        <f>SUMIF('02_BOC_TACH_CUA'!B:B, B437, '02_BOC_TACH_CUA'!K:K)</f>
        <v/>
      </c>
      <c r="J437" s="2">
        <f>SUMIF('03_BOC_TACH_VAN'!B:B, B437, '03_BOC_TACH_VAN'!K:K)</f>
        <v/>
      </c>
      <c r="K437" s="2">
        <f>SUM(H437:J437)</f>
        <v/>
      </c>
      <c r="L437" s="2">
        <f>K437*0.25</f>
        <v/>
      </c>
      <c r="M437" s="2">
        <f>K437*0.10</f>
        <v/>
      </c>
      <c r="N437" s="2">
        <f>K437+L437+M437</f>
        <v/>
      </c>
      <c r="O437" s="2">
        <f>IF(G437&gt;0, N437/G437, 0)</f>
        <v/>
      </c>
      <c r="P437" s="3" t="n">
        <v>0.18</v>
      </c>
      <c r="Q437" s="2">
        <f>O437*(1+P437)</f>
        <v/>
      </c>
      <c r="R437" s="2">
        <f>G437*Q437</f>
        <v/>
      </c>
    </row>
    <row r="438">
      <c r="A438" t="n">
        <v>437</v>
      </c>
      <c r="B438" t="inlineStr">
        <is>
          <t>SW-DAMPER-437</t>
        </is>
      </c>
      <c r="C438" t="inlineStr">
        <is>
          <t>VAN GIÓ</t>
        </is>
      </c>
      <c r="D438" t="inlineStr">
        <is>
          <t>Van chặn lửa FD EI45 - Kích thước 600x250</t>
        </is>
      </c>
      <c r="E438" t="inlineStr">
        <is>
          <t>600x250</t>
        </is>
      </c>
      <c r="F438" t="inlineStr">
        <is>
          <t>Cái</t>
        </is>
      </c>
      <c r="G438" s="2" t="n">
        <v>1</v>
      </c>
      <c r="H438" s="2">
        <f>SUMIF('01_BOC_TACH_ONG'!B:B, B438, '01_BOC_TACH_ONG'!K:K)</f>
        <v/>
      </c>
      <c r="I438" s="2">
        <f>SUMIF('02_BOC_TACH_CUA'!B:B, B438, '02_BOC_TACH_CUA'!K:K)</f>
        <v/>
      </c>
      <c r="J438" s="2">
        <f>SUMIF('03_BOC_TACH_VAN'!B:B, B438, '03_BOC_TACH_VAN'!K:K)</f>
        <v/>
      </c>
      <c r="K438" s="2">
        <f>SUM(H438:J438)</f>
        <v/>
      </c>
      <c r="L438" s="2">
        <f>K438*0.25</f>
        <v/>
      </c>
      <c r="M438" s="2">
        <f>K438*0.10</f>
        <v/>
      </c>
      <c r="N438" s="2">
        <f>K438+L438+M438</f>
        <v/>
      </c>
      <c r="O438" s="2">
        <f>IF(G438&gt;0, N438/G438, 0)</f>
        <v/>
      </c>
      <c r="P438" s="3" t="n">
        <v>0.18</v>
      </c>
      <c r="Q438" s="2">
        <f>O438*(1+P438)</f>
        <v/>
      </c>
      <c r="R438" s="2">
        <f>G438*Q438</f>
        <v/>
      </c>
    </row>
    <row r="439">
      <c r="A439" t="n">
        <v>438</v>
      </c>
      <c r="B439" t="inlineStr">
        <is>
          <t>SW-DAMPER-438</t>
        </is>
      </c>
      <c r="C439" t="inlineStr">
        <is>
          <t>VAN GIÓ</t>
        </is>
      </c>
      <c r="D439" t="inlineStr">
        <is>
          <t>Van chặn lửa FD EI45 - Kích thước 600x300</t>
        </is>
      </c>
      <c r="E439" t="inlineStr">
        <is>
          <t>600x300</t>
        </is>
      </c>
      <c r="F439" t="inlineStr">
        <is>
          <t>Cái</t>
        </is>
      </c>
      <c r="G439" s="2" t="n">
        <v>8</v>
      </c>
      <c r="H439" s="2">
        <f>SUMIF('01_BOC_TACH_ONG'!B:B, B439, '01_BOC_TACH_ONG'!K:K)</f>
        <v/>
      </c>
      <c r="I439" s="2">
        <f>SUMIF('02_BOC_TACH_CUA'!B:B, B439, '02_BOC_TACH_CUA'!K:K)</f>
        <v/>
      </c>
      <c r="J439" s="2">
        <f>SUMIF('03_BOC_TACH_VAN'!B:B, B439, '03_BOC_TACH_VAN'!K:K)</f>
        <v/>
      </c>
      <c r="K439" s="2">
        <f>SUM(H439:J439)</f>
        <v/>
      </c>
      <c r="L439" s="2">
        <f>K439*0.25</f>
        <v/>
      </c>
      <c r="M439" s="2">
        <f>K439*0.10</f>
        <v/>
      </c>
      <c r="N439" s="2">
        <f>K439+L439+M439</f>
        <v/>
      </c>
      <c r="O439" s="2">
        <f>IF(G439&gt;0, N439/G439, 0)</f>
        <v/>
      </c>
      <c r="P439" s="3" t="n">
        <v>0.18</v>
      </c>
      <c r="Q439" s="2">
        <f>O439*(1+P439)</f>
        <v/>
      </c>
      <c r="R439" s="2">
        <f>G439*Q439</f>
        <v/>
      </c>
    </row>
    <row r="440">
      <c r="A440" t="n">
        <v>439</v>
      </c>
      <c r="B440" t="inlineStr">
        <is>
          <t>SW-DAMPER-439</t>
        </is>
      </c>
      <c r="C440" t="inlineStr">
        <is>
          <t>VAN GIÓ</t>
        </is>
      </c>
      <c r="D440" t="inlineStr">
        <is>
          <t>Van chặn lửa FD EI45 - Kích thước 600x350</t>
        </is>
      </c>
      <c r="E440" t="inlineStr">
        <is>
          <t>600x350</t>
        </is>
      </c>
      <c r="F440" t="inlineStr">
        <is>
          <t>Cái</t>
        </is>
      </c>
      <c r="G440" s="2" t="n">
        <v>2</v>
      </c>
      <c r="H440" s="2">
        <f>SUMIF('01_BOC_TACH_ONG'!B:B, B440, '01_BOC_TACH_ONG'!K:K)</f>
        <v/>
      </c>
      <c r="I440" s="2">
        <f>SUMIF('02_BOC_TACH_CUA'!B:B, B440, '02_BOC_TACH_CUA'!K:K)</f>
        <v/>
      </c>
      <c r="J440" s="2">
        <f>SUMIF('03_BOC_TACH_VAN'!B:B, B440, '03_BOC_TACH_VAN'!K:K)</f>
        <v/>
      </c>
      <c r="K440" s="2">
        <f>SUM(H440:J440)</f>
        <v/>
      </c>
      <c r="L440" s="2">
        <f>K440*0.25</f>
        <v/>
      </c>
      <c r="M440" s="2">
        <f>K440*0.10</f>
        <v/>
      </c>
      <c r="N440" s="2">
        <f>K440+L440+M440</f>
        <v/>
      </c>
      <c r="O440" s="2">
        <f>IF(G440&gt;0, N440/G440, 0)</f>
        <v/>
      </c>
      <c r="P440" s="3" t="n">
        <v>0.18</v>
      </c>
      <c r="Q440" s="2">
        <f>O440*(1+P440)</f>
        <v/>
      </c>
      <c r="R440" s="2">
        <f>G440*Q440</f>
        <v/>
      </c>
    </row>
    <row r="441">
      <c r="A441" t="n">
        <v>440</v>
      </c>
      <c r="B441" t="inlineStr">
        <is>
          <t>SW-DAMPER-440</t>
        </is>
      </c>
      <c r="C441" t="inlineStr">
        <is>
          <t>VAN GIÓ</t>
        </is>
      </c>
      <c r="D441" t="inlineStr">
        <is>
          <t>Van chặn lửa FD EI45 - Kích thước 600x400</t>
        </is>
      </c>
      <c r="E441" t="inlineStr">
        <is>
          <t>600x400</t>
        </is>
      </c>
      <c r="F441" t="inlineStr">
        <is>
          <t>Cái</t>
        </is>
      </c>
      <c r="G441" s="2" t="n">
        <v>3</v>
      </c>
      <c r="H441" s="2">
        <f>SUMIF('01_BOC_TACH_ONG'!B:B, B441, '01_BOC_TACH_ONG'!K:K)</f>
        <v/>
      </c>
      <c r="I441" s="2">
        <f>SUMIF('02_BOC_TACH_CUA'!B:B, B441, '02_BOC_TACH_CUA'!K:K)</f>
        <v/>
      </c>
      <c r="J441" s="2">
        <f>SUMIF('03_BOC_TACH_VAN'!B:B, B441, '03_BOC_TACH_VAN'!K:K)</f>
        <v/>
      </c>
      <c r="K441" s="2">
        <f>SUM(H441:J441)</f>
        <v/>
      </c>
      <c r="L441" s="2">
        <f>K441*0.25</f>
        <v/>
      </c>
      <c r="M441" s="2">
        <f>K441*0.10</f>
        <v/>
      </c>
      <c r="N441" s="2">
        <f>K441+L441+M441</f>
        <v/>
      </c>
      <c r="O441" s="2">
        <f>IF(G441&gt;0, N441/G441, 0)</f>
        <v/>
      </c>
      <c r="P441" s="3" t="n">
        <v>0.18</v>
      </c>
      <c r="Q441" s="2">
        <f>O441*(1+P441)</f>
        <v/>
      </c>
      <c r="R441" s="2">
        <f>G441*Q441</f>
        <v/>
      </c>
    </row>
    <row r="442">
      <c r="A442" t="n">
        <v>441</v>
      </c>
      <c r="B442" t="inlineStr">
        <is>
          <t>SW-DAMPER-441</t>
        </is>
      </c>
      <c r="C442" t="inlineStr">
        <is>
          <t>VAN GIÓ</t>
        </is>
      </c>
      <c r="D442" t="inlineStr">
        <is>
          <t>Van chặn lửa FD EI45 - Kích thước 600x600</t>
        </is>
      </c>
      <c r="E442" t="inlineStr">
        <is>
          <t>600x600</t>
        </is>
      </c>
      <c r="F442" t="inlineStr">
        <is>
          <t>Cái</t>
        </is>
      </c>
      <c r="G442" s="2" t="n">
        <v>1</v>
      </c>
      <c r="H442" s="2">
        <f>SUMIF('01_BOC_TACH_ONG'!B:B, B442, '01_BOC_TACH_ONG'!K:K)</f>
        <v/>
      </c>
      <c r="I442" s="2">
        <f>SUMIF('02_BOC_TACH_CUA'!B:B, B442, '02_BOC_TACH_CUA'!K:K)</f>
        <v/>
      </c>
      <c r="J442" s="2">
        <f>SUMIF('03_BOC_TACH_VAN'!B:B, B442, '03_BOC_TACH_VAN'!K:K)</f>
        <v/>
      </c>
      <c r="K442" s="2">
        <f>SUM(H442:J442)</f>
        <v/>
      </c>
      <c r="L442" s="2">
        <f>K442*0.25</f>
        <v/>
      </c>
      <c r="M442" s="2">
        <f>K442*0.10</f>
        <v/>
      </c>
      <c r="N442" s="2">
        <f>K442+L442+M442</f>
        <v/>
      </c>
      <c r="O442" s="2">
        <f>IF(G442&gt;0, N442/G442, 0)</f>
        <v/>
      </c>
      <c r="P442" s="3" t="n">
        <v>0.18</v>
      </c>
      <c r="Q442" s="2">
        <f>O442*(1+P442)</f>
        <v/>
      </c>
      <c r="R442" s="2">
        <f>G442*Q442</f>
        <v/>
      </c>
    </row>
    <row r="443">
      <c r="A443" t="n">
        <v>442</v>
      </c>
      <c r="B443" t="inlineStr">
        <is>
          <t>SW-DAMPER-442</t>
        </is>
      </c>
      <c r="C443" t="inlineStr">
        <is>
          <t>VAN GIÓ</t>
        </is>
      </c>
      <c r="D443" t="inlineStr">
        <is>
          <t>Van chặn lửa FD EI45 - Kích thước 600x…</t>
        </is>
      </c>
      <c r="E443" t="inlineStr">
        <is>
          <t>-</t>
        </is>
      </c>
      <c r="F443" t="inlineStr">
        <is>
          <t>Cái</t>
        </is>
      </c>
      <c r="G443" s="2" t="n">
        <v>1</v>
      </c>
      <c r="H443" s="2">
        <f>SUMIF('01_BOC_TACH_ONG'!B:B, B443, '01_BOC_TACH_ONG'!K:K)</f>
        <v/>
      </c>
      <c r="I443" s="2">
        <f>SUMIF('02_BOC_TACH_CUA'!B:B, B443, '02_BOC_TACH_CUA'!K:K)</f>
        <v/>
      </c>
      <c r="J443" s="2">
        <f>SUMIF('03_BOC_TACH_VAN'!B:B, B443, '03_BOC_TACH_VAN'!K:K)</f>
        <v/>
      </c>
      <c r="K443" s="2">
        <f>SUM(H443:J443)</f>
        <v/>
      </c>
      <c r="L443" s="2">
        <f>K443*0.25</f>
        <v/>
      </c>
      <c r="M443" s="2">
        <f>K443*0.10</f>
        <v/>
      </c>
      <c r="N443" s="2">
        <f>K443+L443+M443</f>
        <v/>
      </c>
      <c r="O443" s="2">
        <f>IF(G443&gt;0, N443/G443, 0)</f>
        <v/>
      </c>
      <c r="P443" s="3" t="n">
        <v>0.18</v>
      </c>
      <c r="Q443" s="2">
        <f>O443*(1+P443)</f>
        <v/>
      </c>
      <c r="R443" s="2">
        <f>G443*Q443</f>
        <v/>
      </c>
    </row>
    <row r="444">
      <c r="A444" t="n">
        <v>443</v>
      </c>
      <c r="B444" t="inlineStr">
        <is>
          <t>SW-DAMPER-443</t>
        </is>
      </c>
      <c r="C444" t="inlineStr">
        <is>
          <t>VAN GIÓ</t>
        </is>
      </c>
      <c r="D444" t="inlineStr">
        <is>
          <t>Van chặn lửa FD EI45 - Kích thước 650x250</t>
        </is>
      </c>
      <c r="E444" t="inlineStr">
        <is>
          <t>650x250</t>
        </is>
      </c>
      <c r="F444" t="inlineStr">
        <is>
          <t>Cái</t>
        </is>
      </c>
      <c r="G444" s="2" t="n">
        <v>11</v>
      </c>
      <c r="H444" s="2">
        <f>SUMIF('01_BOC_TACH_ONG'!B:B, B444, '01_BOC_TACH_ONG'!K:K)</f>
        <v/>
      </c>
      <c r="I444" s="2">
        <f>SUMIF('02_BOC_TACH_CUA'!B:B, B444, '02_BOC_TACH_CUA'!K:K)</f>
        <v/>
      </c>
      <c r="J444" s="2">
        <f>SUMIF('03_BOC_TACH_VAN'!B:B, B444, '03_BOC_TACH_VAN'!K:K)</f>
        <v/>
      </c>
      <c r="K444" s="2">
        <f>SUM(H444:J444)</f>
        <v/>
      </c>
      <c r="L444" s="2">
        <f>K444*0.25</f>
        <v/>
      </c>
      <c r="M444" s="2">
        <f>K444*0.10</f>
        <v/>
      </c>
      <c r="N444" s="2">
        <f>K444+L444+M444</f>
        <v/>
      </c>
      <c r="O444" s="2">
        <f>IF(G444&gt;0, N444/G444, 0)</f>
        <v/>
      </c>
      <c r="P444" s="3" t="n">
        <v>0.18</v>
      </c>
      <c r="Q444" s="2">
        <f>O444*(1+P444)</f>
        <v/>
      </c>
      <c r="R444" s="2">
        <f>G444*Q444</f>
        <v/>
      </c>
    </row>
    <row r="445">
      <c r="A445" t="n">
        <v>444</v>
      </c>
      <c r="B445" t="inlineStr">
        <is>
          <t>SW-DAMPER-444</t>
        </is>
      </c>
      <c r="C445" t="inlineStr">
        <is>
          <t>VAN GIÓ</t>
        </is>
      </c>
      <c r="D445" t="inlineStr">
        <is>
          <t>Van chặn lửa FD EI45 - Kích thước 650x300</t>
        </is>
      </c>
      <c r="E445" t="inlineStr">
        <is>
          <t>650x300</t>
        </is>
      </c>
      <c r="F445" t="inlineStr">
        <is>
          <t>Cái</t>
        </is>
      </c>
      <c r="G445" s="2" t="n">
        <v>2</v>
      </c>
      <c r="H445" s="2">
        <f>SUMIF('01_BOC_TACH_ONG'!B:B, B445, '01_BOC_TACH_ONG'!K:K)</f>
        <v/>
      </c>
      <c r="I445" s="2">
        <f>SUMIF('02_BOC_TACH_CUA'!B:B, B445, '02_BOC_TACH_CUA'!K:K)</f>
        <v/>
      </c>
      <c r="J445" s="2">
        <f>SUMIF('03_BOC_TACH_VAN'!B:B, B445, '03_BOC_TACH_VAN'!K:K)</f>
        <v/>
      </c>
      <c r="K445" s="2">
        <f>SUM(H445:J445)</f>
        <v/>
      </c>
      <c r="L445" s="2">
        <f>K445*0.25</f>
        <v/>
      </c>
      <c r="M445" s="2">
        <f>K445*0.10</f>
        <v/>
      </c>
      <c r="N445" s="2">
        <f>K445+L445+M445</f>
        <v/>
      </c>
      <c r="O445" s="2">
        <f>IF(G445&gt;0, N445/G445, 0)</f>
        <v/>
      </c>
      <c r="P445" s="3" t="n">
        <v>0.18</v>
      </c>
      <c r="Q445" s="2">
        <f>O445*(1+P445)</f>
        <v/>
      </c>
      <c r="R445" s="2">
        <f>G445*Q445</f>
        <v/>
      </c>
    </row>
    <row r="446">
      <c r="A446" t="n">
        <v>445</v>
      </c>
      <c r="B446" t="inlineStr">
        <is>
          <t>SW-DAMPER-445</t>
        </is>
      </c>
      <c r="C446" t="inlineStr">
        <is>
          <t>VAN GIÓ</t>
        </is>
      </c>
      <c r="D446" t="inlineStr">
        <is>
          <t>Van chặn lửa FD EI45 - Kích thước 650x350</t>
        </is>
      </c>
      <c r="E446" t="inlineStr">
        <is>
          <t>650x350</t>
        </is>
      </c>
      <c r="F446" t="inlineStr">
        <is>
          <t>Cái</t>
        </is>
      </c>
      <c r="G446" s="2" t="n">
        <v>6</v>
      </c>
      <c r="H446" s="2">
        <f>SUMIF('01_BOC_TACH_ONG'!B:B, B446, '01_BOC_TACH_ONG'!K:K)</f>
        <v/>
      </c>
      <c r="I446" s="2">
        <f>SUMIF('02_BOC_TACH_CUA'!B:B, B446, '02_BOC_TACH_CUA'!K:K)</f>
        <v/>
      </c>
      <c r="J446" s="2">
        <f>SUMIF('03_BOC_TACH_VAN'!B:B, B446, '03_BOC_TACH_VAN'!K:K)</f>
        <v/>
      </c>
      <c r="K446" s="2">
        <f>SUM(H446:J446)</f>
        <v/>
      </c>
      <c r="L446" s="2">
        <f>K446*0.25</f>
        <v/>
      </c>
      <c r="M446" s="2">
        <f>K446*0.10</f>
        <v/>
      </c>
      <c r="N446" s="2">
        <f>K446+L446+M446</f>
        <v/>
      </c>
      <c r="O446" s="2">
        <f>IF(G446&gt;0, N446/G446, 0)</f>
        <v/>
      </c>
      <c r="P446" s="3" t="n">
        <v>0.18</v>
      </c>
      <c r="Q446" s="2">
        <f>O446*(1+P446)</f>
        <v/>
      </c>
      <c r="R446" s="2">
        <f>G446*Q446</f>
        <v/>
      </c>
    </row>
    <row r="447">
      <c r="A447" t="n">
        <v>446</v>
      </c>
      <c r="B447" t="inlineStr">
        <is>
          <t>SW-DAMPER-446</t>
        </is>
      </c>
      <c r="C447" t="inlineStr">
        <is>
          <t>VAN GIÓ</t>
        </is>
      </c>
      <c r="D447" t="inlineStr">
        <is>
          <t>Van chặn lửa FD EI45 - Kích thước 650x400</t>
        </is>
      </c>
      <c r="E447" t="inlineStr">
        <is>
          <t>650x400</t>
        </is>
      </c>
      <c r="F447" t="inlineStr">
        <is>
          <t>Cái</t>
        </is>
      </c>
      <c r="G447" s="2" t="n">
        <v>1</v>
      </c>
      <c r="H447" s="2">
        <f>SUMIF('01_BOC_TACH_ONG'!B:B, B447, '01_BOC_TACH_ONG'!K:K)</f>
        <v/>
      </c>
      <c r="I447" s="2">
        <f>SUMIF('02_BOC_TACH_CUA'!B:B, B447, '02_BOC_TACH_CUA'!K:K)</f>
        <v/>
      </c>
      <c r="J447" s="2">
        <f>SUMIF('03_BOC_TACH_VAN'!B:B, B447, '03_BOC_TACH_VAN'!K:K)</f>
        <v/>
      </c>
      <c r="K447" s="2">
        <f>SUM(H447:J447)</f>
        <v/>
      </c>
      <c r="L447" s="2">
        <f>K447*0.25</f>
        <v/>
      </c>
      <c r="M447" s="2">
        <f>K447*0.10</f>
        <v/>
      </c>
      <c r="N447" s="2">
        <f>K447+L447+M447</f>
        <v/>
      </c>
      <c r="O447" s="2">
        <f>IF(G447&gt;0, N447/G447, 0)</f>
        <v/>
      </c>
      <c r="P447" s="3" t="n">
        <v>0.18</v>
      </c>
      <c r="Q447" s="2">
        <f>O447*(1+P447)</f>
        <v/>
      </c>
      <c r="R447" s="2">
        <f>G447*Q447</f>
        <v/>
      </c>
    </row>
    <row r="448">
      <c r="A448" t="n">
        <v>447</v>
      </c>
      <c r="B448" t="inlineStr">
        <is>
          <t>SW-DAMPER-447</t>
        </is>
      </c>
      <c r="C448" t="inlineStr">
        <is>
          <t>VAN GIÓ</t>
        </is>
      </c>
      <c r="D448" t="inlineStr">
        <is>
          <t>Van chặn lửa FD EI45 - Kích thước 700x400</t>
        </is>
      </c>
      <c r="E448" t="inlineStr">
        <is>
          <t>700x400</t>
        </is>
      </c>
      <c r="F448" t="inlineStr">
        <is>
          <t>Cái</t>
        </is>
      </c>
      <c r="G448" s="2" t="n">
        <v>3</v>
      </c>
      <c r="H448" s="2">
        <f>SUMIF('01_BOC_TACH_ONG'!B:B, B448, '01_BOC_TACH_ONG'!K:K)</f>
        <v/>
      </c>
      <c r="I448" s="2">
        <f>SUMIF('02_BOC_TACH_CUA'!B:B, B448, '02_BOC_TACH_CUA'!K:K)</f>
        <v/>
      </c>
      <c r="J448" s="2">
        <f>SUMIF('03_BOC_TACH_VAN'!B:B, B448, '03_BOC_TACH_VAN'!K:K)</f>
        <v/>
      </c>
      <c r="K448" s="2">
        <f>SUM(H448:J448)</f>
        <v/>
      </c>
      <c r="L448" s="2">
        <f>K448*0.25</f>
        <v/>
      </c>
      <c r="M448" s="2">
        <f>K448*0.10</f>
        <v/>
      </c>
      <c r="N448" s="2">
        <f>K448+L448+M448</f>
        <v/>
      </c>
      <c r="O448" s="2">
        <f>IF(G448&gt;0, N448/G448, 0)</f>
        <v/>
      </c>
      <c r="P448" s="3" t="n">
        <v>0.18</v>
      </c>
      <c r="Q448" s="2">
        <f>O448*(1+P448)</f>
        <v/>
      </c>
      <c r="R448" s="2">
        <f>G448*Q448</f>
        <v/>
      </c>
    </row>
    <row r="449">
      <c r="A449" t="n">
        <v>448</v>
      </c>
      <c r="B449" t="inlineStr">
        <is>
          <t>SW-DAMPER-448</t>
        </is>
      </c>
      <c r="C449" t="inlineStr">
        <is>
          <t>VAN GIÓ</t>
        </is>
      </c>
      <c r="D449" t="inlineStr">
        <is>
          <t>Van chặn lửa FD EI45 - Kích thước 750x500</t>
        </is>
      </c>
      <c r="E449" t="inlineStr">
        <is>
          <t>750x500</t>
        </is>
      </c>
      <c r="F449" t="inlineStr">
        <is>
          <t>Cái</t>
        </is>
      </c>
      <c r="G449" s="2" t="n">
        <v>2</v>
      </c>
      <c r="H449" s="2">
        <f>SUMIF('01_BOC_TACH_ONG'!B:B, B449, '01_BOC_TACH_ONG'!K:K)</f>
        <v/>
      </c>
      <c r="I449" s="2">
        <f>SUMIF('02_BOC_TACH_CUA'!B:B, B449, '02_BOC_TACH_CUA'!K:K)</f>
        <v/>
      </c>
      <c r="J449" s="2">
        <f>SUMIF('03_BOC_TACH_VAN'!B:B, B449, '03_BOC_TACH_VAN'!K:K)</f>
        <v/>
      </c>
      <c r="K449" s="2">
        <f>SUM(H449:J449)</f>
        <v/>
      </c>
      <c r="L449" s="2">
        <f>K449*0.25</f>
        <v/>
      </c>
      <c r="M449" s="2">
        <f>K449*0.10</f>
        <v/>
      </c>
      <c r="N449" s="2">
        <f>K449+L449+M449</f>
        <v/>
      </c>
      <c r="O449" s="2">
        <f>IF(G449&gt;0, N449/G449, 0)</f>
        <v/>
      </c>
      <c r="P449" s="3" t="n">
        <v>0.18</v>
      </c>
      <c r="Q449" s="2">
        <f>O449*(1+P449)</f>
        <v/>
      </c>
      <c r="R449" s="2">
        <f>G449*Q449</f>
        <v/>
      </c>
    </row>
    <row r="450">
      <c r="A450" t="n">
        <v>449</v>
      </c>
      <c r="B450" t="inlineStr">
        <is>
          <t>SW-DAMPER-449</t>
        </is>
      </c>
      <c r="C450" t="inlineStr">
        <is>
          <t>VAN GIÓ</t>
        </is>
      </c>
      <c r="D450" t="inlineStr">
        <is>
          <t>Van chặn lửa FD EI45 - Kích thước 750x550</t>
        </is>
      </c>
      <c r="E450" t="inlineStr">
        <is>
          <t>750x550</t>
        </is>
      </c>
      <c r="F450" t="inlineStr">
        <is>
          <t>Cái</t>
        </is>
      </c>
      <c r="G450" s="2" t="n">
        <v>2</v>
      </c>
      <c r="H450" s="2">
        <f>SUMIF('01_BOC_TACH_ONG'!B:B, B450, '01_BOC_TACH_ONG'!K:K)</f>
        <v/>
      </c>
      <c r="I450" s="2">
        <f>SUMIF('02_BOC_TACH_CUA'!B:B, B450, '02_BOC_TACH_CUA'!K:K)</f>
        <v/>
      </c>
      <c r="J450" s="2">
        <f>SUMIF('03_BOC_TACH_VAN'!B:B, B450, '03_BOC_TACH_VAN'!K:K)</f>
        <v/>
      </c>
      <c r="K450" s="2">
        <f>SUM(H450:J450)</f>
        <v/>
      </c>
      <c r="L450" s="2">
        <f>K450*0.25</f>
        <v/>
      </c>
      <c r="M450" s="2">
        <f>K450*0.10</f>
        <v/>
      </c>
      <c r="N450" s="2">
        <f>K450+L450+M450</f>
        <v/>
      </c>
      <c r="O450" s="2">
        <f>IF(G450&gt;0, N450/G450, 0)</f>
        <v/>
      </c>
      <c r="P450" s="3" t="n">
        <v>0.18</v>
      </c>
      <c r="Q450" s="2">
        <f>O450*(1+P450)</f>
        <v/>
      </c>
      <c r="R450" s="2">
        <f>G450*Q450</f>
        <v/>
      </c>
    </row>
    <row r="451">
      <c r="A451" t="n">
        <v>450</v>
      </c>
      <c r="B451" t="inlineStr">
        <is>
          <t>SW-DAMPER-450</t>
        </is>
      </c>
      <c r="C451" t="inlineStr">
        <is>
          <t>VAN GIÓ</t>
        </is>
      </c>
      <c r="D451" t="inlineStr">
        <is>
          <t>Van chặn lửa FD EI45 - Kích thước 800x400</t>
        </is>
      </c>
      <c r="E451" t="inlineStr">
        <is>
          <t>800x400</t>
        </is>
      </c>
      <c r="F451" t="inlineStr">
        <is>
          <t>Cái</t>
        </is>
      </c>
      <c r="G451" s="2" t="n">
        <v>1</v>
      </c>
      <c r="H451" s="2">
        <f>SUMIF('01_BOC_TACH_ONG'!B:B, B451, '01_BOC_TACH_ONG'!K:K)</f>
        <v/>
      </c>
      <c r="I451" s="2">
        <f>SUMIF('02_BOC_TACH_CUA'!B:B, B451, '02_BOC_TACH_CUA'!K:K)</f>
        <v/>
      </c>
      <c r="J451" s="2">
        <f>SUMIF('03_BOC_TACH_VAN'!B:B, B451, '03_BOC_TACH_VAN'!K:K)</f>
        <v/>
      </c>
      <c r="K451" s="2">
        <f>SUM(H451:J451)</f>
        <v/>
      </c>
      <c r="L451" s="2">
        <f>K451*0.25</f>
        <v/>
      </c>
      <c r="M451" s="2">
        <f>K451*0.10</f>
        <v/>
      </c>
      <c r="N451" s="2">
        <f>K451+L451+M451</f>
        <v/>
      </c>
      <c r="O451" s="2">
        <f>IF(G451&gt;0, N451/G451, 0)</f>
        <v/>
      </c>
      <c r="P451" s="3" t="n">
        <v>0.18</v>
      </c>
      <c r="Q451" s="2">
        <f>O451*(1+P451)</f>
        <v/>
      </c>
      <c r="R451" s="2">
        <f>G451*Q451</f>
        <v/>
      </c>
    </row>
    <row r="452">
      <c r="A452" t="n">
        <v>451</v>
      </c>
      <c r="B452" t="inlineStr">
        <is>
          <t>SW-DAMPER-451</t>
        </is>
      </c>
      <c r="C452" t="inlineStr">
        <is>
          <t>VAN GIÓ</t>
        </is>
      </c>
      <c r="D452" t="inlineStr">
        <is>
          <t>Van chặn lửa FD EI45 - Kích thước 800x450</t>
        </is>
      </c>
      <c r="E452" t="inlineStr">
        <is>
          <t>800x450</t>
        </is>
      </c>
      <c r="F452" t="inlineStr">
        <is>
          <t>Cái</t>
        </is>
      </c>
      <c r="G452" s="2" t="n">
        <v>4</v>
      </c>
      <c r="H452" s="2">
        <f>SUMIF('01_BOC_TACH_ONG'!B:B, B452, '01_BOC_TACH_ONG'!K:K)</f>
        <v/>
      </c>
      <c r="I452" s="2">
        <f>SUMIF('02_BOC_TACH_CUA'!B:B, B452, '02_BOC_TACH_CUA'!K:K)</f>
        <v/>
      </c>
      <c r="J452" s="2">
        <f>SUMIF('03_BOC_TACH_VAN'!B:B, B452, '03_BOC_TACH_VAN'!K:K)</f>
        <v/>
      </c>
      <c r="K452" s="2">
        <f>SUM(H452:J452)</f>
        <v/>
      </c>
      <c r="L452" s="2">
        <f>K452*0.25</f>
        <v/>
      </c>
      <c r="M452" s="2">
        <f>K452*0.10</f>
        <v/>
      </c>
      <c r="N452" s="2">
        <f>K452+L452+M452</f>
        <v/>
      </c>
      <c r="O452" s="2">
        <f>IF(G452&gt;0, N452/G452, 0)</f>
        <v/>
      </c>
      <c r="P452" s="3" t="n">
        <v>0.18</v>
      </c>
      <c r="Q452" s="2">
        <f>O452*(1+P452)</f>
        <v/>
      </c>
      <c r="R452" s="2">
        <f>G452*Q452</f>
        <v/>
      </c>
    </row>
    <row r="453">
      <c r="A453" t="n">
        <v>452</v>
      </c>
      <c r="B453" t="inlineStr">
        <is>
          <t>SW-DAMPER-452</t>
        </is>
      </c>
      <c r="C453" t="inlineStr">
        <is>
          <t>VAN GIÓ</t>
        </is>
      </c>
      <c r="D453" t="inlineStr">
        <is>
          <t>Van chặn lửa FD EI45 - Kích thước 900x300</t>
        </is>
      </c>
      <c r="E453" t="inlineStr">
        <is>
          <t>900x300</t>
        </is>
      </c>
      <c r="F453" t="inlineStr">
        <is>
          <t>Cái</t>
        </is>
      </c>
      <c r="G453" s="2" t="n">
        <v>2</v>
      </c>
      <c r="H453" s="2">
        <f>SUMIF('01_BOC_TACH_ONG'!B:B, B453, '01_BOC_TACH_ONG'!K:K)</f>
        <v/>
      </c>
      <c r="I453" s="2">
        <f>SUMIF('02_BOC_TACH_CUA'!B:B, B453, '02_BOC_TACH_CUA'!K:K)</f>
        <v/>
      </c>
      <c r="J453" s="2">
        <f>SUMIF('03_BOC_TACH_VAN'!B:B, B453, '03_BOC_TACH_VAN'!K:K)</f>
        <v/>
      </c>
      <c r="K453" s="2">
        <f>SUM(H453:J453)</f>
        <v/>
      </c>
      <c r="L453" s="2">
        <f>K453*0.25</f>
        <v/>
      </c>
      <c r="M453" s="2">
        <f>K453*0.10</f>
        <v/>
      </c>
      <c r="N453" s="2">
        <f>K453+L453+M453</f>
        <v/>
      </c>
      <c r="O453" s="2">
        <f>IF(G453&gt;0, N453/G453, 0)</f>
        <v/>
      </c>
      <c r="P453" s="3" t="n">
        <v>0.18</v>
      </c>
      <c r="Q453" s="2">
        <f>O453*(1+P453)</f>
        <v/>
      </c>
      <c r="R453" s="2">
        <f>G453*Q453</f>
        <v/>
      </c>
    </row>
    <row r="454">
      <c r="A454" t="n">
        <v>453</v>
      </c>
      <c r="B454" t="inlineStr">
        <is>
          <t>SW-DAMPER-453</t>
        </is>
      </c>
      <c r="C454" t="inlineStr">
        <is>
          <t>VAN GIÓ</t>
        </is>
      </c>
      <c r="D454" t="inlineStr">
        <is>
          <t>Van chặn lửa FD EI45 - Kích thước 900x500</t>
        </is>
      </c>
      <c r="E454" t="inlineStr">
        <is>
          <t>900x500</t>
        </is>
      </c>
      <c r="F454" t="inlineStr">
        <is>
          <t>Cái</t>
        </is>
      </c>
      <c r="G454" s="2" t="n">
        <v>3</v>
      </c>
      <c r="H454" s="2">
        <f>SUMIF('01_BOC_TACH_ONG'!B:B, B454, '01_BOC_TACH_ONG'!K:K)</f>
        <v/>
      </c>
      <c r="I454" s="2">
        <f>SUMIF('02_BOC_TACH_CUA'!B:B, B454, '02_BOC_TACH_CUA'!K:K)</f>
        <v/>
      </c>
      <c r="J454" s="2">
        <f>SUMIF('03_BOC_TACH_VAN'!B:B, B454, '03_BOC_TACH_VAN'!K:K)</f>
        <v/>
      </c>
      <c r="K454" s="2">
        <f>SUM(H454:J454)</f>
        <v/>
      </c>
      <c r="L454" s="2">
        <f>K454*0.25</f>
        <v/>
      </c>
      <c r="M454" s="2">
        <f>K454*0.10</f>
        <v/>
      </c>
      <c r="N454" s="2">
        <f>K454+L454+M454</f>
        <v/>
      </c>
      <c r="O454" s="2">
        <f>IF(G454&gt;0, N454/G454, 0)</f>
        <v/>
      </c>
      <c r="P454" s="3" t="n">
        <v>0.18</v>
      </c>
      <c r="Q454" s="2">
        <f>O454*(1+P454)</f>
        <v/>
      </c>
      <c r="R454" s="2">
        <f>G454*Q454</f>
        <v/>
      </c>
    </row>
    <row r="455">
      <c r="A455" t="n">
        <v>454</v>
      </c>
      <c r="B455" t="inlineStr">
        <is>
          <t>SW-DAMPER-454</t>
        </is>
      </c>
      <c r="C455" t="inlineStr">
        <is>
          <t>VAN GIÓ</t>
        </is>
      </c>
      <c r="D455" t="inlineStr">
        <is>
          <t>Van chặn lửa FD EI45 - Kích thước 1000x1000</t>
        </is>
      </c>
      <c r="E455" t="inlineStr">
        <is>
          <t>1000x1000</t>
        </is>
      </c>
      <c r="F455" t="inlineStr">
        <is>
          <t>Cái</t>
        </is>
      </c>
      <c r="G455" s="2" t="n">
        <v>8</v>
      </c>
      <c r="H455" s="2">
        <f>SUMIF('01_BOC_TACH_ONG'!B:B, B455, '01_BOC_TACH_ONG'!K:K)</f>
        <v/>
      </c>
      <c r="I455" s="2">
        <f>SUMIF('02_BOC_TACH_CUA'!B:B, B455, '02_BOC_TACH_CUA'!K:K)</f>
        <v/>
      </c>
      <c r="J455" s="2">
        <f>SUMIF('03_BOC_TACH_VAN'!B:B, B455, '03_BOC_TACH_VAN'!K:K)</f>
        <v/>
      </c>
      <c r="K455" s="2">
        <f>SUM(H455:J455)</f>
        <v/>
      </c>
      <c r="L455" s="2">
        <f>K455*0.25</f>
        <v/>
      </c>
      <c r="M455" s="2">
        <f>K455*0.10</f>
        <v/>
      </c>
      <c r="N455" s="2">
        <f>K455+L455+M455</f>
        <v/>
      </c>
      <c r="O455" s="2">
        <f>IF(G455&gt;0, N455/G455, 0)</f>
        <v/>
      </c>
      <c r="P455" s="3" t="n">
        <v>0.18</v>
      </c>
      <c r="Q455" s="2">
        <f>O455*(1+P455)</f>
        <v/>
      </c>
      <c r="R455" s="2">
        <f>G455*Q455</f>
        <v/>
      </c>
    </row>
    <row r="456">
      <c r="A456" t="n">
        <v>455</v>
      </c>
      <c r="B456" t="inlineStr">
        <is>
          <t>SW-DAMPER-455</t>
        </is>
      </c>
      <c r="C456" t="inlineStr">
        <is>
          <t>VAN GIÓ</t>
        </is>
      </c>
      <c r="D456" t="inlineStr">
        <is>
          <t>Van chặn lửa FD EI45 - Kích thước 1200x650</t>
        </is>
      </c>
      <c r="E456" t="inlineStr">
        <is>
          <t>1200x650</t>
        </is>
      </c>
      <c r="F456" t="inlineStr">
        <is>
          <t>Cái</t>
        </is>
      </c>
      <c r="G456" s="2" t="n">
        <v>4</v>
      </c>
      <c r="H456" s="2">
        <f>SUMIF('01_BOC_TACH_ONG'!B:B, B456, '01_BOC_TACH_ONG'!K:K)</f>
        <v/>
      </c>
      <c r="I456" s="2">
        <f>SUMIF('02_BOC_TACH_CUA'!B:B, B456, '02_BOC_TACH_CUA'!K:K)</f>
        <v/>
      </c>
      <c r="J456" s="2">
        <f>SUMIF('03_BOC_TACH_VAN'!B:B, B456, '03_BOC_TACH_VAN'!K:K)</f>
        <v/>
      </c>
      <c r="K456" s="2">
        <f>SUM(H456:J456)</f>
        <v/>
      </c>
      <c r="L456" s="2">
        <f>K456*0.25</f>
        <v/>
      </c>
      <c r="M456" s="2">
        <f>K456*0.10</f>
        <v/>
      </c>
      <c r="N456" s="2">
        <f>K456+L456+M456</f>
        <v/>
      </c>
      <c r="O456" s="2">
        <f>IF(G456&gt;0, N456/G456, 0)</f>
        <v/>
      </c>
      <c r="P456" s="3" t="n">
        <v>0.18</v>
      </c>
      <c r="Q456" s="2">
        <f>O456*(1+P456)</f>
        <v/>
      </c>
      <c r="R456" s="2">
        <f>G456*Q456</f>
        <v/>
      </c>
    </row>
    <row r="457">
      <c r="A457" t="n">
        <v>456</v>
      </c>
      <c r="B457" t="inlineStr">
        <is>
          <t>SW-DAMPER-456</t>
        </is>
      </c>
      <c r="C457" t="inlineStr">
        <is>
          <t>VAN GIÓ</t>
        </is>
      </c>
      <c r="D457" t="inlineStr">
        <is>
          <t>Van chặn lửa FD EI45 - Kích thước 1400x600</t>
        </is>
      </c>
      <c r="E457" t="inlineStr">
        <is>
          <t>1400x600</t>
        </is>
      </c>
      <c r="F457" t="inlineStr">
        <is>
          <t>Cái</t>
        </is>
      </c>
      <c r="G457" s="2" t="n">
        <v>1</v>
      </c>
      <c r="H457" s="2">
        <f>SUMIF('01_BOC_TACH_ONG'!B:B, B457, '01_BOC_TACH_ONG'!K:K)</f>
        <v/>
      </c>
      <c r="I457" s="2">
        <f>SUMIF('02_BOC_TACH_CUA'!B:B, B457, '02_BOC_TACH_CUA'!K:K)</f>
        <v/>
      </c>
      <c r="J457" s="2">
        <f>SUMIF('03_BOC_TACH_VAN'!B:B, B457, '03_BOC_TACH_VAN'!K:K)</f>
        <v/>
      </c>
      <c r="K457" s="2">
        <f>SUM(H457:J457)</f>
        <v/>
      </c>
      <c r="L457" s="2">
        <f>K457*0.25</f>
        <v/>
      </c>
      <c r="M457" s="2">
        <f>K457*0.10</f>
        <v/>
      </c>
      <c r="N457" s="2">
        <f>K457+L457+M457</f>
        <v/>
      </c>
      <c r="O457" s="2">
        <f>IF(G457&gt;0, N457/G457, 0)</f>
        <v/>
      </c>
      <c r="P457" s="3" t="n">
        <v>0.18</v>
      </c>
      <c r="Q457" s="2">
        <f>O457*(1+P457)</f>
        <v/>
      </c>
      <c r="R457" s="2">
        <f>G457*Q457</f>
        <v/>
      </c>
    </row>
    <row r="458">
      <c r="A458" t="n">
        <v>457</v>
      </c>
      <c r="B458" t="inlineStr">
        <is>
          <t>SW-DAMPER-457</t>
        </is>
      </c>
      <c r="C458" t="inlineStr">
        <is>
          <t>VAN GIÓ</t>
        </is>
      </c>
      <c r="D458" t="inlineStr">
        <is>
          <t>Van chặn lửa FD EI45 - Kích thước 1900x600</t>
        </is>
      </c>
      <c r="E458" t="inlineStr">
        <is>
          <t>1900x600</t>
        </is>
      </c>
      <c r="F458" t="inlineStr">
        <is>
          <t>Cái</t>
        </is>
      </c>
      <c r="G458" s="2" t="n">
        <v>1</v>
      </c>
      <c r="H458" s="2">
        <f>SUMIF('01_BOC_TACH_ONG'!B:B, B458, '01_BOC_TACH_ONG'!K:K)</f>
        <v/>
      </c>
      <c r="I458" s="2">
        <f>SUMIF('02_BOC_TACH_CUA'!B:B, B458, '02_BOC_TACH_CUA'!K:K)</f>
        <v/>
      </c>
      <c r="J458" s="2">
        <f>SUMIF('03_BOC_TACH_VAN'!B:B, B458, '03_BOC_TACH_VAN'!K:K)</f>
        <v/>
      </c>
      <c r="K458" s="2">
        <f>SUM(H458:J458)</f>
        <v/>
      </c>
      <c r="L458" s="2">
        <f>K458*0.25</f>
        <v/>
      </c>
      <c r="M458" s="2">
        <f>K458*0.10</f>
        <v/>
      </c>
      <c r="N458" s="2">
        <f>K458+L458+M458</f>
        <v/>
      </c>
      <c r="O458" s="2">
        <f>IF(G458&gt;0, N458/G458, 0)</f>
        <v/>
      </c>
      <c r="P458" s="3" t="n">
        <v>0.18</v>
      </c>
      <c r="Q458" s="2">
        <f>O458*(1+P458)</f>
        <v/>
      </c>
      <c r="R458" s="2">
        <f>G458*Q458</f>
        <v/>
      </c>
    </row>
    <row r="459">
      <c r="A459" t="n">
        <v>458</v>
      </c>
      <c r="B459" t="inlineStr">
        <is>
          <t>SW-DIFF-458</t>
        </is>
      </c>
      <c r="C459" t="inlineStr">
        <is>
          <t>CỬA GIÓ</t>
        </is>
      </c>
      <c r="D459" t="inlineStr">
        <is>
          <t>Miệng gió thải EAG-ED-200x100</t>
        </is>
      </c>
      <c r="E459" t="inlineStr">
        <is>
          <t>200x100</t>
        </is>
      </c>
      <c r="F459" t="inlineStr">
        <is>
          <t>Cái</t>
        </is>
      </c>
      <c r="G459" s="2" t="n">
        <v>48</v>
      </c>
      <c r="H459" s="2">
        <f>SUMIF('01_BOC_TACH_ONG'!B:B, B459, '01_BOC_TACH_ONG'!K:K)</f>
        <v/>
      </c>
      <c r="I459" s="2">
        <f>SUMIF('02_BOC_TACH_CUA'!B:B, B459, '02_BOC_TACH_CUA'!K:K)</f>
        <v/>
      </c>
      <c r="J459" s="2">
        <f>SUMIF('03_BOC_TACH_VAN'!B:B, B459, '03_BOC_TACH_VAN'!K:K)</f>
        <v/>
      </c>
      <c r="K459" s="2">
        <f>SUM(H459:J459)</f>
        <v/>
      </c>
      <c r="L459" s="2">
        <f>K459*0.25</f>
        <v/>
      </c>
      <c r="M459" s="2">
        <f>K459*0.10</f>
        <v/>
      </c>
      <c r="N459" s="2">
        <f>K459+L459+M459</f>
        <v/>
      </c>
      <c r="O459" s="2">
        <f>IF(G459&gt;0, N459/G459, 0)</f>
        <v/>
      </c>
      <c r="P459" s="3" t="n">
        <v>0.18</v>
      </c>
      <c r="Q459" s="2">
        <f>O459*(1+P459)</f>
        <v/>
      </c>
      <c r="R459" s="2">
        <f>G459*Q459</f>
        <v/>
      </c>
    </row>
    <row r="460">
      <c r="A460" t="n">
        <v>459</v>
      </c>
      <c r="B460" t="inlineStr">
        <is>
          <t>SW-DIFF-459</t>
        </is>
      </c>
      <c r="C460" t="inlineStr">
        <is>
          <t>CỬA GIÓ</t>
        </is>
      </c>
      <c r="D460" t="inlineStr">
        <is>
          <t>Miệng gió thải EAG-ED-200x150</t>
        </is>
      </c>
      <c r="E460" t="inlineStr">
        <is>
          <t>200x150</t>
        </is>
      </c>
      <c r="F460" t="inlineStr">
        <is>
          <t>Cái</t>
        </is>
      </c>
      <c r="G460" s="2" t="n">
        <v>2</v>
      </c>
      <c r="H460" s="2">
        <f>SUMIF('01_BOC_TACH_ONG'!B:B, B460, '01_BOC_TACH_ONG'!K:K)</f>
        <v/>
      </c>
      <c r="I460" s="2">
        <f>SUMIF('02_BOC_TACH_CUA'!B:B, B460, '02_BOC_TACH_CUA'!K:K)</f>
        <v/>
      </c>
      <c r="J460" s="2">
        <f>SUMIF('03_BOC_TACH_VAN'!B:B, B460, '03_BOC_TACH_VAN'!K:K)</f>
        <v/>
      </c>
      <c r="K460" s="2">
        <f>SUM(H460:J460)</f>
        <v/>
      </c>
      <c r="L460" s="2">
        <f>K460*0.25</f>
        <v/>
      </c>
      <c r="M460" s="2">
        <f>K460*0.10</f>
        <v/>
      </c>
      <c r="N460" s="2">
        <f>K460+L460+M460</f>
        <v/>
      </c>
      <c r="O460" s="2">
        <f>IF(G460&gt;0, N460/G460, 0)</f>
        <v/>
      </c>
      <c r="P460" s="3" t="n">
        <v>0.18</v>
      </c>
      <c r="Q460" s="2">
        <f>O460*(1+P460)</f>
        <v/>
      </c>
      <c r="R460" s="2">
        <f>G460*Q460</f>
        <v/>
      </c>
    </row>
    <row r="461">
      <c r="A461" t="n">
        <v>460</v>
      </c>
      <c r="B461" t="inlineStr">
        <is>
          <t>SW-DIFF-460</t>
        </is>
      </c>
      <c r="C461" t="inlineStr">
        <is>
          <t>CỬA GIÓ</t>
        </is>
      </c>
      <c r="D461" t="inlineStr">
        <is>
          <t>Miệng gió thải EAG-ED-300x100</t>
        </is>
      </c>
      <c r="E461" t="inlineStr">
        <is>
          <t>300x100</t>
        </is>
      </c>
      <c r="F461" t="inlineStr">
        <is>
          <t>Cái</t>
        </is>
      </c>
      <c r="G461" s="2" t="n">
        <v>2</v>
      </c>
      <c r="H461" s="2">
        <f>SUMIF('01_BOC_TACH_ONG'!B:B, B461, '01_BOC_TACH_ONG'!K:K)</f>
        <v/>
      </c>
      <c r="I461" s="2">
        <f>SUMIF('02_BOC_TACH_CUA'!B:B, B461, '02_BOC_TACH_CUA'!K:K)</f>
        <v/>
      </c>
      <c r="J461" s="2">
        <f>SUMIF('03_BOC_TACH_VAN'!B:B, B461, '03_BOC_TACH_VAN'!K:K)</f>
        <v/>
      </c>
      <c r="K461" s="2">
        <f>SUM(H461:J461)</f>
        <v/>
      </c>
      <c r="L461" s="2">
        <f>K461*0.25</f>
        <v/>
      </c>
      <c r="M461" s="2">
        <f>K461*0.10</f>
        <v/>
      </c>
      <c r="N461" s="2">
        <f>K461+L461+M461</f>
        <v/>
      </c>
      <c r="O461" s="2">
        <f>IF(G461&gt;0, N461/G461, 0)</f>
        <v/>
      </c>
      <c r="P461" s="3" t="n">
        <v>0.18</v>
      </c>
      <c r="Q461" s="2">
        <f>O461*(1+P461)</f>
        <v/>
      </c>
      <c r="R461" s="2">
        <f>G461*Q461</f>
        <v/>
      </c>
    </row>
    <row r="462">
      <c r="A462" t="n">
        <v>461</v>
      </c>
      <c r="B462" t="inlineStr">
        <is>
          <t>SW-DIFF-461</t>
        </is>
      </c>
      <c r="C462" t="inlineStr">
        <is>
          <t>CỬA GIÓ</t>
        </is>
      </c>
      <c r="D462" t="inlineStr">
        <is>
          <t>Bộ tiêu âm - Kích thước: 350x250</t>
        </is>
      </c>
      <c r="E462" t="inlineStr">
        <is>
          <t>350x250</t>
        </is>
      </c>
      <c r="F462" t="inlineStr">
        <is>
          <t>Bộ</t>
        </is>
      </c>
      <c r="G462" s="2" t="n">
        <v>1</v>
      </c>
      <c r="H462" s="2">
        <f>SUMIF('01_BOC_TACH_ONG'!B:B, B462, '01_BOC_TACH_ONG'!K:K)</f>
        <v/>
      </c>
      <c r="I462" s="2">
        <f>SUMIF('02_BOC_TACH_CUA'!B:B, B462, '02_BOC_TACH_CUA'!K:K)</f>
        <v/>
      </c>
      <c r="J462" s="2">
        <f>SUMIF('03_BOC_TACH_VAN'!B:B, B462, '03_BOC_TACH_VAN'!K:K)</f>
        <v/>
      </c>
      <c r="K462" s="2">
        <f>SUM(H462:J462)</f>
        <v/>
      </c>
      <c r="L462" s="2">
        <f>K462*0.25</f>
        <v/>
      </c>
      <c r="M462" s="2">
        <f>K462*0.10</f>
        <v/>
      </c>
      <c r="N462" s="2">
        <f>K462+L462+M462</f>
        <v/>
      </c>
      <c r="O462" s="2">
        <f>IF(G462&gt;0, N462/G462, 0)</f>
        <v/>
      </c>
      <c r="P462" s="3" t="n">
        <v>0.18</v>
      </c>
      <c r="Q462" s="2">
        <f>O462*(1+P462)</f>
        <v/>
      </c>
      <c r="R462" s="2">
        <f>G462*Q462</f>
        <v/>
      </c>
    </row>
    <row r="463">
      <c r="A463" t="n">
        <v>462</v>
      </c>
      <c r="B463" t="inlineStr">
        <is>
          <t>SW-DIFF-462</t>
        </is>
      </c>
      <c r="C463" t="inlineStr">
        <is>
          <t>CỬA GIÓ</t>
        </is>
      </c>
      <c r="D463" t="inlineStr">
        <is>
          <t>Bộ tiêu âm - Kích thước: 600x300</t>
        </is>
      </c>
      <c r="E463" t="inlineStr">
        <is>
          <t>600x300</t>
        </is>
      </c>
      <c r="F463" t="inlineStr">
        <is>
          <t>Bộ</t>
        </is>
      </c>
      <c r="G463" s="2" t="n">
        <v>2</v>
      </c>
      <c r="H463" s="2">
        <f>SUMIF('01_BOC_TACH_ONG'!B:B, B463, '01_BOC_TACH_ONG'!K:K)</f>
        <v/>
      </c>
      <c r="I463" s="2">
        <f>SUMIF('02_BOC_TACH_CUA'!B:B, B463, '02_BOC_TACH_CUA'!K:K)</f>
        <v/>
      </c>
      <c r="J463" s="2">
        <f>SUMIF('03_BOC_TACH_VAN'!B:B, B463, '03_BOC_TACH_VAN'!K:K)</f>
        <v/>
      </c>
      <c r="K463" s="2">
        <f>SUM(H463:J463)</f>
        <v/>
      </c>
      <c r="L463" s="2">
        <f>K463*0.25</f>
        <v/>
      </c>
      <c r="M463" s="2">
        <f>K463*0.10</f>
        <v/>
      </c>
      <c r="N463" s="2">
        <f>K463+L463+M463</f>
        <v/>
      </c>
      <c r="O463" s="2">
        <f>IF(G463&gt;0, N463/G463, 0)</f>
        <v/>
      </c>
      <c r="P463" s="3" t="n">
        <v>0.18</v>
      </c>
      <c r="Q463" s="2">
        <f>O463*(1+P463)</f>
        <v/>
      </c>
      <c r="R463" s="2">
        <f>G463*Q463</f>
        <v/>
      </c>
    </row>
    <row r="464">
      <c r="A464" t="n">
        <v>463</v>
      </c>
      <c r="B464" t="inlineStr">
        <is>
          <t>SW-DIFF-463</t>
        </is>
      </c>
      <c r="C464" t="inlineStr">
        <is>
          <t>CỬA GIÓ</t>
        </is>
      </c>
      <c r="D464" t="inlineStr">
        <is>
          <t>Bộ tiêu âm - Kích thước: 650x250</t>
        </is>
      </c>
      <c r="E464" t="inlineStr">
        <is>
          <t>650x250</t>
        </is>
      </c>
      <c r="F464" t="inlineStr">
        <is>
          <t>Bộ</t>
        </is>
      </c>
      <c r="G464" s="2" t="n">
        <v>1</v>
      </c>
      <c r="H464" s="2">
        <f>SUMIF('01_BOC_TACH_ONG'!B:B, B464, '01_BOC_TACH_ONG'!K:K)</f>
        <v/>
      </c>
      <c r="I464" s="2">
        <f>SUMIF('02_BOC_TACH_CUA'!B:B, B464, '02_BOC_TACH_CUA'!K:K)</f>
        <v/>
      </c>
      <c r="J464" s="2">
        <f>SUMIF('03_BOC_TACH_VAN'!B:B, B464, '03_BOC_TACH_VAN'!K:K)</f>
        <v/>
      </c>
      <c r="K464" s="2">
        <f>SUM(H464:J464)</f>
        <v/>
      </c>
      <c r="L464" s="2">
        <f>K464*0.25</f>
        <v/>
      </c>
      <c r="M464" s="2">
        <f>K464*0.10</f>
        <v/>
      </c>
      <c r="N464" s="2">
        <f>K464+L464+M464</f>
        <v/>
      </c>
      <c r="O464" s="2">
        <f>IF(G464&gt;0, N464/G464, 0)</f>
        <v/>
      </c>
      <c r="P464" s="3" t="n">
        <v>0.18</v>
      </c>
      <c r="Q464" s="2">
        <f>O464*(1+P464)</f>
        <v/>
      </c>
      <c r="R464" s="2">
        <f>G464*Q464</f>
        <v/>
      </c>
    </row>
    <row r="465">
      <c r="A465" t="n">
        <v>464</v>
      </c>
      <c r="B465" t="inlineStr">
        <is>
          <t>SW-DIFF-464</t>
        </is>
      </c>
      <c r="C465" t="inlineStr">
        <is>
          <t>CỬA GIÓ</t>
        </is>
      </c>
      <c r="D465" t="inlineStr">
        <is>
          <t>Bộ tiêu âm - Kích thước: 650x300</t>
        </is>
      </c>
      <c r="E465" t="inlineStr">
        <is>
          <t>650x300</t>
        </is>
      </c>
      <c r="F465" t="inlineStr">
        <is>
          <t>Bộ</t>
        </is>
      </c>
      <c r="G465" s="2" t="n">
        <v>1</v>
      </c>
      <c r="H465" s="2">
        <f>SUMIF('01_BOC_TACH_ONG'!B:B, B465, '01_BOC_TACH_ONG'!K:K)</f>
        <v/>
      </c>
      <c r="I465" s="2">
        <f>SUMIF('02_BOC_TACH_CUA'!B:B, B465, '02_BOC_TACH_CUA'!K:K)</f>
        <v/>
      </c>
      <c r="J465" s="2">
        <f>SUMIF('03_BOC_TACH_VAN'!B:B, B465, '03_BOC_TACH_VAN'!K:K)</f>
        <v/>
      </c>
      <c r="K465" s="2">
        <f>SUM(H465:J465)</f>
        <v/>
      </c>
      <c r="L465" s="2">
        <f>K465*0.25</f>
        <v/>
      </c>
      <c r="M465" s="2">
        <f>K465*0.10</f>
        <v/>
      </c>
      <c r="N465" s="2">
        <f>K465+L465+M465</f>
        <v/>
      </c>
      <c r="O465" s="2">
        <f>IF(G465&gt;0, N465/G465, 0)</f>
        <v/>
      </c>
      <c r="P465" s="3" t="n">
        <v>0.18</v>
      </c>
      <c r="Q465" s="2">
        <f>O465*(1+P465)</f>
        <v/>
      </c>
      <c r="R465" s="2">
        <f>G465*Q465</f>
        <v/>
      </c>
    </row>
    <row r="466">
      <c r="A466" t="n">
        <v>465</v>
      </c>
      <c r="B466" t="inlineStr">
        <is>
          <t>SW-DIFF-465</t>
        </is>
      </c>
      <c r="C466" t="inlineStr">
        <is>
          <t>CỬA GIÓ</t>
        </is>
      </c>
      <c r="D466" t="inlineStr">
        <is>
          <t>Bộ tiêu âm - Kích thước: 700x350</t>
        </is>
      </c>
      <c r="E466" t="inlineStr">
        <is>
          <t>700x350</t>
        </is>
      </c>
      <c r="F466" t="inlineStr">
        <is>
          <t>Bộ</t>
        </is>
      </c>
      <c r="G466" s="2" t="n">
        <v>1</v>
      </c>
      <c r="H466" s="2">
        <f>SUMIF('01_BOC_TACH_ONG'!B:B, B466, '01_BOC_TACH_ONG'!K:K)</f>
        <v/>
      </c>
      <c r="I466" s="2">
        <f>SUMIF('02_BOC_TACH_CUA'!B:B, B466, '02_BOC_TACH_CUA'!K:K)</f>
        <v/>
      </c>
      <c r="J466" s="2">
        <f>SUMIF('03_BOC_TACH_VAN'!B:B, B466, '03_BOC_TACH_VAN'!K:K)</f>
        <v/>
      </c>
      <c r="K466" s="2">
        <f>SUM(H466:J466)</f>
        <v/>
      </c>
      <c r="L466" s="2">
        <f>K466*0.25</f>
        <v/>
      </c>
      <c r="M466" s="2">
        <f>K466*0.10</f>
        <v/>
      </c>
      <c r="N466" s="2">
        <f>K466+L466+M466</f>
        <v/>
      </c>
      <c r="O466" s="2">
        <f>IF(G466&gt;0, N466/G466, 0)</f>
        <v/>
      </c>
      <c r="P466" s="3" t="n">
        <v>0.18</v>
      </c>
      <c r="Q466" s="2">
        <f>O466*(1+P466)</f>
        <v/>
      </c>
      <c r="R466" s="2">
        <f>G466*Q466</f>
        <v/>
      </c>
    </row>
    <row r="467">
      <c r="A467" t="n">
        <v>466</v>
      </c>
      <c r="B467" t="inlineStr">
        <is>
          <t>SW-DIFF-466</t>
        </is>
      </c>
      <c r="C467" t="inlineStr">
        <is>
          <t>CỬA GIÓ</t>
        </is>
      </c>
      <c r="D467" t="inlineStr">
        <is>
          <t>Bộ tiêu âm - Kích thước: 800x450</t>
        </is>
      </c>
      <c r="E467" t="inlineStr">
        <is>
          <t>800x450</t>
        </is>
      </c>
      <c r="F467" t="inlineStr">
        <is>
          <t>Bộ</t>
        </is>
      </c>
      <c r="G467" s="2" t="n">
        <v>2</v>
      </c>
      <c r="H467" s="2">
        <f>SUMIF('01_BOC_TACH_ONG'!B:B, B467, '01_BOC_TACH_ONG'!K:K)</f>
        <v/>
      </c>
      <c r="I467" s="2">
        <f>SUMIF('02_BOC_TACH_CUA'!B:B, B467, '02_BOC_TACH_CUA'!K:K)</f>
        <v/>
      </c>
      <c r="J467" s="2">
        <f>SUMIF('03_BOC_TACH_VAN'!B:B, B467, '03_BOC_TACH_VAN'!K:K)</f>
        <v/>
      </c>
      <c r="K467" s="2">
        <f>SUM(H467:J467)</f>
        <v/>
      </c>
      <c r="L467" s="2">
        <f>K467*0.25</f>
        <v/>
      </c>
      <c r="M467" s="2">
        <f>K467*0.10</f>
        <v/>
      </c>
      <c r="N467" s="2">
        <f>K467+L467+M467</f>
        <v/>
      </c>
      <c r="O467" s="2">
        <f>IF(G467&gt;0, N467/G467, 0)</f>
        <v/>
      </c>
      <c r="P467" s="3" t="n">
        <v>0.18</v>
      </c>
      <c r="Q467" s="2">
        <f>O467*(1+P467)</f>
        <v/>
      </c>
      <c r="R467" s="2">
        <f>G467*Q467</f>
        <v/>
      </c>
    </row>
    <row r="468">
      <c r="A468" t="n">
        <v>467</v>
      </c>
      <c r="B468" t="inlineStr">
        <is>
          <t>SW-DIFF-467</t>
        </is>
      </c>
      <c r="C468" t="inlineStr">
        <is>
          <t>CỬA GIÓ</t>
        </is>
      </c>
      <c r="D468" t="inlineStr">
        <is>
          <t>Bộ tiêu âm - Kích thước: 800x600</t>
        </is>
      </c>
      <c r="E468" t="inlineStr">
        <is>
          <t>800x600</t>
        </is>
      </c>
      <c r="F468" t="inlineStr">
        <is>
          <t>Bộ</t>
        </is>
      </c>
      <c r="G468" s="2" t="n">
        <v>1</v>
      </c>
      <c r="H468" s="2">
        <f>SUMIF('01_BOC_TACH_ONG'!B:B, B468, '01_BOC_TACH_ONG'!K:K)</f>
        <v/>
      </c>
      <c r="I468" s="2">
        <f>SUMIF('02_BOC_TACH_CUA'!B:B, B468, '02_BOC_TACH_CUA'!K:K)</f>
        <v/>
      </c>
      <c r="J468" s="2">
        <f>SUMIF('03_BOC_TACH_VAN'!B:B, B468, '03_BOC_TACH_VAN'!K:K)</f>
        <v/>
      </c>
      <c r="K468" s="2">
        <f>SUM(H468:J468)</f>
        <v/>
      </c>
      <c r="L468" s="2">
        <f>K468*0.25</f>
        <v/>
      </c>
      <c r="M468" s="2">
        <f>K468*0.10</f>
        <v/>
      </c>
      <c r="N468" s="2">
        <f>K468+L468+M468</f>
        <v/>
      </c>
      <c r="O468" s="2">
        <f>IF(G468&gt;0, N468/G468, 0)</f>
        <v/>
      </c>
      <c r="P468" s="3" t="n">
        <v>0.18</v>
      </c>
      <c r="Q468" s="2">
        <f>O468*(1+P468)</f>
        <v/>
      </c>
      <c r="R468" s="2">
        <f>G468*Q468</f>
        <v/>
      </c>
    </row>
    <row r="469">
      <c r="A469" t="n">
        <v>468</v>
      </c>
      <c r="B469" t="inlineStr">
        <is>
          <t>SW-DIFF-468</t>
        </is>
      </c>
      <c r="C469" t="inlineStr">
        <is>
          <t>CỬA GIÓ</t>
        </is>
      </c>
      <c r="D469" t="inlineStr">
        <is>
          <t>Bộ tiêu âm - Kích thước: 900x300</t>
        </is>
      </c>
      <c r="E469" t="inlineStr">
        <is>
          <t>900x300</t>
        </is>
      </c>
      <c r="F469" t="inlineStr">
        <is>
          <t>Bộ</t>
        </is>
      </c>
      <c r="G469" s="2" t="n">
        <v>2</v>
      </c>
      <c r="H469" s="2">
        <f>SUMIF('01_BOC_TACH_ONG'!B:B, B469, '01_BOC_TACH_ONG'!K:K)</f>
        <v/>
      </c>
      <c r="I469" s="2">
        <f>SUMIF('02_BOC_TACH_CUA'!B:B, B469, '02_BOC_TACH_CUA'!K:K)</f>
        <v/>
      </c>
      <c r="J469" s="2">
        <f>SUMIF('03_BOC_TACH_VAN'!B:B, B469, '03_BOC_TACH_VAN'!K:K)</f>
        <v/>
      </c>
      <c r="K469" s="2">
        <f>SUM(H469:J469)</f>
        <v/>
      </c>
      <c r="L469" s="2">
        <f>K469*0.25</f>
        <v/>
      </c>
      <c r="M469" s="2">
        <f>K469*0.10</f>
        <v/>
      </c>
      <c r="N469" s="2">
        <f>K469+L469+M469</f>
        <v/>
      </c>
      <c r="O469" s="2">
        <f>IF(G469&gt;0, N469/G469, 0)</f>
        <v/>
      </c>
      <c r="P469" s="3" t="n">
        <v>0.18</v>
      </c>
      <c r="Q469" s="2">
        <f>O469*(1+P469)</f>
        <v/>
      </c>
      <c r="R469" s="2">
        <f>G469*Q469</f>
        <v/>
      </c>
    </row>
    <row r="470">
      <c r="A470" t="n">
        <v>469</v>
      </c>
      <c r="B470" t="inlineStr">
        <is>
          <t>SW-DIFF-469</t>
        </is>
      </c>
      <c r="C470" t="inlineStr">
        <is>
          <t>CỬA GIÓ</t>
        </is>
      </c>
      <c r="D470" t="inlineStr">
        <is>
          <t>Bộ tiêu âm - Kích thước: 900x500</t>
        </is>
      </c>
      <c r="E470" t="inlineStr">
        <is>
          <t>900x500</t>
        </is>
      </c>
      <c r="F470" t="inlineStr">
        <is>
          <t>Bộ</t>
        </is>
      </c>
      <c r="G470" s="2" t="n">
        <v>3</v>
      </c>
      <c r="H470" s="2">
        <f>SUMIF('01_BOC_TACH_ONG'!B:B, B470, '01_BOC_TACH_ONG'!K:K)</f>
        <v/>
      </c>
      <c r="I470" s="2">
        <f>SUMIF('02_BOC_TACH_CUA'!B:B, B470, '02_BOC_TACH_CUA'!K:K)</f>
        <v/>
      </c>
      <c r="J470" s="2">
        <f>SUMIF('03_BOC_TACH_VAN'!B:B, B470, '03_BOC_TACH_VAN'!K:K)</f>
        <v/>
      </c>
      <c r="K470" s="2">
        <f>SUM(H470:J470)</f>
        <v/>
      </c>
      <c r="L470" s="2">
        <f>K470*0.25</f>
        <v/>
      </c>
      <c r="M470" s="2">
        <f>K470*0.10</f>
        <v/>
      </c>
      <c r="N470" s="2">
        <f>K470+L470+M470</f>
        <v/>
      </c>
      <c r="O470" s="2">
        <f>IF(G470&gt;0, N470/G470, 0)</f>
        <v/>
      </c>
      <c r="P470" s="3" t="n">
        <v>0.18</v>
      </c>
      <c r="Q470" s="2">
        <f>O470*(1+P470)</f>
        <v/>
      </c>
      <c r="R470" s="2">
        <f>G470*Q470</f>
        <v/>
      </c>
    </row>
    <row r="471">
      <c r="A471" t="n">
        <v>470</v>
      </c>
      <c r="B471" t="inlineStr">
        <is>
          <t>SW-DIFF-470</t>
        </is>
      </c>
      <c r="C471" t="inlineStr">
        <is>
          <t>CỬA GIÓ</t>
        </is>
      </c>
      <c r="D471" t="inlineStr">
        <is>
          <t>Bộ tiêu âm - Kích thước: 950x500</t>
        </is>
      </c>
      <c r="E471" t="inlineStr">
        <is>
          <t>950x500</t>
        </is>
      </c>
      <c r="F471" t="inlineStr">
        <is>
          <t>Bộ</t>
        </is>
      </c>
      <c r="G471" s="2" t="n">
        <v>1</v>
      </c>
      <c r="H471" s="2">
        <f>SUMIF('01_BOC_TACH_ONG'!B:B, B471, '01_BOC_TACH_ONG'!K:K)</f>
        <v/>
      </c>
      <c r="I471" s="2">
        <f>SUMIF('02_BOC_TACH_CUA'!B:B, B471, '02_BOC_TACH_CUA'!K:K)</f>
        <v/>
      </c>
      <c r="J471" s="2">
        <f>SUMIF('03_BOC_TACH_VAN'!B:B, B471, '03_BOC_TACH_VAN'!K:K)</f>
        <v/>
      </c>
      <c r="K471" s="2">
        <f>SUM(H471:J471)</f>
        <v/>
      </c>
      <c r="L471" s="2">
        <f>K471*0.25</f>
        <v/>
      </c>
      <c r="M471" s="2">
        <f>K471*0.10</f>
        <v/>
      </c>
      <c r="N471" s="2">
        <f>K471+L471+M471</f>
        <v/>
      </c>
      <c r="O471" s="2">
        <f>IF(G471&gt;0, N471/G471, 0)</f>
        <v/>
      </c>
      <c r="P471" s="3" t="n">
        <v>0.18</v>
      </c>
      <c r="Q471" s="2">
        <f>O471*(1+P471)</f>
        <v/>
      </c>
      <c r="R471" s="2">
        <f>G471*Q471</f>
        <v/>
      </c>
    </row>
    <row r="472">
      <c r="A472" t="n">
        <v>471</v>
      </c>
      <c r="B472" t="inlineStr">
        <is>
          <t>SW-DIFF-471</t>
        </is>
      </c>
      <c r="C472" t="inlineStr">
        <is>
          <t>CỬA GIÓ</t>
        </is>
      </c>
      <c r="D472" t="inlineStr">
        <is>
          <t>Bộ tiêu âm - Kích thước: 1000x1000</t>
        </is>
      </c>
      <c r="E472" t="inlineStr">
        <is>
          <t>1000x1000</t>
        </is>
      </c>
      <c r="F472" t="inlineStr">
        <is>
          <t>Bộ</t>
        </is>
      </c>
      <c r="G472" s="2" t="n">
        <v>4</v>
      </c>
      <c r="H472" s="2">
        <f>SUMIF('01_BOC_TACH_ONG'!B:B, B472, '01_BOC_TACH_ONG'!K:K)</f>
        <v/>
      </c>
      <c r="I472" s="2">
        <f>SUMIF('02_BOC_TACH_CUA'!B:B, B472, '02_BOC_TACH_CUA'!K:K)</f>
        <v/>
      </c>
      <c r="J472" s="2">
        <f>SUMIF('03_BOC_TACH_VAN'!B:B, B472, '03_BOC_TACH_VAN'!K:K)</f>
        <v/>
      </c>
      <c r="K472" s="2">
        <f>SUM(H472:J472)</f>
        <v/>
      </c>
      <c r="L472" s="2">
        <f>K472*0.25</f>
        <v/>
      </c>
      <c r="M472" s="2">
        <f>K472*0.10</f>
        <v/>
      </c>
      <c r="N472" s="2">
        <f>K472+L472+M472</f>
        <v/>
      </c>
      <c r="O472" s="2">
        <f>IF(G472&gt;0, N472/G472, 0)</f>
        <v/>
      </c>
      <c r="P472" s="3" t="n">
        <v>0.18</v>
      </c>
      <c r="Q472" s="2">
        <f>O472*(1+P472)</f>
        <v/>
      </c>
      <c r="R472" s="2">
        <f>G472*Q472</f>
        <v/>
      </c>
    </row>
    <row r="473">
      <c r="A473" t="n">
        <v>472</v>
      </c>
      <c r="B473" t="inlineStr">
        <is>
          <t>SW-DIFF-472</t>
        </is>
      </c>
      <c r="C473" t="inlineStr">
        <is>
          <t>CỬA GIÓ</t>
        </is>
      </c>
      <c r="D473" t="inlineStr">
        <is>
          <t>Bộ tiêu âm - Kích thước: 1200x650</t>
        </is>
      </c>
      <c r="E473" t="inlineStr">
        <is>
          <t>1200x650</t>
        </is>
      </c>
      <c r="F473" t="inlineStr">
        <is>
          <t>Bộ</t>
        </is>
      </c>
      <c r="G473" s="2" t="n">
        <v>2</v>
      </c>
      <c r="H473" s="2">
        <f>SUMIF('01_BOC_TACH_ONG'!B:B, B473, '01_BOC_TACH_ONG'!K:K)</f>
        <v/>
      </c>
      <c r="I473" s="2">
        <f>SUMIF('02_BOC_TACH_CUA'!B:B, B473, '02_BOC_TACH_CUA'!K:K)</f>
        <v/>
      </c>
      <c r="J473" s="2">
        <f>SUMIF('03_BOC_TACH_VAN'!B:B, B473, '03_BOC_TACH_VAN'!K:K)</f>
        <v/>
      </c>
      <c r="K473" s="2">
        <f>SUM(H473:J473)</f>
        <v/>
      </c>
      <c r="L473" s="2">
        <f>K473*0.25</f>
        <v/>
      </c>
      <c r="M473" s="2">
        <f>K473*0.10</f>
        <v/>
      </c>
      <c r="N473" s="2">
        <f>K473+L473+M473</f>
        <v/>
      </c>
      <c r="O473" s="2">
        <f>IF(G473&gt;0, N473/G473, 0)</f>
        <v/>
      </c>
      <c r="P473" s="3" t="n">
        <v>0.18</v>
      </c>
      <c r="Q473" s="2">
        <f>O473*(1+P473)</f>
        <v/>
      </c>
      <c r="R473" s="2">
        <f>G473*Q473</f>
        <v/>
      </c>
    </row>
    <row r="474">
      <c r="A474" t="n">
        <v>473</v>
      </c>
      <c r="B474" t="inlineStr">
        <is>
          <t>SW-DIFF-473</t>
        </is>
      </c>
      <c r="C474" t="inlineStr">
        <is>
          <t>CỬA GIÓ</t>
        </is>
      </c>
      <c r="D474" t="inlineStr">
        <is>
          <t>Bộ tiêu âm - Kích thước: 1900x600</t>
        </is>
      </c>
      <c r="E474" t="inlineStr">
        <is>
          <t>1900x600</t>
        </is>
      </c>
      <c r="F474" t="inlineStr">
        <is>
          <t>Bộ</t>
        </is>
      </c>
      <c r="G474" s="2" t="n">
        <v>1</v>
      </c>
      <c r="H474" s="2">
        <f>SUMIF('01_BOC_TACH_ONG'!B:B, B474, '01_BOC_TACH_ONG'!K:K)</f>
        <v/>
      </c>
      <c r="I474" s="2">
        <f>SUMIF('02_BOC_TACH_CUA'!B:B, B474, '02_BOC_TACH_CUA'!K:K)</f>
        <v/>
      </c>
      <c r="J474" s="2">
        <f>SUMIF('03_BOC_TACH_VAN'!B:B, B474, '03_BOC_TACH_VAN'!K:K)</f>
        <v/>
      </c>
      <c r="K474" s="2">
        <f>SUM(H474:J474)</f>
        <v/>
      </c>
      <c r="L474" s="2">
        <f>K474*0.25</f>
        <v/>
      </c>
      <c r="M474" s="2">
        <f>K474*0.10</f>
        <v/>
      </c>
      <c r="N474" s="2">
        <f>K474+L474+M474</f>
        <v/>
      </c>
      <c r="O474" s="2">
        <f>IF(G474&gt;0, N474/G474, 0)</f>
        <v/>
      </c>
      <c r="P474" s="3" t="n">
        <v>0.18</v>
      </c>
      <c r="Q474" s="2">
        <f>O474*(1+P474)</f>
        <v/>
      </c>
      <c r="R474" s="2">
        <f>G474*Q474</f>
        <v/>
      </c>
    </row>
    <row r="475">
      <c r="A475" t="n">
        <v>474</v>
      </c>
      <c r="B475" t="inlineStr">
        <is>
          <t>SW-DIFF-474</t>
        </is>
      </c>
      <c r="C475" t="inlineStr">
        <is>
          <t>CỬA GIÓ</t>
        </is>
      </c>
      <c r="D475" t="inlineStr">
        <is>
          <t>KTM 1500x200 + OBD</t>
        </is>
      </c>
      <c r="E475" t="inlineStr">
        <is>
          <t>1500x200</t>
        </is>
      </c>
      <c r="F475" t="inlineStr">
        <is>
          <t>Cái</t>
        </is>
      </c>
      <c r="G475" s="2" t="n">
        <v>1</v>
      </c>
      <c r="H475" s="2">
        <f>SUMIF('01_BOC_TACH_ONG'!B:B, B475, '01_BOC_TACH_ONG'!K:K)</f>
        <v/>
      </c>
      <c r="I475" s="2">
        <f>SUMIF('02_BOC_TACH_CUA'!B:B, B475, '02_BOC_TACH_CUA'!K:K)</f>
        <v/>
      </c>
      <c r="J475" s="2">
        <f>SUMIF('03_BOC_TACH_VAN'!B:B, B475, '03_BOC_TACH_VAN'!K:K)</f>
        <v/>
      </c>
      <c r="K475" s="2">
        <f>SUM(H475:J475)</f>
        <v/>
      </c>
      <c r="L475" s="2">
        <f>K475*0.25</f>
        <v/>
      </c>
      <c r="M475" s="2">
        <f>K475*0.10</f>
        <v/>
      </c>
      <c r="N475" s="2">
        <f>K475+L475+M475</f>
        <v/>
      </c>
      <c r="O475" s="2">
        <f>IF(G475&gt;0, N475/G475, 0)</f>
        <v/>
      </c>
      <c r="P475" s="3" t="n">
        <v>0.18</v>
      </c>
      <c r="Q475" s="2">
        <f>O475*(1+P475)</f>
        <v/>
      </c>
      <c r="R475" s="2">
        <f>G475*Q475</f>
        <v/>
      </c>
    </row>
    <row r="476">
      <c r="A476" t="n">
        <v>475</v>
      </c>
      <c r="B476" t="inlineStr">
        <is>
          <t>SW-DIFF-475</t>
        </is>
      </c>
      <c r="C476" t="inlineStr">
        <is>
          <t>CỬA GIÓ</t>
        </is>
      </c>
      <c r="D476" t="inlineStr">
        <is>
          <t>KTM 1200x1000 + OBD</t>
        </is>
      </c>
      <c r="E476" t="inlineStr">
        <is>
          <t>1200x1000</t>
        </is>
      </c>
      <c r="F476" t="inlineStr">
        <is>
          <t>Cái</t>
        </is>
      </c>
      <c r="G476" s="2" t="n">
        <v>1</v>
      </c>
      <c r="H476" s="2">
        <f>SUMIF('01_BOC_TACH_ONG'!B:B, B476, '01_BOC_TACH_ONG'!K:K)</f>
        <v/>
      </c>
      <c r="I476" s="2">
        <f>SUMIF('02_BOC_TACH_CUA'!B:B, B476, '02_BOC_TACH_CUA'!K:K)</f>
        <v/>
      </c>
      <c r="J476" s="2">
        <f>SUMIF('03_BOC_TACH_VAN'!B:B, B476, '03_BOC_TACH_VAN'!K:K)</f>
        <v/>
      </c>
      <c r="K476" s="2">
        <f>SUM(H476:J476)</f>
        <v/>
      </c>
      <c r="L476" s="2">
        <f>K476*0.25</f>
        <v/>
      </c>
      <c r="M476" s="2">
        <f>K476*0.10</f>
        <v/>
      </c>
      <c r="N476" s="2">
        <f>K476+L476+M476</f>
        <v/>
      </c>
      <c r="O476" s="2">
        <f>IF(G476&gt;0, N476/G476, 0)</f>
        <v/>
      </c>
      <c r="P476" s="3" t="n">
        <v>0.18</v>
      </c>
      <c r="Q476" s="2">
        <f>O476*(1+P476)</f>
        <v/>
      </c>
      <c r="R476" s="2">
        <f>G476*Q476</f>
        <v/>
      </c>
    </row>
    <row r="477">
      <c r="A477" t="n">
        <v>476</v>
      </c>
      <c r="B477" t="inlineStr">
        <is>
          <t>SW-DIFF-476</t>
        </is>
      </c>
      <c r="C477" t="inlineStr">
        <is>
          <t>CỬA GIÓ</t>
        </is>
      </c>
      <c r="D477" t="inlineStr">
        <is>
          <t>KTM 1200x600 + OBD</t>
        </is>
      </c>
      <c r="E477" t="inlineStr">
        <is>
          <t>1200x600</t>
        </is>
      </c>
      <c r="F477" t="inlineStr">
        <is>
          <t>Cái</t>
        </is>
      </c>
      <c r="G477" s="2" t="n">
        <v>14</v>
      </c>
      <c r="H477" s="2">
        <f>SUMIF('01_BOC_TACH_ONG'!B:B, B477, '01_BOC_TACH_ONG'!K:K)</f>
        <v/>
      </c>
      <c r="I477" s="2">
        <f>SUMIF('02_BOC_TACH_CUA'!B:B, B477, '02_BOC_TACH_CUA'!K:K)</f>
        <v/>
      </c>
      <c r="J477" s="2">
        <f>SUMIF('03_BOC_TACH_VAN'!B:B, B477, '03_BOC_TACH_VAN'!K:K)</f>
        <v/>
      </c>
      <c r="K477" s="2">
        <f>SUM(H477:J477)</f>
        <v/>
      </c>
      <c r="L477" s="2">
        <f>K477*0.25</f>
        <v/>
      </c>
      <c r="M477" s="2">
        <f>K477*0.10</f>
        <v/>
      </c>
      <c r="N477" s="2">
        <f>K477+L477+M477</f>
        <v/>
      </c>
      <c r="O477" s="2">
        <f>IF(G477&gt;0, N477/G477, 0)</f>
        <v/>
      </c>
      <c r="P477" s="3" t="n">
        <v>0.18</v>
      </c>
      <c r="Q477" s="2">
        <f>O477*(1+P477)</f>
        <v/>
      </c>
      <c r="R477" s="2">
        <f>G477*Q477</f>
        <v/>
      </c>
    </row>
    <row r="478">
      <c r="A478" t="n">
        <v>477</v>
      </c>
      <c r="B478" t="inlineStr">
        <is>
          <t>SW-DIFF-477</t>
        </is>
      </c>
      <c r="C478" t="inlineStr">
        <is>
          <t>CỬA GIÓ</t>
        </is>
      </c>
      <c r="D478" t="inlineStr">
        <is>
          <t>KTM 1200x300 + OBD</t>
        </is>
      </c>
      <c r="E478" t="inlineStr">
        <is>
          <t>1200x300</t>
        </is>
      </c>
      <c r="F478" t="inlineStr">
        <is>
          <t>Cái</t>
        </is>
      </c>
      <c r="G478" s="2" t="n">
        <v>10</v>
      </c>
      <c r="H478" s="2">
        <f>SUMIF('01_BOC_TACH_ONG'!B:B, B478, '01_BOC_TACH_ONG'!K:K)</f>
        <v/>
      </c>
      <c r="I478" s="2">
        <f>SUMIF('02_BOC_TACH_CUA'!B:B, B478, '02_BOC_TACH_CUA'!K:K)</f>
        <v/>
      </c>
      <c r="J478" s="2">
        <f>SUMIF('03_BOC_TACH_VAN'!B:B, B478, '03_BOC_TACH_VAN'!K:K)</f>
        <v/>
      </c>
      <c r="K478" s="2">
        <f>SUM(H478:J478)</f>
        <v/>
      </c>
      <c r="L478" s="2">
        <f>K478*0.25</f>
        <v/>
      </c>
      <c r="M478" s="2">
        <f>K478*0.10</f>
        <v/>
      </c>
      <c r="N478" s="2">
        <f>K478+L478+M478</f>
        <v/>
      </c>
      <c r="O478" s="2">
        <f>IF(G478&gt;0, N478/G478, 0)</f>
        <v/>
      </c>
      <c r="P478" s="3" t="n">
        <v>0.18</v>
      </c>
      <c r="Q478" s="2">
        <f>O478*(1+P478)</f>
        <v/>
      </c>
      <c r="R478" s="2">
        <f>G478*Q478</f>
        <v/>
      </c>
    </row>
    <row r="479">
      <c r="A479" t="n">
        <v>478</v>
      </c>
      <c r="B479" t="inlineStr">
        <is>
          <t>SW-DIFF-478</t>
        </is>
      </c>
      <c r="C479" t="inlineStr">
        <is>
          <t>CỬA GIÓ</t>
        </is>
      </c>
      <c r="D479" t="inlineStr">
        <is>
          <t>KTM 1200x200 + OBD</t>
        </is>
      </c>
      <c r="E479" t="inlineStr">
        <is>
          <t>1200x200</t>
        </is>
      </c>
      <c r="F479" t="inlineStr">
        <is>
          <t>Cái</t>
        </is>
      </c>
      <c r="G479" s="2" t="n">
        <v>283</v>
      </c>
      <c r="H479" s="2">
        <f>SUMIF('01_BOC_TACH_ONG'!B:B, B479, '01_BOC_TACH_ONG'!K:K)</f>
        <v/>
      </c>
      <c r="I479" s="2">
        <f>SUMIF('02_BOC_TACH_CUA'!B:B, B479, '02_BOC_TACH_CUA'!K:K)</f>
        <v/>
      </c>
      <c r="J479" s="2">
        <f>SUMIF('03_BOC_TACH_VAN'!B:B, B479, '03_BOC_TACH_VAN'!K:K)</f>
        <v/>
      </c>
      <c r="K479" s="2">
        <f>SUM(H479:J479)</f>
        <v/>
      </c>
      <c r="L479" s="2">
        <f>K479*0.25</f>
        <v/>
      </c>
      <c r="M479" s="2">
        <f>K479*0.10</f>
        <v/>
      </c>
      <c r="N479" s="2">
        <f>K479+L479+M479</f>
        <v/>
      </c>
      <c r="O479" s="2">
        <f>IF(G479&gt;0, N479/G479, 0)</f>
        <v/>
      </c>
      <c r="P479" s="3" t="n">
        <v>0.18</v>
      </c>
      <c r="Q479" s="2">
        <f>O479*(1+P479)</f>
        <v/>
      </c>
      <c r="R479" s="2">
        <f>G479*Q479</f>
        <v/>
      </c>
    </row>
    <row r="480">
      <c r="A480" t="n">
        <v>479</v>
      </c>
      <c r="B480" t="inlineStr">
        <is>
          <t>SW-DIFF-479</t>
        </is>
      </c>
      <c r="C480" t="inlineStr">
        <is>
          <t>CỬA GIÓ</t>
        </is>
      </c>
      <c r="D480" t="inlineStr">
        <is>
          <t>KTM 1200x150 + OBD</t>
        </is>
      </c>
      <c r="E480" t="inlineStr">
        <is>
          <t>1200x150</t>
        </is>
      </c>
      <c r="F480" t="inlineStr">
        <is>
          <t>Cái</t>
        </is>
      </c>
      <c r="G480" s="2" t="n">
        <v>14</v>
      </c>
      <c r="H480" s="2">
        <f>SUMIF('01_BOC_TACH_ONG'!B:B, B480, '01_BOC_TACH_ONG'!K:K)</f>
        <v/>
      </c>
      <c r="I480" s="2">
        <f>SUMIF('02_BOC_TACH_CUA'!B:B, B480, '02_BOC_TACH_CUA'!K:K)</f>
        <v/>
      </c>
      <c r="J480" s="2">
        <f>SUMIF('03_BOC_TACH_VAN'!B:B, B480, '03_BOC_TACH_VAN'!K:K)</f>
        <v/>
      </c>
      <c r="K480" s="2">
        <f>SUM(H480:J480)</f>
        <v/>
      </c>
      <c r="L480" s="2">
        <f>K480*0.25</f>
        <v/>
      </c>
      <c r="M480" s="2">
        <f>K480*0.10</f>
        <v/>
      </c>
      <c r="N480" s="2">
        <f>K480+L480+M480</f>
        <v/>
      </c>
      <c r="O480" s="2">
        <f>IF(G480&gt;0, N480/G480, 0)</f>
        <v/>
      </c>
      <c r="P480" s="3" t="n">
        <v>0.18</v>
      </c>
      <c r="Q480" s="2">
        <f>O480*(1+P480)</f>
        <v/>
      </c>
      <c r="R480" s="2">
        <f>G480*Q480</f>
        <v/>
      </c>
    </row>
    <row r="481">
      <c r="A481" t="n">
        <v>480</v>
      </c>
      <c r="B481" t="inlineStr">
        <is>
          <t>SW-DIFF-480</t>
        </is>
      </c>
      <c r="C481" t="inlineStr">
        <is>
          <t>CỬA GIÓ</t>
        </is>
      </c>
      <c r="D481" t="inlineStr">
        <is>
          <t>KTM 1200x100 + OBD</t>
        </is>
      </c>
      <c r="E481" t="inlineStr">
        <is>
          <t>1200x100</t>
        </is>
      </c>
      <c r="F481" t="inlineStr">
        <is>
          <t>Cái</t>
        </is>
      </c>
      <c r="G481" s="2" t="n">
        <v>228</v>
      </c>
      <c r="H481" s="2">
        <f>SUMIF('01_BOC_TACH_ONG'!B:B, B481, '01_BOC_TACH_ONG'!K:K)</f>
        <v/>
      </c>
      <c r="I481" s="2">
        <f>SUMIF('02_BOC_TACH_CUA'!B:B, B481, '02_BOC_TACH_CUA'!K:K)</f>
        <v/>
      </c>
      <c r="J481" s="2">
        <f>SUMIF('03_BOC_TACH_VAN'!B:B, B481, '03_BOC_TACH_VAN'!K:K)</f>
        <v/>
      </c>
      <c r="K481" s="2">
        <f>SUM(H481:J481)</f>
        <v/>
      </c>
      <c r="L481" s="2">
        <f>K481*0.25</f>
        <v/>
      </c>
      <c r="M481" s="2">
        <f>K481*0.10</f>
        <v/>
      </c>
      <c r="N481" s="2">
        <f>K481+L481+M481</f>
        <v/>
      </c>
      <c r="O481" s="2">
        <f>IF(G481&gt;0, N481/G481, 0)</f>
        <v/>
      </c>
      <c r="P481" s="3" t="n">
        <v>0.18</v>
      </c>
      <c r="Q481" s="2">
        <f>O481*(1+P481)</f>
        <v/>
      </c>
      <c r="R481" s="2">
        <f>G481*Q481</f>
        <v/>
      </c>
    </row>
    <row r="482">
      <c r="A482" t="n">
        <v>481</v>
      </c>
      <c r="B482" t="inlineStr">
        <is>
          <t>SW-DIFF-481</t>
        </is>
      </c>
      <c r="C482" t="inlineStr">
        <is>
          <t>CỬA GIÓ</t>
        </is>
      </c>
      <c r="D482" t="inlineStr">
        <is>
          <t>KTM 1100x300 + OBD</t>
        </is>
      </c>
      <c r="E482" t="inlineStr">
        <is>
          <t>1100x300</t>
        </is>
      </c>
      <c r="F482" t="inlineStr">
        <is>
          <t>Cái</t>
        </is>
      </c>
      <c r="G482" s="2" t="n">
        <v>110</v>
      </c>
      <c r="H482" s="2">
        <f>SUMIF('01_BOC_TACH_ONG'!B:B, B482, '01_BOC_TACH_ONG'!K:K)</f>
        <v/>
      </c>
      <c r="I482" s="2">
        <f>SUMIF('02_BOC_TACH_CUA'!B:B, B482, '02_BOC_TACH_CUA'!K:K)</f>
        <v/>
      </c>
      <c r="J482" s="2">
        <f>SUMIF('03_BOC_TACH_VAN'!B:B, B482, '03_BOC_TACH_VAN'!K:K)</f>
        <v/>
      </c>
      <c r="K482" s="2">
        <f>SUM(H482:J482)</f>
        <v/>
      </c>
      <c r="L482" s="2">
        <f>K482*0.25</f>
        <v/>
      </c>
      <c r="M482" s="2">
        <f>K482*0.10</f>
        <v/>
      </c>
      <c r="N482" s="2">
        <f>K482+L482+M482</f>
        <v/>
      </c>
      <c r="O482" s="2">
        <f>IF(G482&gt;0, N482/G482, 0)</f>
        <v/>
      </c>
      <c r="P482" s="3" t="n">
        <v>0.18</v>
      </c>
      <c r="Q482" s="2">
        <f>O482*(1+P482)</f>
        <v/>
      </c>
      <c r="R482" s="2">
        <f>G482*Q482</f>
        <v/>
      </c>
    </row>
    <row r="483">
      <c r="A483" t="n">
        <v>482</v>
      </c>
      <c r="B483" t="inlineStr">
        <is>
          <t>SW-DIFF-482</t>
        </is>
      </c>
      <c r="C483" t="inlineStr">
        <is>
          <t>CỬA GIÓ</t>
        </is>
      </c>
      <c r="D483" t="inlineStr">
        <is>
          <t>KTM 1000x500 + OBD</t>
        </is>
      </c>
      <c r="E483" t="inlineStr">
        <is>
          <t>1000x500</t>
        </is>
      </c>
      <c r="F483" t="inlineStr">
        <is>
          <t>Cái</t>
        </is>
      </c>
      <c r="G483" s="2" t="n">
        <v>22</v>
      </c>
      <c r="H483" s="2">
        <f>SUMIF('01_BOC_TACH_ONG'!B:B, B483, '01_BOC_TACH_ONG'!K:K)</f>
        <v/>
      </c>
      <c r="I483" s="2">
        <f>SUMIF('02_BOC_TACH_CUA'!B:B, B483, '02_BOC_TACH_CUA'!K:K)</f>
        <v/>
      </c>
      <c r="J483" s="2">
        <f>SUMIF('03_BOC_TACH_VAN'!B:B, B483, '03_BOC_TACH_VAN'!K:K)</f>
        <v/>
      </c>
      <c r="K483" s="2">
        <f>SUM(H483:J483)</f>
        <v/>
      </c>
      <c r="L483" s="2">
        <f>K483*0.25</f>
        <v/>
      </c>
      <c r="M483" s="2">
        <f>K483*0.10</f>
        <v/>
      </c>
      <c r="N483" s="2">
        <f>K483+L483+M483</f>
        <v/>
      </c>
      <c r="O483" s="2">
        <f>IF(G483&gt;0, N483/G483, 0)</f>
        <v/>
      </c>
      <c r="P483" s="3" t="n">
        <v>0.18</v>
      </c>
      <c r="Q483" s="2">
        <f>O483*(1+P483)</f>
        <v/>
      </c>
      <c r="R483" s="2">
        <f>G483*Q483</f>
        <v/>
      </c>
    </row>
    <row r="484">
      <c r="A484" t="n">
        <v>483</v>
      </c>
      <c r="B484" t="inlineStr">
        <is>
          <t>SW-DIFF-483</t>
        </is>
      </c>
      <c r="C484" t="inlineStr">
        <is>
          <t>CỬA GIÓ</t>
        </is>
      </c>
      <c r="D484" t="inlineStr">
        <is>
          <t>KTM  900x600 + OBD</t>
        </is>
      </c>
      <c r="E484" t="inlineStr">
        <is>
          <t>900x600</t>
        </is>
      </c>
      <c r="F484" t="inlineStr">
        <is>
          <t>Cái</t>
        </is>
      </c>
      <c r="G484" s="2" t="n">
        <v>16</v>
      </c>
      <c r="H484" s="2">
        <f>SUMIF('01_BOC_TACH_ONG'!B:B, B484, '01_BOC_TACH_ONG'!K:K)</f>
        <v/>
      </c>
      <c r="I484" s="2">
        <f>SUMIF('02_BOC_TACH_CUA'!B:B, B484, '02_BOC_TACH_CUA'!K:K)</f>
        <v/>
      </c>
      <c r="J484" s="2">
        <f>SUMIF('03_BOC_TACH_VAN'!B:B, B484, '03_BOC_TACH_VAN'!K:K)</f>
        <v/>
      </c>
      <c r="K484" s="2">
        <f>SUM(H484:J484)</f>
        <v/>
      </c>
      <c r="L484" s="2">
        <f>K484*0.25</f>
        <v/>
      </c>
      <c r="M484" s="2">
        <f>K484*0.10</f>
        <v/>
      </c>
      <c r="N484" s="2">
        <f>K484+L484+M484</f>
        <v/>
      </c>
      <c r="O484" s="2">
        <f>IF(G484&gt;0, N484/G484, 0)</f>
        <v/>
      </c>
      <c r="P484" s="3" t="n">
        <v>0.18</v>
      </c>
      <c r="Q484" s="2">
        <f>O484*(1+P484)</f>
        <v/>
      </c>
      <c r="R484" s="2">
        <f>G484*Q484</f>
        <v/>
      </c>
    </row>
    <row r="485">
      <c r="A485" t="n">
        <v>484</v>
      </c>
      <c r="B485" t="inlineStr">
        <is>
          <t>SW-DIFF-484</t>
        </is>
      </c>
      <c r="C485" t="inlineStr">
        <is>
          <t>CỬA GIÓ</t>
        </is>
      </c>
      <c r="D485" t="inlineStr">
        <is>
          <t>KTM  900x400 + OBD</t>
        </is>
      </c>
      <c r="E485" t="inlineStr">
        <is>
          <t>900x400</t>
        </is>
      </c>
      <c r="F485" t="inlineStr">
        <is>
          <t>Cái</t>
        </is>
      </c>
      <c r="G485" s="2" t="n">
        <v>2</v>
      </c>
      <c r="H485" s="2">
        <f>SUMIF('01_BOC_TACH_ONG'!B:B, B485, '01_BOC_TACH_ONG'!K:K)</f>
        <v/>
      </c>
      <c r="I485" s="2">
        <f>SUMIF('02_BOC_TACH_CUA'!B:B, B485, '02_BOC_TACH_CUA'!K:K)</f>
        <v/>
      </c>
      <c r="J485" s="2">
        <f>SUMIF('03_BOC_TACH_VAN'!B:B, B485, '03_BOC_TACH_VAN'!K:K)</f>
        <v/>
      </c>
      <c r="K485" s="2">
        <f>SUM(H485:J485)</f>
        <v/>
      </c>
      <c r="L485" s="2">
        <f>K485*0.25</f>
        <v/>
      </c>
      <c r="M485" s="2">
        <f>K485*0.10</f>
        <v/>
      </c>
      <c r="N485" s="2">
        <f>K485+L485+M485</f>
        <v/>
      </c>
      <c r="O485" s="2">
        <f>IF(G485&gt;0, N485/G485, 0)</f>
        <v/>
      </c>
      <c r="P485" s="3" t="n">
        <v>0.18</v>
      </c>
      <c r="Q485" s="2">
        <f>O485*(1+P485)</f>
        <v/>
      </c>
      <c r="R485" s="2">
        <f>G485*Q485</f>
        <v/>
      </c>
    </row>
    <row r="486">
      <c r="A486" t="n">
        <v>485</v>
      </c>
      <c r="B486" t="inlineStr">
        <is>
          <t>SW-DIFF-485</t>
        </is>
      </c>
      <c r="C486" t="inlineStr">
        <is>
          <t>CỬA GIÓ</t>
        </is>
      </c>
      <c r="D486" t="inlineStr">
        <is>
          <t>KTM  900x300 + OBD</t>
        </is>
      </c>
      <c r="E486" t="inlineStr">
        <is>
          <t>900x300</t>
        </is>
      </c>
      <c r="F486" t="inlineStr">
        <is>
          <t>Cái</t>
        </is>
      </c>
      <c r="G486" s="2" t="n">
        <v>4</v>
      </c>
      <c r="H486" s="2">
        <f>SUMIF('01_BOC_TACH_ONG'!B:B, B486, '01_BOC_TACH_ONG'!K:K)</f>
        <v/>
      </c>
      <c r="I486" s="2">
        <f>SUMIF('02_BOC_TACH_CUA'!B:B, B486, '02_BOC_TACH_CUA'!K:K)</f>
        <v/>
      </c>
      <c r="J486" s="2">
        <f>SUMIF('03_BOC_TACH_VAN'!B:B, B486, '03_BOC_TACH_VAN'!K:K)</f>
        <v/>
      </c>
      <c r="K486" s="2">
        <f>SUM(H486:J486)</f>
        <v/>
      </c>
      <c r="L486" s="2">
        <f>K486*0.25</f>
        <v/>
      </c>
      <c r="M486" s="2">
        <f>K486*0.10</f>
        <v/>
      </c>
      <c r="N486" s="2">
        <f>K486+L486+M486</f>
        <v/>
      </c>
      <c r="O486" s="2">
        <f>IF(G486&gt;0, N486/G486, 0)</f>
        <v/>
      </c>
      <c r="P486" s="3" t="n">
        <v>0.18</v>
      </c>
      <c r="Q486" s="2">
        <f>O486*(1+P486)</f>
        <v/>
      </c>
      <c r="R486" s="2">
        <f>G486*Q486</f>
        <v/>
      </c>
    </row>
    <row r="487">
      <c r="A487" t="n">
        <v>486</v>
      </c>
      <c r="B487" t="inlineStr">
        <is>
          <t>SW-DIFF-486</t>
        </is>
      </c>
      <c r="C487" t="inlineStr">
        <is>
          <t>CỬA GIÓ</t>
        </is>
      </c>
      <c r="D487" t="inlineStr">
        <is>
          <t>KTM 800x400 + OBD</t>
        </is>
      </c>
      <c r="E487" t="inlineStr">
        <is>
          <t>800x400</t>
        </is>
      </c>
      <c r="F487" t="inlineStr">
        <is>
          <t>Cái</t>
        </is>
      </c>
      <c r="G487" s="2" t="n">
        <v>2</v>
      </c>
      <c r="H487" s="2">
        <f>SUMIF('01_BOC_TACH_ONG'!B:B, B487, '01_BOC_TACH_ONG'!K:K)</f>
        <v/>
      </c>
      <c r="I487" s="2">
        <f>SUMIF('02_BOC_TACH_CUA'!B:B, B487, '02_BOC_TACH_CUA'!K:K)</f>
        <v/>
      </c>
      <c r="J487" s="2">
        <f>SUMIF('03_BOC_TACH_VAN'!B:B, B487, '03_BOC_TACH_VAN'!K:K)</f>
        <v/>
      </c>
      <c r="K487" s="2">
        <f>SUM(H487:J487)</f>
        <v/>
      </c>
      <c r="L487" s="2">
        <f>K487*0.25</f>
        <v/>
      </c>
      <c r="M487" s="2">
        <f>K487*0.10</f>
        <v/>
      </c>
      <c r="N487" s="2">
        <f>K487+L487+M487</f>
        <v/>
      </c>
      <c r="O487" s="2">
        <f>IF(G487&gt;0, N487/G487, 0)</f>
        <v/>
      </c>
      <c r="P487" s="3" t="n">
        <v>0.18</v>
      </c>
      <c r="Q487" s="2">
        <f>O487*(1+P487)</f>
        <v/>
      </c>
      <c r="R487" s="2">
        <f>G487*Q487</f>
        <v/>
      </c>
    </row>
    <row r="488">
      <c r="A488" t="n">
        <v>487</v>
      </c>
      <c r="B488" t="inlineStr">
        <is>
          <t>SW-DIFF-487</t>
        </is>
      </c>
      <c r="C488" t="inlineStr">
        <is>
          <t>CỬA GIÓ</t>
        </is>
      </c>
      <c r="D488" t="inlineStr">
        <is>
          <t>KTM 700x700 + OBD</t>
        </is>
      </c>
      <c r="E488" t="inlineStr">
        <is>
          <t>700x700</t>
        </is>
      </c>
      <c r="F488" t="inlineStr">
        <is>
          <t>Cái</t>
        </is>
      </c>
      <c r="G488" s="2" t="n">
        <v>3</v>
      </c>
      <c r="H488" s="2">
        <f>SUMIF('01_BOC_TACH_ONG'!B:B, B488, '01_BOC_TACH_ONG'!K:K)</f>
        <v/>
      </c>
      <c r="I488" s="2">
        <f>SUMIF('02_BOC_TACH_CUA'!B:B, B488, '02_BOC_TACH_CUA'!K:K)</f>
        <v/>
      </c>
      <c r="J488" s="2">
        <f>SUMIF('03_BOC_TACH_VAN'!B:B, B488, '03_BOC_TACH_VAN'!K:K)</f>
        <v/>
      </c>
      <c r="K488" s="2">
        <f>SUM(H488:J488)</f>
        <v/>
      </c>
      <c r="L488" s="2">
        <f>K488*0.25</f>
        <v/>
      </c>
      <c r="M488" s="2">
        <f>K488*0.10</f>
        <v/>
      </c>
      <c r="N488" s="2">
        <f>K488+L488+M488</f>
        <v/>
      </c>
      <c r="O488" s="2">
        <f>IF(G488&gt;0, N488/G488, 0)</f>
        <v/>
      </c>
      <c r="P488" s="3" t="n">
        <v>0.18</v>
      </c>
      <c r="Q488" s="2">
        <f>O488*(1+P488)</f>
        <v/>
      </c>
      <c r="R488" s="2">
        <f>G488*Q488</f>
        <v/>
      </c>
    </row>
    <row r="489">
      <c r="A489" t="n">
        <v>488</v>
      </c>
      <c r="B489" t="inlineStr">
        <is>
          <t>SW-DIFF-488</t>
        </is>
      </c>
      <c r="C489" t="inlineStr">
        <is>
          <t>CỬA GIÓ</t>
        </is>
      </c>
      <c r="D489" t="inlineStr">
        <is>
          <t>KTM 1200x300 + Lưới lọc bụi</t>
        </is>
      </c>
      <c r="E489" t="inlineStr">
        <is>
          <t>1200x300</t>
        </is>
      </c>
      <c r="F489" t="inlineStr">
        <is>
          <t>Cái</t>
        </is>
      </c>
      <c r="G489" s="2" t="n">
        <v>4</v>
      </c>
      <c r="H489" s="2">
        <f>SUMIF('01_BOC_TACH_ONG'!B:B, B489, '01_BOC_TACH_ONG'!K:K)</f>
        <v/>
      </c>
      <c r="I489" s="2">
        <f>SUMIF('02_BOC_TACH_CUA'!B:B, B489, '02_BOC_TACH_CUA'!K:K)</f>
        <v/>
      </c>
      <c r="J489" s="2">
        <f>SUMIF('03_BOC_TACH_VAN'!B:B, B489, '03_BOC_TACH_VAN'!K:K)</f>
        <v/>
      </c>
      <c r="K489" s="2">
        <f>SUM(H489:J489)</f>
        <v/>
      </c>
      <c r="L489" s="2">
        <f>K489*0.25</f>
        <v/>
      </c>
      <c r="M489" s="2">
        <f>K489*0.10</f>
        <v/>
      </c>
      <c r="N489" s="2">
        <f>K489+L489+M489</f>
        <v/>
      </c>
      <c r="O489" s="2">
        <f>IF(G489&gt;0, N489/G489, 0)</f>
        <v/>
      </c>
      <c r="P489" s="3" t="n">
        <v>0.18</v>
      </c>
      <c r="Q489" s="2">
        <f>O489*(1+P489)</f>
        <v/>
      </c>
      <c r="R489" s="2">
        <f>G489*Q489</f>
        <v/>
      </c>
    </row>
    <row r="490">
      <c r="A490" t="n">
        <v>489</v>
      </c>
      <c r="B490" t="inlineStr">
        <is>
          <t>SW-DIFF-489</t>
        </is>
      </c>
      <c r="C490" t="inlineStr">
        <is>
          <t>CỬA GIÓ</t>
        </is>
      </c>
      <c r="D490" t="inlineStr">
        <is>
          <t>KTM 1200x200 + Lưới lọc bụi</t>
        </is>
      </c>
      <c r="E490" t="inlineStr">
        <is>
          <t>1200x200</t>
        </is>
      </c>
      <c r="F490" t="inlineStr">
        <is>
          <t>Cái</t>
        </is>
      </c>
      <c r="G490" s="2" t="n">
        <v>283</v>
      </c>
      <c r="H490" s="2">
        <f>SUMIF('01_BOC_TACH_ONG'!B:B, B490, '01_BOC_TACH_ONG'!K:K)</f>
        <v/>
      </c>
      <c r="I490" s="2">
        <f>SUMIF('02_BOC_TACH_CUA'!B:B, B490, '02_BOC_TACH_CUA'!K:K)</f>
        <v/>
      </c>
      <c r="J490" s="2">
        <f>SUMIF('03_BOC_TACH_VAN'!B:B, B490, '03_BOC_TACH_VAN'!K:K)</f>
        <v/>
      </c>
      <c r="K490" s="2">
        <f>SUM(H490:J490)</f>
        <v/>
      </c>
      <c r="L490" s="2">
        <f>K490*0.25</f>
        <v/>
      </c>
      <c r="M490" s="2">
        <f>K490*0.10</f>
        <v/>
      </c>
      <c r="N490" s="2">
        <f>K490+L490+M490</f>
        <v/>
      </c>
      <c r="O490" s="2">
        <f>IF(G490&gt;0, N490/G490, 0)</f>
        <v/>
      </c>
      <c r="P490" s="3" t="n">
        <v>0.18</v>
      </c>
      <c r="Q490" s="2">
        <f>O490*(1+P490)</f>
        <v/>
      </c>
      <c r="R490" s="2">
        <f>G490*Q490</f>
        <v/>
      </c>
    </row>
    <row r="491">
      <c r="A491" t="n">
        <v>490</v>
      </c>
      <c r="B491" t="inlineStr">
        <is>
          <t>SW-DIFF-490</t>
        </is>
      </c>
      <c r="C491" t="inlineStr">
        <is>
          <t>CỬA GIÓ</t>
        </is>
      </c>
      <c r="D491" t="inlineStr">
        <is>
          <t>KTM 1200x150 + Lưới lọc bụi</t>
        </is>
      </c>
      <c r="E491" t="inlineStr">
        <is>
          <t>1200x150</t>
        </is>
      </c>
      <c r="F491" t="inlineStr">
        <is>
          <t>Cái</t>
        </is>
      </c>
      <c r="G491" s="2" t="n">
        <v>236</v>
      </c>
      <c r="H491" s="2">
        <f>SUMIF('01_BOC_TACH_ONG'!B:B, B491, '01_BOC_TACH_ONG'!K:K)</f>
        <v/>
      </c>
      <c r="I491" s="2">
        <f>SUMIF('02_BOC_TACH_CUA'!B:B, B491, '02_BOC_TACH_CUA'!K:K)</f>
        <v/>
      </c>
      <c r="J491" s="2">
        <f>SUMIF('03_BOC_TACH_VAN'!B:B, B491, '03_BOC_TACH_VAN'!K:K)</f>
        <v/>
      </c>
      <c r="K491" s="2">
        <f>SUM(H491:J491)</f>
        <v/>
      </c>
      <c r="L491" s="2">
        <f>K491*0.25</f>
        <v/>
      </c>
      <c r="M491" s="2">
        <f>K491*0.10</f>
        <v/>
      </c>
      <c r="N491" s="2">
        <f>K491+L491+M491</f>
        <v/>
      </c>
      <c r="O491" s="2">
        <f>IF(G491&gt;0, N491/G491, 0)</f>
        <v/>
      </c>
      <c r="P491" s="3" t="n">
        <v>0.18</v>
      </c>
      <c r="Q491" s="2">
        <f>O491*(1+P491)</f>
        <v/>
      </c>
      <c r="R491" s="2">
        <f>G491*Q491</f>
        <v/>
      </c>
    </row>
    <row r="492">
      <c r="A492" t="n">
        <v>491</v>
      </c>
      <c r="B492" t="inlineStr">
        <is>
          <t>SW-DIFF-491</t>
        </is>
      </c>
      <c r="C492" t="inlineStr">
        <is>
          <t>CỬA GIÓ</t>
        </is>
      </c>
      <c r="D492" t="inlineStr">
        <is>
          <t>KTM 1200x100 + Lưới lọc bụi</t>
        </is>
      </c>
      <c r="E492" t="inlineStr">
        <is>
          <t>1200x100</t>
        </is>
      </c>
      <c r="F492" t="inlineStr">
        <is>
          <t>Cái</t>
        </is>
      </c>
      <c r="G492" s="2" t="n">
        <v>107</v>
      </c>
      <c r="H492" s="2">
        <f>SUMIF('01_BOC_TACH_ONG'!B:B, B492, '01_BOC_TACH_ONG'!K:K)</f>
        <v/>
      </c>
      <c r="I492" s="2">
        <f>SUMIF('02_BOC_TACH_CUA'!B:B, B492, '02_BOC_TACH_CUA'!K:K)</f>
        <v/>
      </c>
      <c r="J492" s="2">
        <f>SUMIF('03_BOC_TACH_VAN'!B:B, B492, '03_BOC_TACH_VAN'!K:K)</f>
        <v/>
      </c>
      <c r="K492" s="2">
        <f>SUM(H492:J492)</f>
        <v/>
      </c>
      <c r="L492" s="2">
        <f>K492*0.25</f>
        <v/>
      </c>
      <c r="M492" s="2">
        <f>K492*0.10</f>
        <v/>
      </c>
      <c r="N492" s="2">
        <f>K492+L492+M492</f>
        <v/>
      </c>
      <c r="O492" s="2">
        <f>IF(G492&gt;0, N492/G492, 0)</f>
        <v/>
      </c>
      <c r="P492" s="3" t="n">
        <v>0.18</v>
      </c>
      <c r="Q492" s="2">
        <f>O492*(1+P492)</f>
        <v/>
      </c>
      <c r="R492" s="2">
        <f>G492*Q492</f>
        <v/>
      </c>
    </row>
    <row r="493">
      <c r="A493" t="n">
        <v>492</v>
      </c>
      <c r="B493" t="inlineStr">
        <is>
          <t>SW-DIFF-492</t>
        </is>
      </c>
      <c r="C493" t="inlineStr">
        <is>
          <t>CỬA GIÓ</t>
        </is>
      </c>
      <c r="D493" t="inlineStr">
        <is>
          <t>KTM 1100x300 + Lưới lọc bụi</t>
        </is>
      </c>
      <c r="E493" t="inlineStr">
        <is>
          <t>1100x300</t>
        </is>
      </c>
      <c r="F493" t="inlineStr">
        <is>
          <t>Cái</t>
        </is>
      </c>
      <c r="G493" s="2" t="n">
        <v>21</v>
      </c>
      <c r="H493" s="2">
        <f>SUMIF('01_BOC_TACH_ONG'!B:B, B493, '01_BOC_TACH_ONG'!K:K)</f>
        <v/>
      </c>
      <c r="I493" s="2">
        <f>SUMIF('02_BOC_TACH_CUA'!B:B, B493, '02_BOC_TACH_CUA'!K:K)</f>
        <v/>
      </c>
      <c r="J493" s="2">
        <f>SUMIF('03_BOC_TACH_VAN'!B:B, B493, '03_BOC_TACH_VAN'!K:K)</f>
        <v/>
      </c>
      <c r="K493" s="2">
        <f>SUM(H493:J493)</f>
        <v/>
      </c>
      <c r="L493" s="2">
        <f>K493*0.25</f>
        <v/>
      </c>
      <c r="M493" s="2">
        <f>K493*0.10</f>
        <v/>
      </c>
      <c r="N493" s="2">
        <f>K493+L493+M493</f>
        <v/>
      </c>
      <c r="O493" s="2">
        <f>IF(G493&gt;0, N493/G493, 0)</f>
        <v/>
      </c>
      <c r="P493" s="3" t="n">
        <v>0.18</v>
      </c>
      <c r="Q493" s="2">
        <f>O493*(1+P493)</f>
        <v/>
      </c>
      <c r="R493" s="2">
        <f>G493*Q493</f>
        <v/>
      </c>
    </row>
    <row r="494">
      <c r="A494" t="n">
        <v>493</v>
      </c>
      <c r="B494" t="inlineStr">
        <is>
          <t>SW-DIFF-493</t>
        </is>
      </c>
      <c r="C494" t="inlineStr">
        <is>
          <t>CỬA GIÓ</t>
        </is>
      </c>
      <c r="D494" t="inlineStr">
        <is>
          <t>KTM 1000x500 + Lưới lọc bụi</t>
        </is>
      </c>
      <c r="E494" t="inlineStr">
        <is>
          <t>1000x500</t>
        </is>
      </c>
      <c r="F494" t="inlineStr">
        <is>
          <t>Cái</t>
        </is>
      </c>
      <c r="G494" s="2" t="n">
        <v>13</v>
      </c>
      <c r="H494" s="2">
        <f>SUMIF('01_BOC_TACH_ONG'!B:B, B494, '01_BOC_TACH_ONG'!K:K)</f>
        <v/>
      </c>
      <c r="I494" s="2">
        <f>SUMIF('02_BOC_TACH_CUA'!B:B, B494, '02_BOC_TACH_CUA'!K:K)</f>
        <v/>
      </c>
      <c r="J494" s="2">
        <f>SUMIF('03_BOC_TACH_VAN'!B:B, B494, '03_BOC_TACH_VAN'!K:K)</f>
        <v/>
      </c>
      <c r="K494" s="2">
        <f>SUM(H494:J494)</f>
        <v/>
      </c>
      <c r="L494" s="2">
        <f>K494*0.25</f>
        <v/>
      </c>
      <c r="M494" s="2">
        <f>K494*0.10</f>
        <v/>
      </c>
      <c r="N494" s="2">
        <f>K494+L494+M494</f>
        <v/>
      </c>
      <c r="O494" s="2">
        <f>IF(G494&gt;0, N494/G494, 0)</f>
        <v/>
      </c>
      <c r="P494" s="3" t="n">
        <v>0.18</v>
      </c>
      <c r="Q494" s="2">
        <f>O494*(1+P494)</f>
        <v/>
      </c>
      <c r="R494" s="2">
        <f>G494*Q494</f>
        <v/>
      </c>
    </row>
    <row r="495">
      <c r="A495" t="n">
        <v>494</v>
      </c>
      <c r="B495" t="inlineStr">
        <is>
          <t>SW-DIFF-494</t>
        </is>
      </c>
      <c r="C495" t="inlineStr">
        <is>
          <t>CỬA GIÓ</t>
        </is>
      </c>
      <c r="D495" t="inlineStr">
        <is>
          <t>KTM 450x300 + Lưới lọc bụi</t>
        </is>
      </c>
      <c r="E495" t="inlineStr">
        <is>
          <t>450x300</t>
        </is>
      </c>
      <c r="F495" t="inlineStr">
        <is>
          <t>Cái</t>
        </is>
      </c>
      <c r="G495" s="2" t="n">
        <v>1</v>
      </c>
      <c r="H495" s="2">
        <f>SUMIF('01_BOC_TACH_ONG'!B:B, B495, '01_BOC_TACH_ONG'!K:K)</f>
        <v/>
      </c>
      <c r="I495" s="2">
        <f>SUMIF('02_BOC_TACH_CUA'!B:B, B495, '02_BOC_TACH_CUA'!K:K)</f>
        <v/>
      </c>
      <c r="J495" s="2">
        <f>SUMIF('03_BOC_TACH_VAN'!B:B, B495, '03_BOC_TACH_VAN'!K:K)</f>
        <v/>
      </c>
      <c r="K495" s="2">
        <f>SUM(H495:J495)</f>
        <v/>
      </c>
      <c r="L495" s="2">
        <f>K495*0.25</f>
        <v/>
      </c>
      <c r="M495" s="2">
        <f>K495*0.10</f>
        <v/>
      </c>
      <c r="N495" s="2">
        <f>K495+L495+M495</f>
        <v/>
      </c>
      <c r="O495" s="2">
        <f>IF(G495&gt;0, N495/G495, 0)</f>
        <v/>
      </c>
      <c r="P495" s="3" t="n">
        <v>0.18</v>
      </c>
      <c r="Q495" s="2">
        <f>O495*(1+P495)</f>
        <v/>
      </c>
      <c r="R495" s="2">
        <f>G495*Q495</f>
        <v/>
      </c>
    </row>
    <row r="496">
      <c r="A496" t="n">
        <v>495</v>
      </c>
      <c r="B496" t="inlineStr">
        <is>
          <t>SW-DIFF-495</t>
        </is>
      </c>
      <c r="C496" t="inlineStr">
        <is>
          <t>CỬA GIÓ</t>
        </is>
      </c>
      <c r="D496" t="inlineStr">
        <is>
          <t>KTM 400x300 + Lưới lọc bụi</t>
        </is>
      </c>
      <c r="E496" t="inlineStr">
        <is>
          <t>400x300</t>
        </is>
      </c>
      <c r="F496" t="inlineStr">
        <is>
          <t>Cái</t>
        </is>
      </c>
      <c r="G496" s="2" t="n">
        <v>1</v>
      </c>
      <c r="H496" s="2">
        <f>SUMIF('01_BOC_TACH_ONG'!B:B, B496, '01_BOC_TACH_ONG'!K:K)</f>
        <v/>
      </c>
      <c r="I496" s="2">
        <f>SUMIF('02_BOC_TACH_CUA'!B:B, B496, '02_BOC_TACH_CUA'!K:K)</f>
        <v/>
      </c>
      <c r="J496" s="2">
        <f>SUMIF('03_BOC_TACH_VAN'!B:B, B496, '03_BOC_TACH_VAN'!K:K)</f>
        <v/>
      </c>
      <c r="K496" s="2">
        <f>SUM(H496:J496)</f>
        <v/>
      </c>
      <c r="L496" s="2">
        <f>K496*0.25</f>
        <v/>
      </c>
      <c r="M496" s="2">
        <f>K496*0.10</f>
        <v/>
      </c>
      <c r="N496" s="2">
        <f>K496+L496+M496</f>
        <v/>
      </c>
      <c r="O496" s="2">
        <f>IF(G496&gt;0, N496/G496, 0)</f>
        <v/>
      </c>
      <c r="P496" s="3" t="n">
        <v>0.18</v>
      </c>
      <c r="Q496" s="2">
        <f>O496*(1+P496)</f>
        <v/>
      </c>
      <c r="R496" s="2">
        <f>G496*Q496</f>
        <v/>
      </c>
    </row>
    <row r="497">
      <c r="A497" t="n">
        <v>496</v>
      </c>
      <c r="B497" t="inlineStr">
        <is>
          <t>SW-DIFF-496</t>
        </is>
      </c>
      <c r="C497" t="inlineStr">
        <is>
          <t>CỬA GIÓ</t>
        </is>
      </c>
      <c r="D497" t="inlineStr">
        <is>
          <t>KTM 500x300 + Lưới lọc bụi</t>
        </is>
      </c>
      <c r="E497" t="inlineStr">
        <is>
          <t>500x300</t>
        </is>
      </c>
      <c r="F497" t="inlineStr">
        <is>
          <t>Cái</t>
        </is>
      </c>
      <c r="G497" s="2" t="n">
        <v>1</v>
      </c>
      <c r="H497" s="2">
        <f>SUMIF('01_BOC_TACH_ONG'!B:B, B497, '01_BOC_TACH_ONG'!K:K)</f>
        <v/>
      </c>
      <c r="I497" s="2">
        <f>SUMIF('02_BOC_TACH_CUA'!B:B, B497, '02_BOC_TACH_CUA'!K:K)</f>
        <v/>
      </c>
      <c r="J497" s="2">
        <f>SUMIF('03_BOC_TACH_VAN'!B:B, B497, '03_BOC_TACH_VAN'!K:K)</f>
        <v/>
      </c>
      <c r="K497" s="2">
        <f>SUM(H497:J497)</f>
        <v/>
      </c>
      <c r="L497" s="2">
        <f>K497*0.25</f>
        <v/>
      </c>
      <c r="M497" s="2">
        <f>K497*0.10</f>
        <v/>
      </c>
      <c r="N497" s="2">
        <f>K497+L497+M497</f>
        <v/>
      </c>
      <c r="O497" s="2">
        <f>IF(G497&gt;0, N497/G497, 0)</f>
        <v/>
      </c>
      <c r="P497" s="3" t="n">
        <v>0.18</v>
      </c>
      <c r="Q497" s="2">
        <f>O497*(1+P497)</f>
        <v/>
      </c>
      <c r="R497" s="2">
        <f>G497*Q497</f>
        <v/>
      </c>
    </row>
    <row r="498">
      <c r="A498" t="n">
        <v>497</v>
      </c>
      <c r="B498" t="inlineStr">
        <is>
          <t>SW-DIFF-497</t>
        </is>
      </c>
      <c r="C498" t="inlineStr">
        <is>
          <t>CỬA GIÓ</t>
        </is>
      </c>
      <c r="D498" t="inlineStr">
        <is>
          <t>KTM 600x500 + Lưới lọc bụi</t>
        </is>
      </c>
      <c r="E498" t="inlineStr">
        <is>
          <t>600x500</t>
        </is>
      </c>
      <c r="F498" t="inlineStr">
        <is>
          <t>Cái</t>
        </is>
      </c>
      <c r="G498" s="2" t="n">
        <v>1</v>
      </c>
      <c r="H498" s="2">
        <f>SUMIF('01_BOC_TACH_ONG'!B:B, B498, '01_BOC_TACH_ONG'!K:K)</f>
        <v/>
      </c>
      <c r="I498" s="2">
        <f>SUMIF('02_BOC_TACH_CUA'!B:B, B498, '02_BOC_TACH_CUA'!K:K)</f>
        <v/>
      </c>
      <c r="J498" s="2">
        <f>SUMIF('03_BOC_TACH_VAN'!B:B, B498, '03_BOC_TACH_VAN'!K:K)</f>
        <v/>
      </c>
      <c r="K498" s="2">
        <f>SUM(H498:J498)</f>
        <v/>
      </c>
      <c r="L498" s="2">
        <f>K498*0.25</f>
        <v/>
      </c>
      <c r="M498" s="2">
        <f>K498*0.10</f>
        <v/>
      </c>
      <c r="N498" s="2">
        <f>K498+L498+M498</f>
        <v/>
      </c>
      <c r="O498" s="2">
        <f>IF(G498&gt;0, N498/G498, 0)</f>
        <v/>
      </c>
      <c r="P498" s="3" t="n">
        <v>0.18</v>
      </c>
      <c r="Q498" s="2">
        <f>O498*(1+P498)</f>
        <v/>
      </c>
      <c r="R498" s="2">
        <f>G498*Q498</f>
        <v/>
      </c>
    </row>
    <row r="499">
      <c r="A499" t="n">
        <v>498</v>
      </c>
      <c r="B499" t="inlineStr">
        <is>
          <t>SW-DIFF-498</t>
        </is>
      </c>
      <c r="C499" t="inlineStr">
        <is>
          <t>CỬA GIÓ</t>
        </is>
      </c>
      <c r="D499" t="inlineStr">
        <is>
          <t>KTM 900x550 + Lưới lọc bụi</t>
        </is>
      </c>
      <c r="E499" t="inlineStr">
        <is>
          <t>900x550</t>
        </is>
      </c>
      <c r="F499" t="inlineStr">
        <is>
          <t>Cái</t>
        </is>
      </c>
      <c r="G499" s="2" t="n">
        <v>1</v>
      </c>
      <c r="H499" s="2">
        <f>SUMIF('01_BOC_TACH_ONG'!B:B, B499, '01_BOC_TACH_ONG'!K:K)</f>
        <v/>
      </c>
      <c r="I499" s="2">
        <f>SUMIF('02_BOC_TACH_CUA'!B:B, B499, '02_BOC_TACH_CUA'!K:K)</f>
        <v/>
      </c>
      <c r="J499" s="2">
        <f>SUMIF('03_BOC_TACH_VAN'!B:B, B499, '03_BOC_TACH_VAN'!K:K)</f>
        <v/>
      </c>
      <c r="K499" s="2">
        <f>SUM(H499:J499)</f>
        <v/>
      </c>
      <c r="L499" s="2">
        <f>K499*0.25</f>
        <v/>
      </c>
      <c r="M499" s="2">
        <f>K499*0.10</f>
        <v/>
      </c>
      <c r="N499" s="2">
        <f>K499+L499+M499</f>
        <v/>
      </c>
      <c r="O499" s="2">
        <f>IF(G499&gt;0, N499/G499, 0)</f>
        <v/>
      </c>
      <c r="P499" s="3" t="n">
        <v>0.18</v>
      </c>
      <c r="Q499" s="2">
        <f>O499*(1+P499)</f>
        <v/>
      </c>
      <c r="R499" s="2">
        <f>G499*Q499</f>
        <v/>
      </c>
    </row>
    <row r="500">
      <c r="A500" t="n">
        <v>499</v>
      </c>
      <c r="B500" t="inlineStr">
        <is>
          <t>SW-DAMPER-499</t>
        </is>
      </c>
      <c r="C500" t="inlineStr">
        <is>
          <t>VAN GIÓ</t>
        </is>
      </c>
      <c r="D500" t="inlineStr">
        <is>
          <t>Van điều chỉnh lưu lượng VCD - Kích thước D200</t>
        </is>
      </c>
      <c r="E500" t="inlineStr">
        <is>
          <t>200x0</t>
        </is>
      </c>
      <c r="F500" t="inlineStr">
        <is>
          <t>Cái</t>
        </is>
      </c>
      <c r="G500" s="2" t="n">
        <v>416</v>
      </c>
      <c r="H500" s="2">
        <f>SUMIF('01_BOC_TACH_ONG'!B:B, B500, '01_BOC_TACH_ONG'!K:K)</f>
        <v/>
      </c>
      <c r="I500" s="2">
        <f>SUMIF('02_BOC_TACH_CUA'!B:B, B500, '02_BOC_TACH_CUA'!K:K)</f>
        <v/>
      </c>
      <c r="J500" s="2">
        <f>SUMIF('03_BOC_TACH_VAN'!B:B, B500, '03_BOC_TACH_VAN'!K:K)</f>
        <v/>
      </c>
      <c r="K500" s="2">
        <f>SUM(H500:J500)</f>
        <v/>
      </c>
      <c r="L500" s="2">
        <f>K500*0.25</f>
        <v/>
      </c>
      <c r="M500" s="2">
        <f>K500*0.10</f>
        <v/>
      </c>
      <c r="N500" s="2">
        <f>K500+L500+M500</f>
        <v/>
      </c>
      <c r="O500" s="2">
        <f>IF(G500&gt;0, N500/G500, 0)</f>
        <v/>
      </c>
      <c r="P500" s="3" t="n">
        <v>0.18</v>
      </c>
      <c r="Q500" s="2">
        <f>O500*(1+P500)</f>
        <v/>
      </c>
      <c r="R500" s="2">
        <f>G500*Q500</f>
        <v/>
      </c>
    </row>
    <row r="501">
      <c r="A501" t="n">
        <v>500</v>
      </c>
      <c r="B501" t="inlineStr">
        <is>
          <t>SW-DAMPER-500</t>
        </is>
      </c>
      <c r="C501" t="inlineStr">
        <is>
          <t>VAN GIÓ</t>
        </is>
      </c>
      <c r="D501" t="inlineStr">
        <is>
          <t>Van điều chỉnh lưu lượng VCD - Kích thước D250</t>
        </is>
      </c>
      <c r="E501" t="inlineStr">
        <is>
          <t>250x0</t>
        </is>
      </c>
      <c r="F501" t="inlineStr">
        <is>
          <t>Cái</t>
        </is>
      </c>
      <c r="G501" s="2" t="n">
        <v>42</v>
      </c>
      <c r="H501" s="2">
        <f>SUMIF('01_BOC_TACH_ONG'!B:B, B501, '01_BOC_TACH_ONG'!K:K)</f>
        <v/>
      </c>
      <c r="I501" s="2">
        <f>SUMIF('02_BOC_TACH_CUA'!B:B, B501, '02_BOC_TACH_CUA'!K:K)</f>
        <v/>
      </c>
      <c r="J501" s="2">
        <f>SUMIF('03_BOC_TACH_VAN'!B:B, B501, '03_BOC_TACH_VAN'!K:K)</f>
        <v/>
      </c>
      <c r="K501" s="2">
        <f>SUM(H501:J501)</f>
        <v/>
      </c>
      <c r="L501" s="2">
        <f>K501*0.25</f>
        <v/>
      </c>
      <c r="M501" s="2">
        <f>K501*0.10</f>
        <v/>
      </c>
      <c r="N501" s="2">
        <f>K501+L501+M501</f>
        <v/>
      </c>
      <c r="O501" s="2">
        <f>IF(G501&gt;0, N501/G501, 0)</f>
        <v/>
      </c>
      <c r="P501" s="3" t="n">
        <v>0.18</v>
      </c>
      <c r="Q501" s="2">
        <f>O501*(1+P501)</f>
        <v/>
      </c>
      <c r="R501" s="2">
        <f>G501*Q501</f>
        <v/>
      </c>
    </row>
    <row r="502">
      <c r="A502" t="n">
        <v>501</v>
      </c>
      <c r="B502" t="inlineStr">
        <is>
          <t>SW-DAMPER-501</t>
        </is>
      </c>
      <c r="C502" t="inlineStr">
        <is>
          <t>VAN GIÓ</t>
        </is>
      </c>
      <c r="D502" t="inlineStr">
        <is>
          <t>Van điều chỉnh lưu lượng VCD - Kích thước D300</t>
        </is>
      </c>
      <c r="E502" t="inlineStr">
        <is>
          <t>300x0</t>
        </is>
      </c>
      <c r="F502" t="inlineStr">
        <is>
          <t>Cái</t>
        </is>
      </c>
      <c r="G502" s="2" t="n">
        <v>391</v>
      </c>
      <c r="H502" s="2">
        <f>SUMIF('01_BOC_TACH_ONG'!B:B, B502, '01_BOC_TACH_ONG'!K:K)</f>
        <v/>
      </c>
      <c r="I502" s="2">
        <f>SUMIF('02_BOC_TACH_CUA'!B:B, B502, '02_BOC_TACH_CUA'!K:K)</f>
        <v/>
      </c>
      <c r="J502" s="2">
        <f>SUMIF('03_BOC_TACH_VAN'!B:B, B502, '03_BOC_TACH_VAN'!K:K)</f>
        <v/>
      </c>
      <c r="K502" s="2">
        <f>SUM(H502:J502)</f>
        <v/>
      </c>
      <c r="L502" s="2">
        <f>K502*0.25</f>
        <v/>
      </c>
      <c r="M502" s="2">
        <f>K502*0.10</f>
        <v/>
      </c>
      <c r="N502" s="2">
        <f>K502+L502+M502</f>
        <v/>
      </c>
      <c r="O502" s="2">
        <f>IF(G502&gt;0, N502/G502, 0)</f>
        <v/>
      </c>
      <c r="P502" s="3" t="n">
        <v>0.18</v>
      </c>
      <c r="Q502" s="2">
        <f>O502*(1+P502)</f>
        <v/>
      </c>
      <c r="R502" s="2">
        <f>G502*Q502</f>
        <v/>
      </c>
    </row>
    <row r="503">
      <c r="A503" t="n">
        <v>502</v>
      </c>
      <c r="B503" t="inlineStr">
        <is>
          <t>SW-DAMPER-502</t>
        </is>
      </c>
      <c r="C503" t="inlineStr">
        <is>
          <t>VAN GIÓ</t>
        </is>
      </c>
      <c r="D503" t="inlineStr">
        <is>
          <t>Van điều chỉnh lưu lượng VCD - Kích thước D400</t>
        </is>
      </c>
      <c r="E503" t="inlineStr">
        <is>
          <t>400x0</t>
        </is>
      </c>
      <c r="F503" t="inlineStr">
        <is>
          <t>Cái</t>
        </is>
      </c>
      <c r="G503" s="2" t="n">
        <v>61</v>
      </c>
      <c r="H503" s="2">
        <f>SUMIF('01_BOC_TACH_ONG'!B:B, B503, '01_BOC_TACH_ONG'!K:K)</f>
        <v/>
      </c>
      <c r="I503" s="2">
        <f>SUMIF('02_BOC_TACH_CUA'!B:B, B503, '02_BOC_TACH_CUA'!K:K)</f>
        <v/>
      </c>
      <c r="J503" s="2">
        <f>SUMIF('03_BOC_TACH_VAN'!B:B, B503, '03_BOC_TACH_VAN'!K:K)</f>
        <v/>
      </c>
      <c r="K503" s="2">
        <f>SUM(H503:J503)</f>
        <v/>
      </c>
      <c r="L503" s="2">
        <f>K503*0.25</f>
        <v/>
      </c>
      <c r="M503" s="2">
        <f>K503*0.10</f>
        <v/>
      </c>
      <c r="N503" s="2">
        <f>K503+L503+M503</f>
        <v/>
      </c>
      <c r="O503" s="2">
        <f>IF(G503&gt;0, N503/G503, 0)</f>
        <v/>
      </c>
      <c r="P503" s="3" t="n">
        <v>0.18</v>
      </c>
      <c r="Q503" s="2">
        <f>O503*(1+P503)</f>
        <v/>
      </c>
      <c r="R503" s="2">
        <f>G503*Q503</f>
        <v/>
      </c>
    </row>
    <row r="504">
      <c r="A504" t="n">
        <v>503</v>
      </c>
      <c r="B504" t="inlineStr">
        <is>
          <t>SW-DAMPER-503</t>
        </is>
      </c>
      <c r="C504" t="inlineStr">
        <is>
          <t>VAN GIÓ</t>
        </is>
      </c>
      <c r="D504" t="inlineStr">
        <is>
          <t>Van điều chỉnh lưu lượng VCD - Kích thước 300x200</t>
        </is>
      </c>
      <c r="E504" t="inlineStr">
        <is>
          <t>300x200</t>
        </is>
      </c>
      <c r="F504" t="inlineStr">
        <is>
          <t>Cái</t>
        </is>
      </c>
      <c r="G504" s="2" t="n">
        <v>12</v>
      </c>
      <c r="H504" s="2">
        <f>SUMIF('01_BOC_TACH_ONG'!B:B, B504, '01_BOC_TACH_ONG'!K:K)</f>
        <v/>
      </c>
      <c r="I504" s="2">
        <f>SUMIF('02_BOC_TACH_CUA'!B:B, B504, '02_BOC_TACH_CUA'!K:K)</f>
        <v/>
      </c>
      <c r="J504" s="2">
        <f>SUMIF('03_BOC_TACH_VAN'!B:B, B504, '03_BOC_TACH_VAN'!K:K)</f>
        <v/>
      </c>
      <c r="K504" s="2">
        <f>SUM(H504:J504)</f>
        <v/>
      </c>
      <c r="L504" s="2">
        <f>K504*0.25</f>
        <v/>
      </c>
      <c r="M504" s="2">
        <f>K504*0.10</f>
        <v/>
      </c>
      <c r="N504" s="2">
        <f>K504+L504+M504</f>
        <v/>
      </c>
      <c r="O504" s="2">
        <f>IF(G504&gt;0, N504/G504, 0)</f>
        <v/>
      </c>
      <c r="P504" s="3" t="n">
        <v>0.18</v>
      </c>
      <c r="Q504" s="2">
        <f>O504*(1+P504)</f>
        <v/>
      </c>
      <c r="R504" s="2">
        <f>G504*Q504</f>
        <v/>
      </c>
    </row>
    <row r="505">
      <c r="A505" t="n">
        <v>504</v>
      </c>
      <c r="B505" t="inlineStr">
        <is>
          <t>SW-DAMPER-504</t>
        </is>
      </c>
      <c r="C505" t="inlineStr">
        <is>
          <t>VAN GIÓ</t>
        </is>
      </c>
      <c r="D505" t="inlineStr">
        <is>
          <t>Van điều chỉnh lưu lượng VCD - Kích thước 300x300</t>
        </is>
      </c>
      <c r="E505" t="inlineStr">
        <is>
          <t>300x300</t>
        </is>
      </c>
      <c r="F505" t="inlineStr">
        <is>
          <t>Cái</t>
        </is>
      </c>
      <c r="G505" s="2" t="n">
        <v>2</v>
      </c>
      <c r="H505" s="2">
        <f>SUMIF('01_BOC_TACH_ONG'!B:B, B505, '01_BOC_TACH_ONG'!K:K)</f>
        <v/>
      </c>
      <c r="I505" s="2">
        <f>SUMIF('02_BOC_TACH_CUA'!B:B, B505, '02_BOC_TACH_CUA'!K:K)</f>
        <v/>
      </c>
      <c r="J505" s="2">
        <f>SUMIF('03_BOC_TACH_VAN'!B:B, B505, '03_BOC_TACH_VAN'!K:K)</f>
        <v/>
      </c>
      <c r="K505" s="2">
        <f>SUM(H505:J505)</f>
        <v/>
      </c>
      <c r="L505" s="2">
        <f>K505*0.25</f>
        <v/>
      </c>
      <c r="M505" s="2">
        <f>K505*0.10</f>
        <v/>
      </c>
      <c r="N505" s="2">
        <f>K505+L505+M505</f>
        <v/>
      </c>
      <c r="O505" s="2">
        <f>IF(G505&gt;0, N505/G505, 0)</f>
        <v/>
      </c>
      <c r="P505" s="3" t="n">
        <v>0.18</v>
      </c>
      <c r="Q505" s="2">
        <f>O505*(1+P505)</f>
        <v/>
      </c>
      <c r="R505" s="2">
        <f>G505*Q505</f>
        <v/>
      </c>
    </row>
    <row r="506">
      <c r="A506" t="n">
        <v>505</v>
      </c>
      <c r="B506" t="inlineStr">
        <is>
          <t>SW-DAMPER-505</t>
        </is>
      </c>
      <c r="C506" t="inlineStr">
        <is>
          <t>VAN GIÓ</t>
        </is>
      </c>
      <c r="D506" t="inlineStr">
        <is>
          <t>Van điều chỉnh lưu lượng VCD - Kích thước 350x300</t>
        </is>
      </c>
      <c r="E506" t="inlineStr">
        <is>
          <t>350x300</t>
        </is>
      </c>
      <c r="F506" t="inlineStr">
        <is>
          <t>Cái</t>
        </is>
      </c>
      <c r="G506" s="2" t="n">
        <v>3</v>
      </c>
      <c r="H506" s="2">
        <f>SUMIF('01_BOC_TACH_ONG'!B:B, B506, '01_BOC_TACH_ONG'!K:K)</f>
        <v/>
      </c>
      <c r="I506" s="2">
        <f>SUMIF('02_BOC_TACH_CUA'!B:B, B506, '02_BOC_TACH_CUA'!K:K)</f>
        <v/>
      </c>
      <c r="J506" s="2">
        <f>SUMIF('03_BOC_TACH_VAN'!B:B, B506, '03_BOC_TACH_VAN'!K:K)</f>
        <v/>
      </c>
      <c r="K506" s="2">
        <f>SUM(H506:J506)</f>
        <v/>
      </c>
      <c r="L506" s="2">
        <f>K506*0.25</f>
        <v/>
      </c>
      <c r="M506" s="2">
        <f>K506*0.10</f>
        <v/>
      </c>
      <c r="N506" s="2">
        <f>K506+L506+M506</f>
        <v/>
      </c>
      <c r="O506" s="2">
        <f>IF(G506&gt;0, N506/G506, 0)</f>
        <v/>
      </c>
      <c r="P506" s="3" t="n">
        <v>0.18</v>
      </c>
      <c r="Q506" s="2">
        <f>O506*(1+P506)</f>
        <v/>
      </c>
      <c r="R506" s="2">
        <f>G506*Q506</f>
        <v/>
      </c>
    </row>
    <row r="507">
      <c r="A507" t="n">
        <v>506</v>
      </c>
      <c r="B507" t="inlineStr">
        <is>
          <t>SW-DAMPER-506</t>
        </is>
      </c>
      <c r="C507" t="inlineStr">
        <is>
          <t>VAN GIÓ</t>
        </is>
      </c>
      <c r="D507" t="inlineStr">
        <is>
          <t>Van điều chỉnh lưu lượng VCD - Kích thước 350x350</t>
        </is>
      </c>
      <c r="E507" t="inlineStr">
        <is>
          <t>350x350</t>
        </is>
      </c>
      <c r="F507" t="inlineStr">
        <is>
          <t>Cái</t>
        </is>
      </c>
      <c r="G507" s="2" t="n">
        <v>1</v>
      </c>
      <c r="H507" s="2">
        <f>SUMIF('01_BOC_TACH_ONG'!B:B, B507, '01_BOC_TACH_ONG'!K:K)</f>
        <v/>
      </c>
      <c r="I507" s="2">
        <f>SUMIF('02_BOC_TACH_CUA'!B:B, B507, '02_BOC_TACH_CUA'!K:K)</f>
        <v/>
      </c>
      <c r="J507" s="2">
        <f>SUMIF('03_BOC_TACH_VAN'!B:B, B507, '03_BOC_TACH_VAN'!K:K)</f>
        <v/>
      </c>
      <c r="K507" s="2">
        <f>SUM(H507:J507)</f>
        <v/>
      </c>
      <c r="L507" s="2">
        <f>K507*0.25</f>
        <v/>
      </c>
      <c r="M507" s="2">
        <f>K507*0.10</f>
        <v/>
      </c>
      <c r="N507" s="2">
        <f>K507+L507+M507</f>
        <v/>
      </c>
      <c r="O507" s="2">
        <f>IF(G507&gt;0, N507/G507, 0)</f>
        <v/>
      </c>
      <c r="P507" s="3" t="n">
        <v>0.18</v>
      </c>
      <c r="Q507" s="2">
        <f>O507*(1+P507)</f>
        <v/>
      </c>
      <c r="R507" s="2">
        <f>G507*Q507</f>
        <v/>
      </c>
    </row>
    <row r="508">
      <c r="A508" t="n">
        <v>507</v>
      </c>
      <c r="B508" t="inlineStr">
        <is>
          <t>SW-DAMPER-507</t>
        </is>
      </c>
      <c r="C508" t="inlineStr">
        <is>
          <t>VAN GIÓ</t>
        </is>
      </c>
      <c r="D508" t="inlineStr">
        <is>
          <t>Van điều chỉnh lưu lượng VCD - Kích thước 400x350</t>
        </is>
      </c>
      <c r="E508" t="inlineStr">
        <is>
          <t>400x350</t>
        </is>
      </c>
      <c r="F508" t="inlineStr">
        <is>
          <t>Cái</t>
        </is>
      </c>
      <c r="G508" s="2" t="n">
        <v>1</v>
      </c>
      <c r="H508" s="2">
        <f>SUMIF('01_BOC_TACH_ONG'!B:B, B508, '01_BOC_TACH_ONG'!K:K)</f>
        <v/>
      </c>
      <c r="I508" s="2">
        <f>SUMIF('02_BOC_TACH_CUA'!B:B, B508, '02_BOC_TACH_CUA'!K:K)</f>
        <v/>
      </c>
      <c r="J508" s="2">
        <f>SUMIF('03_BOC_TACH_VAN'!B:B, B508, '03_BOC_TACH_VAN'!K:K)</f>
        <v/>
      </c>
      <c r="K508" s="2">
        <f>SUM(H508:J508)</f>
        <v/>
      </c>
      <c r="L508" s="2">
        <f>K508*0.25</f>
        <v/>
      </c>
      <c r="M508" s="2">
        <f>K508*0.10</f>
        <v/>
      </c>
      <c r="N508" s="2">
        <f>K508+L508+M508</f>
        <v/>
      </c>
      <c r="O508" s="2">
        <f>IF(G508&gt;0, N508/G508, 0)</f>
        <v/>
      </c>
      <c r="P508" s="3" t="n">
        <v>0.18</v>
      </c>
      <c r="Q508" s="2">
        <f>O508*(1+P508)</f>
        <v/>
      </c>
      <c r="R508" s="2">
        <f>G508*Q508</f>
        <v/>
      </c>
    </row>
    <row r="509">
      <c r="A509" t="n">
        <v>508</v>
      </c>
      <c r="B509" t="inlineStr">
        <is>
          <t>SW-DAMPER-508</t>
        </is>
      </c>
      <c r="C509" t="inlineStr">
        <is>
          <t>VAN GIÓ</t>
        </is>
      </c>
      <c r="D509" t="inlineStr">
        <is>
          <t>Van điều chỉnh lưu lượng VCD - Kích thước 450x200</t>
        </is>
      </c>
      <c r="E509" t="inlineStr">
        <is>
          <t>450x200</t>
        </is>
      </c>
      <c r="F509" t="inlineStr">
        <is>
          <t>Cái</t>
        </is>
      </c>
      <c r="G509" s="2" t="n">
        <v>3</v>
      </c>
      <c r="H509" s="2">
        <f>SUMIF('01_BOC_TACH_ONG'!B:B, B509, '01_BOC_TACH_ONG'!K:K)</f>
        <v/>
      </c>
      <c r="I509" s="2">
        <f>SUMIF('02_BOC_TACH_CUA'!B:B, B509, '02_BOC_TACH_CUA'!K:K)</f>
        <v/>
      </c>
      <c r="J509" s="2">
        <f>SUMIF('03_BOC_TACH_VAN'!B:B, B509, '03_BOC_TACH_VAN'!K:K)</f>
        <v/>
      </c>
      <c r="K509" s="2">
        <f>SUM(H509:J509)</f>
        <v/>
      </c>
      <c r="L509" s="2">
        <f>K509*0.25</f>
        <v/>
      </c>
      <c r="M509" s="2">
        <f>K509*0.10</f>
        <v/>
      </c>
      <c r="N509" s="2">
        <f>K509+L509+M509</f>
        <v/>
      </c>
      <c r="O509" s="2">
        <f>IF(G509&gt;0, N509/G509, 0)</f>
        <v/>
      </c>
      <c r="P509" s="3" t="n">
        <v>0.18</v>
      </c>
      <c r="Q509" s="2">
        <f>O509*(1+P509)</f>
        <v/>
      </c>
      <c r="R509" s="2">
        <f>G509*Q509</f>
        <v/>
      </c>
    </row>
    <row r="510">
      <c r="A510" t="n">
        <v>509</v>
      </c>
      <c r="B510" t="inlineStr">
        <is>
          <t>SW-DAMPER-509</t>
        </is>
      </c>
      <c r="C510" t="inlineStr">
        <is>
          <t>VAN GIÓ</t>
        </is>
      </c>
      <c r="D510" t="inlineStr">
        <is>
          <t>Van điều chỉnh lưu lượng VCD - Kích thước 600x200</t>
        </is>
      </c>
      <c r="E510" t="inlineStr">
        <is>
          <t>600x200</t>
        </is>
      </c>
      <c r="F510" t="inlineStr">
        <is>
          <t>Cái</t>
        </is>
      </c>
      <c r="G510" s="2" t="n">
        <v>2</v>
      </c>
      <c r="H510" s="2">
        <f>SUMIF('01_BOC_TACH_ONG'!B:B, B510, '01_BOC_TACH_ONG'!K:K)</f>
        <v/>
      </c>
      <c r="I510" s="2">
        <f>SUMIF('02_BOC_TACH_CUA'!B:B, B510, '02_BOC_TACH_CUA'!K:K)</f>
        <v/>
      </c>
      <c r="J510" s="2">
        <f>SUMIF('03_BOC_TACH_VAN'!B:B, B510, '03_BOC_TACH_VAN'!K:K)</f>
        <v/>
      </c>
      <c r="K510" s="2">
        <f>SUM(H510:J510)</f>
        <v/>
      </c>
      <c r="L510" s="2">
        <f>K510*0.25</f>
        <v/>
      </c>
      <c r="M510" s="2">
        <f>K510*0.10</f>
        <v/>
      </c>
      <c r="N510" s="2">
        <f>K510+L510+M510</f>
        <v/>
      </c>
      <c r="O510" s="2">
        <f>IF(G510&gt;0, N510/G510, 0)</f>
        <v/>
      </c>
      <c r="P510" s="3" t="n">
        <v>0.18</v>
      </c>
      <c r="Q510" s="2">
        <f>O510*(1+P510)</f>
        <v/>
      </c>
      <c r="R510" s="2">
        <f>G510*Q510</f>
        <v/>
      </c>
    </row>
    <row r="511">
      <c r="A511" t="n">
        <v>510</v>
      </c>
      <c r="B511" t="inlineStr">
        <is>
          <t>SW-DAMPER-510</t>
        </is>
      </c>
      <c r="C511" t="inlineStr">
        <is>
          <t>VAN GIÓ</t>
        </is>
      </c>
      <c r="D511" t="inlineStr">
        <is>
          <t>Van điều chỉnh lưu lượng VCD - Kích thước 600x300</t>
        </is>
      </c>
      <c r="E511" t="inlineStr">
        <is>
          <t>600x300</t>
        </is>
      </c>
      <c r="F511" t="inlineStr">
        <is>
          <t>Cái</t>
        </is>
      </c>
      <c r="G511" s="2" t="n">
        <v>2</v>
      </c>
      <c r="H511" s="2">
        <f>SUMIF('01_BOC_TACH_ONG'!B:B, B511, '01_BOC_TACH_ONG'!K:K)</f>
        <v/>
      </c>
      <c r="I511" s="2">
        <f>SUMIF('02_BOC_TACH_CUA'!B:B, B511, '02_BOC_TACH_CUA'!K:K)</f>
        <v/>
      </c>
      <c r="J511" s="2">
        <f>SUMIF('03_BOC_TACH_VAN'!B:B, B511, '03_BOC_TACH_VAN'!K:K)</f>
        <v/>
      </c>
      <c r="K511" s="2">
        <f>SUM(H511:J511)</f>
        <v/>
      </c>
      <c r="L511" s="2">
        <f>K511*0.25</f>
        <v/>
      </c>
      <c r="M511" s="2">
        <f>K511*0.10</f>
        <v/>
      </c>
      <c r="N511" s="2">
        <f>K511+L511+M511</f>
        <v/>
      </c>
      <c r="O511" s="2">
        <f>IF(G511&gt;0, N511/G511, 0)</f>
        <v/>
      </c>
      <c r="P511" s="3" t="n">
        <v>0.18</v>
      </c>
      <c r="Q511" s="2">
        <f>O511*(1+P511)</f>
        <v/>
      </c>
      <c r="R511" s="2">
        <f>G511*Q511</f>
        <v/>
      </c>
    </row>
    <row r="512">
      <c r="A512" t="n">
        <v>511</v>
      </c>
      <c r="B512" t="inlineStr">
        <is>
          <t>SW-DAMPER-511</t>
        </is>
      </c>
      <c r="C512" t="inlineStr">
        <is>
          <t>VAN GIÓ</t>
        </is>
      </c>
      <c r="D512" t="inlineStr">
        <is>
          <t>Van điều chỉnh lưu lượng VCD - Kích thước 700x400</t>
        </is>
      </c>
      <c r="E512" t="inlineStr">
        <is>
          <t>700x400</t>
        </is>
      </c>
      <c r="F512" t="inlineStr">
        <is>
          <t>Cái</t>
        </is>
      </c>
      <c r="G512" s="2" t="n">
        <v>2</v>
      </c>
      <c r="H512" s="2">
        <f>SUMIF('01_BOC_TACH_ONG'!B:B, B512, '01_BOC_TACH_ONG'!K:K)</f>
        <v/>
      </c>
      <c r="I512" s="2">
        <f>SUMIF('02_BOC_TACH_CUA'!B:B, B512, '02_BOC_TACH_CUA'!K:K)</f>
        <v/>
      </c>
      <c r="J512" s="2">
        <f>SUMIF('03_BOC_TACH_VAN'!B:B, B512, '03_BOC_TACH_VAN'!K:K)</f>
        <v/>
      </c>
      <c r="K512" s="2">
        <f>SUM(H512:J512)</f>
        <v/>
      </c>
      <c r="L512" s="2">
        <f>K512*0.25</f>
        <v/>
      </c>
      <c r="M512" s="2">
        <f>K512*0.10</f>
        <v/>
      </c>
      <c r="N512" s="2">
        <f>K512+L512+M512</f>
        <v/>
      </c>
      <c r="O512" s="2">
        <f>IF(G512&gt;0, N512/G512, 0)</f>
        <v/>
      </c>
      <c r="P512" s="3" t="n">
        <v>0.18</v>
      </c>
      <c r="Q512" s="2">
        <f>O512*(1+P512)</f>
        <v/>
      </c>
      <c r="R512" s="2">
        <f>G512*Q512</f>
        <v/>
      </c>
    </row>
    <row r="513">
      <c r="A513" t="n">
        <v>512</v>
      </c>
      <c r="B513" t="inlineStr">
        <is>
          <t>SW-DAMPER-512</t>
        </is>
      </c>
      <c r="C513" t="inlineStr">
        <is>
          <t>VAN GIÓ</t>
        </is>
      </c>
      <c r="D513" t="inlineStr">
        <is>
          <t>Van điều chỉnh lưu lượng VCD - Kích thước 900x500</t>
        </is>
      </c>
      <c r="E513" t="inlineStr">
        <is>
          <t>900x500</t>
        </is>
      </c>
      <c r="F513" t="inlineStr">
        <is>
          <t>Cái</t>
        </is>
      </c>
      <c r="G513" s="2" t="n">
        <v>3</v>
      </c>
      <c r="H513" s="2">
        <f>SUMIF('01_BOC_TACH_ONG'!B:B, B513, '01_BOC_TACH_ONG'!K:K)</f>
        <v/>
      </c>
      <c r="I513" s="2">
        <f>SUMIF('02_BOC_TACH_CUA'!B:B, B513, '02_BOC_TACH_CUA'!K:K)</f>
        <v/>
      </c>
      <c r="J513" s="2">
        <f>SUMIF('03_BOC_TACH_VAN'!B:B, B513, '03_BOC_TACH_VAN'!K:K)</f>
        <v/>
      </c>
      <c r="K513" s="2">
        <f>SUM(H513:J513)</f>
        <v/>
      </c>
      <c r="L513" s="2">
        <f>K513*0.25</f>
        <v/>
      </c>
      <c r="M513" s="2">
        <f>K513*0.10</f>
        <v/>
      </c>
      <c r="N513" s="2">
        <f>K513+L513+M513</f>
        <v/>
      </c>
      <c r="O513" s="2">
        <f>IF(G513&gt;0, N513/G513, 0)</f>
        <v/>
      </c>
      <c r="P513" s="3" t="n">
        <v>0.18</v>
      </c>
      <c r="Q513" s="2">
        <f>O513*(1+P513)</f>
        <v/>
      </c>
      <c r="R513" s="2">
        <f>G513*Q513</f>
        <v/>
      </c>
    </row>
    <row r="514">
      <c r="A514" t="n">
        <v>513</v>
      </c>
      <c r="B514" t="inlineStr">
        <is>
          <t>SW-DAMPER-513</t>
        </is>
      </c>
      <c r="C514" t="inlineStr">
        <is>
          <t>VAN GIÓ</t>
        </is>
      </c>
      <c r="D514" t="inlineStr">
        <is>
          <t>Van điều chỉnh lưu lượng VCD - Kích thước 1100x550</t>
        </is>
      </c>
      <c r="E514" t="inlineStr">
        <is>
          <t>1100x550</t>
        </is>
      </c>
      <c r="F514" t="inlineStr">
        <is>
          <t>Cái</t>
        </is>
      </c>
      <c r="G514" s="2" t="n">
        <v>2</v>
      </c>
      <c r="H514" s="2">
        <f>SUMIF('01_BOC_TACH_ONG'!B:B, B514, '01_BOC_TACH_ONG'!K:K)</f>
        <v/>
      </c>
      <c r="I514" s="2">
        <f>SUMIF('02_BOC_TACH_CUA'!B:B, B514, '02_BOC_TACH_CUA'!K:K)</f>
        <v/>
      </c>
      <c r="J514" s="2">
        <f>SUMIF('03_BOC_TACH_VAN'!B:B, B514, '03_BOC_TACH_VAN'!K:K)</f>
        <v/>
      </c>
      <c r="K514" s="2">
        <f>SUM(H514:J514)</f>
        <v/>
      </c>
      <c r="L514" s="2">
        <f>K514*0.25</f>
        <v/>
      </c>
      <c r="M514" s="2">
        <f>K514*0.10</f>
        <v/>
      </c>
      <c r="N514" s="2">
        <f>K514+L514+M514</f>
        <v/>
      </c>
      <c r="O514" s="2">
        <f>IF(G514&gt;0, N514/G514, 0)</f>
        <v/>
      </c>
      <c r="P514" s="3" t="n">
        <v>0.18</v>
      </c>
      <c r="Q514" s="2">
        <f>O514*(1+P514)</f>
        <v/>
      </c>
      <c r="R514" s="2">
        <f>G514*Q514</f>
        <v/>
      </c>
    </row>
    <row r="515">
      <c r="A515" t="n">
        <v>514</v>
      </c>
      <c r="B515" t="inlineStr">
        <is>
          <t>SW-DAMPER-514</t>
        </is>
      </c>
      <c r="C515" t="inlineStr">
        <is>
          <t>VAN GIÓ</t>
        </is>
      </c>
      <c r="D515" t="inlineStr">
        <is>
          <t>Van điều chỉnh lưu lượng VCD - Kích thước 1200x550</t>
        </is>
      </c>
      <c r="E515" t="inlineStr">
        <is>
          <t>1200x550</t>
        </is>
      </c>
      <c r="F515" t="inlineStr">
        <is>
          <t>Cái</t>
        </is>
      </c>
      <c r="G515" s="2" t="n">
        <v>1</v>
      </c>
      <c r="H515" s="2">
        <f>SUMIF('01_BOC_TACH_ONG'!B:B, B515, '01_BOC_TACH_ONG'!K:K)</f>
        <v/>
      </c>
      <c r="I515" s="2">
        <f>SUMIF('02_BOC_TACH_CUA'!B:B, B515, '02_BOC_TACH_CUA'!K:K)</f>
        <v/>
      </c>
      <c r="J515" s="2">
        <f>SUMIF('03_BOC_TACH_VAN'!B:B, B515, '03_BOC_TACH_VAN'!K:K)</f>
        <v/>
      </c>
      <c r="K515" s="2">
        <f>SUM(H515:J515)</f>
        <v/>
      </c>
      <c r="L515" s="2">
        <f>K515*0.25</f>
        <v/>
      </c>
      <c r="M515" s="2">
        <f>K515*0.10</f>
        <v/>
      </c>
      <c r="N515" s="2">
        <f>K515+L515+M515</f>
        <v/>
      </c>
      <c r="O515" s="2">
        <f>IF(G515&gt;0, N515/G515, 0)</f>
        <v/>
      </c>
      <c r="P515" s="3" t="n">
        <v>0.18</v>
      </c>
      <c r="Q515" s="2">
        <f>O515*(1+P515)</f>
        <v/>
      </c>
      <c r="R515" s="2">
        <f>G515*Q515</f>
        <v/>
      </c>
    </row>
    <row r="516">
      <c r="A516" t="n">
        <v>515</v>
      </c>
      <c r="B516" t="inlineStr">
        <is>
          <t>SW-DAMPER-515</t>
        </is>
      </c>
      <c r="C516" t="inlineStr">
        <is>
          <t>VAN GIÓ</t>
        </is>
      </c>
      <c r="D516" t="inlineStr">
        <is>
          <t>Van điều chỉnh lưu lượng VCD - Kích thước 1250x600</t>
        </is>
      </c>
      <c r="E516" t="inlineStr">
        <is>
          <t>1250x600</t>
        </is>
      </c>
      <c r="F516" t="inlineStr">
        <is>
          <t>Cái</t>
        </is>
      </c>
      <c r="G516" s="2" t="n">
        <v>2</v>
      </c>
      <c r="H516" s="2">
        <f>SUMIF('01_BOC_TACH_ONG'!B:B, B516, '01_BOC_TACH_ONG'!K:K)</f>
        <v/>
      </c>
      <c r="I516" s="2">
        <f>SUMIF('02_BOC_TACH_CUA'!B:B, B516, '02_BOC_TACH_CUA'!K:K)</f>
        <v/>
      </c>
      <c r="J516" s="2">
        <f>SUMIF('03_BOC_TACH_VAN'!B:B, B516, '03_BOC_TACH_VAN'!K:K)</f>
        <v/>
      </c>
      <c r="K516" s="2">
        <f>SUM(H516:J516)</f>
        <v/>
      </c>
      <c r="L516" s="2">
        <f>K516*0.25</f>
        <v/>
      </c>
      <c r="M516" s="2">
        <f>K516*0.10</f>
        <v/>
      </c>
      <c r="N516" s="2">
        <f>K516+L516+M516</f>
        <v/>
      </c>
      <c r="O516" s="2">
        <f>IF(G516&gt;0, N516/G516, 0)</f>
        <v/>
      </c>
      <c r="P516" s="3" t="n">
        <v>0.18</v>
      </c>
      <c r="Q516" s="2">
        <f>O516*(1+P516)</f>
        <v/>
      </c>
      <c r="R516" s="2">
        <f>G516*Q516</f>
        <v/>
      </c>
    </row>
    <row r="517">
      <c r="A517" t="n">
        <v>516</v>
      </c>
      <c r="B517" t="inlineStr">
        <is>
          <t>SW-DAMPER-516</t>
        </is>
      </c>
      <c r="C517" t="inlineStr">
        <is>
          <t>VAN GIÓ</t>
        </is>
      </c>
      <c r="D517" t="inlineStr">
        <is>
          <t>Van điều chỉnh lưu lượng VCD - Kích thước 1300x650</t>
        </is>
      </c>
      <c r="E517" t="inlineStr">
        <is>
          <t>1300x650</t>
        </is>
      </c>
      <c r="F517" t="inlineStr">
        <is>
          <t>Cái</t>
        </is>
      </c>
      <c r="G517" s="2" t="n">
        <v>1</v>
      </c>
      <c r="H517" s="2">
        <f>SUMIF('01_BOC_TACH_ONG'!B:B, B517, '01_BOC_TACH_ONG'!K:K)</f>
        <v/>
      </c>
      <c r="I517" s="2">
        <f>SUMIF('02_BOC_TACH_CUA'!B:B, B517, '02_BOC_TACH_CUA'!K:K)</f>
        <v/>
      </c>
      <c r="J517" s="2">
        <f>SUMIF('03_BOC_TACH_VAN'!B:B, B517, '03_BOC_TACH_VAN'!K:K)</f>
        <v/>
      </c>
      <c r="K517" s="2">
        <f>SUM(H517:J517)</f>
        <v/>
      </c>
      <c r="L517" s="2">
        <f>K517*0.25</f>
        <v/>
      </c>
      <c r="M517" s="2">
        <f>K517*0.10</f>
        <v/>
      </c>
      <c r="N517" s="2">
        <f>K517+L517+M517</f>
        <v/>
      </c>
      <c r="O517" s="2">
        <f>IF(G517&gt;0, N517/G517, 0)</f>
        <v/>
      </c>
      <c r="P517" s="3" t="n">
        <v>0.18</v>
      </c>
      <c r="Q517" s="2">
        <f>O517*(1+P517)</f>
        <v/>
      </c>
      <c r="R517" s="2">
        <f>G517*Q517</f>
        <v/>
      </c>
    </row>
    <row r="518">
      <c r="A518" t="n">
        <v>517</v>
      </c>
      <c r="B518" t="inlineStr">
        <is>
          <t>SW-DAMPER-517</t>
        </is>
      </c>
      <c r="C518" t="inlineStr">
        <is>
          <t>VAN GIÓ</t>
        </is>
      </c>
      <c r="D518" t="inlineStr">
        <is>
          <t>Van chặn lửa FD EI45 - Kích thước 300x200</t>
        </is>
      </c>
      <c r="E518" t="inlineStr">
        <is>
          <t>300x200</t>
        </is>
      </c>
      <c r="F518" t="inlineStr">
        <is>
          <t>Cái</t>
        </is>
      </c>
      <c r="G518" s="2" t="n">
        <v>12</v>
      </c>
      <c r="H518" s="2">
        <f>SUMIF('01_BOC_TACH_ONG'!B:B, B518, '01_BOC_TACH_ONG'!K:K)</f>
        <v/>
      </c>
      <c r="I518" s="2">
        <f>SUMIF('02_BOC_TACH_CUA'!B:B, B518, '02_BOC_TACH_CUA'!K:K)</f>
        <v/>
      </c>
      <c r="J518" s="2">
        <f>SUMIF('03_BOC_TACH_VAN'!B:B, B518, '03_BOC_TACH_VAN'!K:K)</f>
        <v/>
      </c>
      <c r="K518" s="2">
        <f>SUM(H518:J518)</f>
        <v/>
      </c>
      <c r="L518" s="2">
        <f>K518*0.25</f>
        <v/>
      </c>
      <c r="M518" s="2">
        <f>K518*0.10</f>
        <v/>
      </c>
      <c r="N518" s="2">
        <f>K518+L518+M518</f>
        <v/>
      </c>
      <c r="O518" s="2">
        <f>IF(G518&gt;0, N518/G518, 0)</f>
        <v/>
      </c>
      <c r="P518" s="3" t="n">
        <v>0.18</v>
      </c>
      <c r="Q518" s="2">
        <f>O518*(1+P518)</f>
        <v/>
      </c>
      <c r="R518" s="2">
        <f>G518*Q518</f>
        <v/>
      </c>
    </row>
    <row r="519">
      <c r="A519" t="n">
        <v>518</v>
      </c>
      <c r="B519" t="inlineStr">
        <is>
          <t>SW-DAMPER-518</t>
        </is>
      </c>
      <c r="C519" t="inlineStr">
        <is>
          <t>VAN GIÓ</t>
        </is>
      </c>
      <c r="D519" t="inlineStr">
        <is>
          <t>Van chặn lửa FD EI45 - Kích thước 350x300</t>
        </is>
      </c>
      <c r="E519" t="inlineStr">
        <is>
          <t>350x300</t>
        </is>
      </c>
      <c r="F519" t="inlineStr">
        <is>
          <t>Cái</t>
        </is>
      </c>
      <c r="G519" s="2" t="n">
        <v>3</v>
      </c>
      <c r="H519" s="2">
        <f>SUMIF('01_BOC_TACH_ONG'!B:B, B519, '01_BOC_TACH_ONG'!K:K)</f>
        <v/>
      </c>
      <c r="I519" s="2">
        <f>SUMIF('02_BOC_TACH_CUA'!B:B, B519, '02_BOC_TACH_CUA'!K:K)</f>
        <v/>
      </c>
      <c r="J519" s="2">
        <f>SUMIF('03_BOC_TACH_VAN'!B:B, B519, '03_BOC_TACH_VAN'!K:K)</f>
        <v/>
      </c>
      <c r="K519" s="2">
        <f>SUM(H519:J519)</f>
        <v/>
      </c>
      <c r="L519" s="2">
        <f>K519*0.25</f>
        <v/>
      </c>
      <c r="M519" s="2">
        <f>K519*0.10</f>
        <v/>
      </c>
      <c r="N519" s="2">
        <f>K519+L519+M519</f>
        <v/>
      </c>
      <c r="O519" s="2">
        <f>IF(G519&gt;0, N519/G519, 0)</f>
        <v/>
      </c>
      <c r="P519" s="3" t="n">
        <v>0.18</v>
      </c>
      <c r="Q519" s="2">
        <f>O519*(1+P519)</f>
        <v/>
      </c>
      <c r="R519" s="2">
        <f>G519*Q519</f>
        <v/>
      </c>
    </row>
    <row r="520">
      <c r="A520" t="n">
        <v>519</v>
      </c>
      <c r="B520" t="inlineStr">
        <is>
          <t>SW-DAMPER-519</t>
        </is>
      </c>
      <c r="C520" t="inlineStr">
        <is>
          <t>VAN GIÓ</t>
        </is>
      </c>
      <c r="D520" t="inlineStr">
        <is>
          <t>Van chặn lửa FD EI45 - Kích thước 350x350</t>
        </is>
      </c>
      <c r="E520" t="inlineStr">
        <is>
          <t>350x350</t>
        </is>
      </c>
      <c r="F520" t="inlineStr">
        <is>
          <t>Cái</t>
        </is>
      </c>
      <c r="G520" s="2" t="n">
        <v>1</v>
      </c>
      <c r="H520" s="2">
        <f>SUMIF('01_BOC_TACH_ONG'!B:B, B520, '01_BOC_TACH_ONG'!K:K)</f>
        <v/>
      </c>
      <c r="I520" s="2">
        <f>SUMIF('02_BOC_TACH_CUA'!B:B, B520, '02_BOC_TACH_CUA'!K:K)</f>
        <v/>
      </c>
      <c r="J520" s="2">
        <f>SUMIF('03_BOC_TACH_VAN'!B:B, B520, '03_BOC_TACH_VAN'!K:K)</f>
        <v/>
      </c>
      <c r="K520" s="2">
        <f>SUM(H520:J520)</f>
        <v/>
      </c>
      <c r="L520" s="2">
        <f>K520*0.25</f>
        <v/>
      </c>
      <c r="M520" s="2">
        <f>K520*0.10</f>
        <v/>
      </c>
      <c r="N520" s="2">
        <f>K520+L520+M520</f>
        <v/>
      </c>
      <c r="O520" s="2">
        <f>IF(G520&gt;0, N520/G520, 0)</f>
        <v/>
      </c>
      <c r="P520" s="3" t="n">
        <v>0.18</v>
      </c>
      <c r="Q520" s="2">
        <f>O520*(1+P520)</f>
        <v/>
      </c>
      <c r="R520" s="2">
        <f>G520*Q520</f>
        <v/>
      </c>
    </row>
    <row r="521">
      <c r="A521" t="n">
        <v>520</v>
      </c>
      <c r="B521" t="inlineStr">
        <is>
          <t>SW-DAMPER-520</t>
        </is>
      </c>
      <c r="C521" t="inlineStr">
        <is>
          <t>VAN GIÓ</t>
        </is>
      </c>
      <c r="D521" t="inlineStr">
        <is>
          <t>Van chặn lửa FD EI45 - Kích thước 400x350</t>
        </is>
      </c>
      <c r="E521" t="inlineStr">
        <is>
          <t>400x300</t>
        </is>
      </c>
      <c r="F521" t="inlineStr">
        <is>
          <t>Cái</t>
        </is>
      </c>
      <c r="G521" s="2" t="n">
        <v>3</v>
      </c>
      <c r="H521" s="2">
        <f>SUMIF('01_BOC_TACH_ONG'!B:B, B521, '01_BOC_TACH_ONG'!K:K)</f>
        <v/>
      </c>
      <c r="I521" s="2">
        <f>SUMIF('02_BOC_TACH_CUA'!B:B, B521, '02_BOC_TACH_CUA'!K:K)</f>
        <v/>
      </c>
      <c r="J521" s="2">
        <f>SUMIF('03_BOC_TACH_VAN'!B:B, B521, '03_BOC_TACH_VAN'!K:K)</f>
        <v/>
      </c>
      <c r="K521" s="2">
        <f>SUM(H521:J521)</f>
        <v/>
      </c>
      <c r="L521" s="2">
        <f>K521*0.25</f>
        <v/>
      </c>
      <c r="M521" s="2">
        <f>K521*0.10</f>
        <v/>
      </c>
      <c r="N521" s="2">
        <f>K521+L521+M521</f>
        <v/>
      </c>
      <c r="O521" s="2">
        <f>IF(G521&gt;0, N521/G521, 0)</f>
        <v/>
      </c>
      <c r="P521" s="3" t="n">
        <v>0.18</v>
      </c>
      <c r="Q521" s="2">
        <f>O521*(1+P521)</f>
        <v/>
      </c>
      <c r="R521" s="2">
        <f>G521*Q521</f>
        <v/>
      </c>
    </row>
    <row r="522">
      <c r="A522" t="n">
        <v>521</v>
      </c>
      <c r="B522" t="inlineStr">
        <is>
          <t>SW-DAMPER-521</t>
        </is>
      </c>
      <c r="C522" t="inlineStr">
        <is>
          <t>VAN GIÓ</t>
        </is>
      </c>
      <c r="D522" t="inlineStr">
        <is>
          <t>Van chặn lửa FD EI45 - Kích thước 450x200</t>
        </is>
      </c>
      <c r="E522" t="inlineStr">
        <is>
          <t>450x200</t>
        </is>
      </c>
      <c r="F522" t="inlineStr">
        <is>
          <t>Cái</t>
        </is>
      </c>
      <c r="G522" s="2" t="n">
        <v>3</v>
      </c>
      <c r="H522" s="2">
        <f>SUMIF('01_BOC_TACH_ONG'!B:B, B522, '01_BOC_TACH_ONG'!K:K)</f>
        <v/>
      </c>
      <c r="I522" s="2">
        <f>SUMIF('02_BOC_TACH_CUA'!B:B, B522, '02_BOC_TACH_CUA'!K:K)</f>
        <v/>
      </c>
      <c r="J522" s="2">
        <f>SUMIF('03_BOC_TACH_VAN'!B:B, B522, '03_BOC_TACH_VAN'!K:K)</f>
        <v/>
      </c>
      <c r="K522" s="2">
        <f>SUM(H522:J522)</f>
        <v/>
      </c>
      <c r="L522" s="2">
        <f>K522*0.25</f>
        <v/>
      </c>
      <c r="M522" s="2">
        <f>K522*0.10</f>
        <v/>
      </c>
      <c r="N522" s="2">
        <f>K522+L522+M522</f>
        <v/>
      </c>
      <c r="O522" s="2">
        <f>IF(G522&gt;0, N522/G522, 0)</f>
        <v/>
      </c>
      <c r="P522" s="3" t="n">
        <v>0.18</v>
      </c>
      <c r="Q522" s="2">
        <f>O522*(1+P522)</f>
        <v/>
      </c>
      <c r="R522" s="2">
        <f>G522*Q522</f>
        <v/>
      </c>
    </row>
    <row r="523">
      <c r="A523" t="n">
        <v>522</v>
      </c>
      <c r="B523" t="inlineStr">
        <is>
          <t>SW-DAMPER-522</t>
        </is>
      </c>
      <c r="C523" t="inlineStr">
        <is>
          <t>VAN GIÓ</t>
        </is>
      </c>
      <c r="D523" t="inlineStr">
        <is>
          <t>Van chặn lửa FD EI45 - Kích thước 600x200</t>
        </is>
      </c>
      <c r="E523" t="inlineStr">
        <is>
          <t>600x200</t>
        </is>
      </c>
      <c r="F523" t="inlineStr">
        <is>
          <t>Cái</t>
        </is>
      </c>
      <c r="G523" s="2" t="n">
        <v>2</v>
      </c>
      <c r="H523" s="2">
        <f>SUMIF('01_BOC_TACH_ONG'!B:B, B523, '01_BOC_TACH_ONG'!K:K)</f>
        <v/>
      </c>
      <c r="I523" s="2">
        <f>SUMIF('02_BOC_TACH_CUA'!B:B, B523, '02_BOC_TACH_CUA'!K:K)</f>
        <v/>
      </c>
      <c r="J523" s="2">
        <f>SUMIF('03_BOC_TACH_VAN'!B:B, B523, '03_BOC_TACH_VAN'!K:K)</f>
        <v/>
      </c>
      <c r="K523" s="2">
        <f>SUM(H523:J523)</f>
        <v/>
      </c>
      <c r="L523" s="2">
        <f>K523*0.25</f>
        <v/>
      </c>
      <c r="M523" s="2">
        <f>K523*0.10</f>
        <v/>
      </c>
      <c r="N523" s="2">
        <f>K523+L523+M523</f>
        <v/>
      </c>
      <c r="O523" s="2">
        <f>IF(G523&gt;0, N523/G523, 0)</f>
        <v/>
      </c>
      <c r="P523" s="3" t="n">
        <v>0.18</v>
      </c>
      <c r="Q523" s="2">
        <f>O523*(1+P523)</f>
        <v/>
      </c>
      <c r="R523" s="2">
        <f>G523*Q523</f>
        <v/>
      </c>
    </row>
    <row r="524">
      <c r="A524" t="n">
        <v>523</v>
      </c>
      <c r="B524" t="inlineStr">
        <is>
          <t>SW-DAMPER-523</t>
        </is>
      </c>
      <c r="C524" t="inlineStr">
        <is>
          <t>VAN GIÓ</t>
        </is>
      </c>
      <c r="D524" t="inlineStr">
        <is>
          <t>Van chặn lửa FD EI45 - Kích thước 600x300</t>
        </is>
      </c>
      <c r="E524" t="inlineStr">
        <is>
          <t>600x300</t>
        </is>
      </c>
      <c r="F524" t="inlineStr">
        <is>
          <t>Cái</t>
        </is>
      </c>
      <c r="G524" s="2" t="n">
        <v>2</v>
      </c>
      <c r="H524" s="2">
        <f>SUMIF('01_BOC_TACH_ONG'!B:B, B524, '01_BOC_TACH_ONG'!K:K)</f>
        <v/>
      </c>
      <c r="I524" s="2">
        <f>SUMIF('02_BOC_TACH_CUA'!B:B, B524, '02_BOC_TACH_CUA'!K:K)</f>
        <v/>
      </c>
      <c r="J524" s="2">
        <f>SUMIF('03_BOC_TACH_VAN'!B:B, B524, '03_BOC_TACH_VAN'!K:K)</f>
        <v/>
      </c>
      <c r="K524" s="2">
        <f>SUM(H524:J524)</f>
        <v/>
      </c>
      <c r="L524" s="2">
        <f>K524*0.25</f>
        <v/>
      </c>
      <c r="M524" s="2">
        <f>K524*0.10</f>
        <v/>
      </c>
      <c r="N524" s="2">
        <f>K524+L524+M524</f>
        <v/>
      </c>
      <c r="O524" s="2">
        <f>IF(G524&gt;0, N524/G524, 0)</f>
        <v/>
      </c>
      <c r="P524" s="3" t="n">
        <v>0.18</v>
      </c>
      <c r="Q524" s="2">
        <f>O524*(1+P524)</f>
        <v/>
      </c>
      <c r="R524" s="2">
        <f>G524*Q524</f>
        <v/>
      </c>
    </row>
    <row r="525">
      <c r="A525" t="n">
        <v>524</v>
      </c>
      <c r="B525" t="inlineStr">
        <is>
          <t>SW-DAMPER-524</t>
        </is>
      </c>
      <c r="C525" t="inlineStr">
        <is>
          <t>VAN GIÓ</t>
        </is>
      </c>
      <c r="D525" t="inlineStr">
        <is>
          <t>Van chặn lửa FD EI45 - Kích thước 750x450</t>
        </is>
      </c>
      <c r="E525" t="inlineStr">
        <is>
          <t>750x450</t>
        </is>
      </c>
      <c r="F525" t="inlineStr">
        <is>
          <t>Cái</t>
        </is>
      </c>
      <c r="G525" s="2" t="n">
        <v>4</v>
      </c>
      <c r="H525" s="2">
        <f>SUMIF('01_BOC_TACH_ONG'!B:B, B525, '01_BOC_TACH_ONG'!K:K)</f>
        <v/>
      </c>
      <c r="I525" s="2">
        <f>SUMIF('02_BOC_TACH_CUA'!B:B, B525, '02_BOC_TACH_CUA'!K:K)</f>
        <v/>
      </c>
      <c r="J525" s="2">
        <f>SUMIF('03_BOC_TACH_VAN'!B:B, B525, '03_BOC_TACH_VAN'!K:K)</f>
        <v/>
      </c>
      <c r="K525" s="2">
        <f>SUM(H525:J525)</f>
        <v/>
      </c>
      <c r="L525" s="2">
        <f>K525*0.25</f>
        <v/>
      </c>
      <c r="M525" s="2">
        <f>K525*0.10</f>
        <v/>
      </c>
      <c r="N525" s="2">
        <f>K525+L525+M525</f>
        <v/>
      </c>
      <c r="O525" s="2">
        <f>IF(G525&gt;0, N525/G525, 0)</f>
        <v/>
      </c>
      <c r="P525" s="3" t="n">
        <v>0.18</v>
      </c>
      <c r="Q525" s="2">
        <f>O525*(1+P525)</f>
        <v/>
      </c>
      <c r="R525" s="2">
        <f>G525*Q525</f>
        <v/>
      </c>
    </row>
    <row r="526">
      <c r="A526" t="n">
        <v>525</v>
      </c>
      <c r="B526" t="inlineStr">
        <is>
          <t>SW-DAMPER-525</t>
        </is>
      </c>
      <c r="C526" t="inlineStr">
        <is>
          <t>VAN GIÓ</t>
        </is>
      </c>
      <c r="D526" t="inlineStr">
        <is>
          <t>Van chặn lửa FD EI45 - Kích thước 900x500</t>
        </is>
      </c>
      <c r="E526" t="inlineStr">
        <is>
          <t>900x500</t>
        </is>
      </c>
      <c r="F526" t="inlineStr">
        <is>
          <t>Cái</t>
        </is>
      </c>
      <c r="G526" s="2" t="n">
        <v>4</v>
      </c>
      <c r="H526" s="2">
        <f>SUMIF('01_BOC_TACH_ONG'!B:B, B526, '01_BOC_TACH_ONG'!K:K)</f>
        <v/>
      </c>
      <c r="I526" s="2">
        <f>SUMIF('02_BOC_TACH_CUA'!B:B, B526, '02_BOC_TACH_CUA'!K:K)</f>
        <v/>
      </c>
      <c r="J526" s="2">
        <f>SUMIF('03_BOC_TACH_VAN'!B:B, B526, '03_BOC_TACH_VAN'!K:K)</f>
        <v/>
      </c>
      <c r="K526" s="2">
        <f>SUM(H526:J526)</f>
        <v/>
      </c>
      <c r="L526" s="2">
        <f>K526*0.25</f>
        <v/>
      </c>
      <c r="M526" s="2">
        <f>K526*0.10</f>
        <v/>
      </c>
      <c r="N526" s="2">
        <f>K526+L526+M526</f>
        <v/>
      </c>
      <c r="O526" s="2">
        <f>IF(G526&gt;0, N526/G526, 0)</f>
        <v/>
      </c>
      <c r="P526" s="3" t="n">
        <v>0.18</v>
      </c>
      <c r="Q526" s="2">
        <f>O526*(1+P526)</f>
        <v/>
      </c>
      <c r="R526" s="2">
        <f>G526*Q526</f>
        <v/>
      </c>
    </row>
    <row r="527">
      <c r="A527" t="n">
        <v>526</v>
      </c>
      <c r="B527" t="inlineStr">
        <is>
          <t>SW-DAMPER-526</t>
        </is>
      </c>
      <c r="C527" t="inlineStr">
        <is>
          <t>VAN GIÓ</t>
        </is>
      </c>
      <c r="D527" t="inlineStr">
        <is>
          <t>Van chặn lửa FD EI45 - Kích thước 1700x750</t>
        </is>
      </c>
      <c r="E527" t="inlineStr">
        <is>
          <t>1700x750</t>
        </is>
      </c>
      <c r="F527" t="inlineStr">
        <is>
          <t>Cái</t>
        </is>
      </c>
      <c r="G527" s="2" t="n">
        <v>2</v>
      </c>
      <c r="H527" s="2">
        <f>SUMIF('01_BOC_TACH_ONG'!B:B, B527, '01_BOC_TACH_ONG'!K:K)</f>
        <v/>
      </c>
      <c r="I527" s="2">
        <f>SUMIF('02_BOC_TACH_CUA'!B:B, B527, '02_BOC_TACH_CUA'!K:K)</f>
        <v/>
      </c>
      <c r="J527" s="2">
        <f>SUMIF('03_BOC_TACH_VAN'!B:B, B527, '03_BOC_TACH_VAN'!K:K)</f>
        <v/>
      </c>
      <c r="K527" s="2">
        <f>SUM(H527:J527)</f>
        <v/>
      </c>
      <c r="L527" s="2">
        <f>K527*0.25</f>
        <v/>
      </c>
      <c r="M527" s="2">
        <f>K527*0.10</f>
        <v/>
      </c>
      <c r="N527" s="2">
        <f>K527+L527+M527</f>
        <v/>
      </c>
      <c r="O527" s="2">
        <f>IF(G527&gt;0, N527/G527, 0)</f>
        <v/>
      </c>
      <c r="P527" s="3" t="n">
        <v>0.18</v>
      </c>
      <c r="Q527" s="2">
        <f>O527*(1+P527)</f>
        <v/>
      </c>
      <c r="R527" s="2">
        <f>G527*Q527</f>
        <v/>
      </c>
    </row>
    <row r="528">
      <c r="A528" t="n">
        <v>527</v>
      </c>
      <c r="B528" t="inlineStr">
        <is>
          <t>SW-DAMPER-527</t>
        </is>
      </c>
      <c r="C528" t="inlineStr">
        <is>
          <t>VAN GIÓ</t>
        </is>
      </c>
      <c r="D528" t="inlineStr">
        <is>
          <t>Van chặn lửa FD EI45 - Kích thước 2000x1000</t>
        </is>
      </c>
      <c r="E528" t="inlineStr">
        <is>
          <t>2000x1000</t>
        </is>
      </c>
      <c r="F528" t="inlineStr">
        <is>
          <t>Cái</t>
        </is>
      </c>
      <c r="G528" s="2" t="n">
        <v>4</v>
      </c>
      <c r="H528" s="2">
        <f>SUMIF('01_BOC_TACH_ONG'!B:B, B528, '01_BOC_TACH_ONG'!K:K)</f>
        <v/>
      </c>
      <c r="I528" s="2">
        <f>SUMIF('02_BOC_TACH_CUA'!B:B, B528, '02_BOC_TACH_CUA'!K:K)</f>
        <v/>
      </c>
      <c r="J528" s="2">
        <f>SUMIF('03_BOC_TACH_VAN'!B:B, B528, '03_BOC_TACH_VAN'!K:K)</f>
        <v/>
      </c>
      <c r="K528" s="2">
        <f>SUM(H528:J528)</f>
        <v/>
      </c>
      <c r="L528" s="2">
        <f>K528*0.25</f>
        <v/>
      </c>
      <c r="M528" s="2">
        <f>K528*0.10</f>
        <v/>
      </c>
      <c r="N528" s="2">
        <f>K528+L528+M528</f>
        <v/>
      </c>
      <c r="O528" s="2">
        <f>IF(G528&gt;0, N528/G528, 0)</f>
        <v/>
      </c>
      <c r="P528" s="3" t="n">
        <v>0.18</v>
      </c>
      <c r="Q528" s="2">
        <f>O528*(1+P528)</f>
        <v/>
      </c>
      <c r="R528" s="2">
        <f>G528*Q528</f>
        <v/>
      </c>
    </row>
    <row r="529">
      <c r="A529" t="n">
        <v>528</v>
      </c>
      <c r="B529" t="inlineStr">
        <is>
          <t>SW-DAMPER-528</t>
        </is>
      </c>
      <c r="C529" t="inlineStr">
        <is>
          <t>VAN GIÓ</t>
        </is>
      </c>
      <c r="D529" t="inlineStr">
        <is>
          <t>Van gió MD - Kích thước 300x300</t>
        </is>
      </c>
      <c r="E529" t="inlineStr">
        <is>
          <t>300x300</t>
        </is>
      </c>
      <c r="F529" t="inlineStr">
        <is>
          <t>Cái</t>
        </is>
      </c>
      <c r="G529" s="2" t="n">
        <v>1</v>
      </c>
      <c r="H529" s="2">
        <f>SUMIF('01_BOC_TACH_ONG'!B:B, B529, '01_BOC_TACH_ONG'!K:K)</f>
        <v/>
      </c>
      <c r="I529" s="2">
        <f>SUMIF('02_BOC_TACH_CUA'!B:B, B529, '02_BOC_TACH_CUA'!K:K)</f>
        <v/>
      </c>
      <c r="J529" s="2">
        <f>SUMIF('03_BOC_TACH_VAN'!B:B, B529, '03_BOC_TACH_VAN'!K:K)</f>
        <v/>
      </c>
      <c r="K529" s="2">
        <f>SUM(H529:J529)</f>
        <v/>
      </c>
      <c r="L529" s="2">
        <f>K529*0.25</f>
        <v/>
      </c>
      <c r="M529" s="2">
        <f>K529*0.10</f>
        <v/>
      </c>
      <c r="N529" s="2">
        <f>K529+L529+M529</f>
        <v/>
      </c>
      <c r="O529" s="2">
        <f>IF(G529&gt;0, N529/G529, 0)</f>
        <v/>
      </c>
      <c r="P529" s="3" t="n">
        <v>0.18</v>
      </c>
      <c r="Q529" s="2">
        <f>O529*(1+P529)</f>
        <v/>
      </c>
      <c r="R529" s="2">
        <f>G529*Q529</f>
        <v/>
      </c>
    </row>
    <row r="530">
      <c r="A530" t="n">
        <v>529</v>
      </c>
      <c r="B530" t="inlineStr">
        <is>
          <t>SW-DAMPER-529</t>
        </is>
      </c>
      <c r="C530" t="inlineStr">
        <is>
          <t>VAN GIÓ</t>
        </is>
      </c>
      <c r="D530" t="inlineStr">
        <is>
          <t>Van gió MD - Kích thước 500x400</t>
        </is>
      </c>
      <c r="E530" t="inlineStr">
        <is>
          <t>500x400</t>
        </is>
      </c>
      <c r="F530" t="inlineStr">
        <is>
          <t>Cái</t>
        </is>
      </c>
      <c r="G530" s="2" t="n">
        <v>1</v>
      </c>
      <c r="H530" s="2">
        <f>SUMIF('01_BOC_TACH_ONG'!B:B, B530, '01_BOC_TACH_ONG'!K:K)</f>
        <v/>
      </c>
      <c r="I530" s="2">
        <f>SUMIF('02_BOC_TACH_CUA'!B:B, B530, '02_BOC_TACH_CUA'!K:K)</f>
        <v/>
      </c>
      <c r="J530" s="2">
        <f>SUMIF('03_BOC_TACH_VAN'!B:B, B530, '03_BOC_TACH_VAN'!K:K)</f>
        <v/>
      </c>
      <c r="K530" s="2">
        <f>SUM(H530:J530)</f>
        <v/>
      </c>
      <c r="L530" s="2">
        <f>K530*0.25</f>
        <v/>
      </c>
      <c r="M530" s="2">
        <f>K530*0.10</f>
        <v/>
      </c>
      <c r="N530" s="2">
        <f>K530+L530+M530</f>
        <v/>
      </c>
      <c r="O530" s="2">
        <f>IF(G530&gt;0, N530/G530, 0)</f>
        <v/>
      </c>
      <c r="P530" s="3" t="n">
        <v>0.18</v>
      </c>
      <c r="Q530" s="2">
        <f>O530*(1+P530)</f>
        <v/>
      </c>
      <c r="R530" s="2">
        <f>G530*Q530</f>
        <v/>
      </c>
    </row>
    <row r="531">
      <c r="A531" t="n">
        <v>530</v>
      </c>
      <c r="B531" t="inlineStr">
        <is>
          <t>SW-DAMPER-530</t>
        </is>
      </c>
      <c r="C531" t="inlineStr">
        <is>
          <t>VAN GIÓ</t>
        </is>
      </c>
      <c r="D531" t="inlineStr">
        <is>
          <t>Van gió MD - Kích thước 550x450</t>
        </is>
      </c>
      <c r="E531" t="inlineStr">
        <is>
          <t>550x450</t>
        </is>
      </c>
      <c r="F531" t="inlineStr">
        <is>
          <t>Cái</t>
        </is>
      </c>
      <c r="G531" s="2" t="n">
        <v>1</v>
      </c>
      <c r="H531" s="2">
        <f>SUMIF('01_BOC_TACH_ONG'!B:B, B531, '01_BOC_TACH_ONG'!K:K)</f>
        <v/>
      </c>
      <c r="I531" s="2">
        <f>SUMIF('02_BOC_TACH_CUA'!B:B, B531, '02_BOC_TACH_CUA'!K:K)</f>
        <v/>
      </c>
      <c r="J531" s="2">
        <f>SUMIF('03_BOC_TACH_VAN'!B:B, B531, '03_BOC_TACH_VAN'!K:K)</f>
        <v/>
      </c>
      <c r="K531" s="2">
        <f>SUM(H531:J531)</f>
        <v/>
      </c>
      <c r="L531" s="2">
        <f>K531*0.25</f>
        <v/>
      </c>
      <c r="M531" s="2">
        <f>K531*0.10</f>
        <v/>
      </c>
      <c r="N531" s="2">
        <f>K531+L531+M531</f>
        <v/>
      </c>
      <c r="O531" s="2">
        <f>IF(G531&gt;0, N531/G531, 0)</f>
        <v/>
      </c>
      <c r="P531" s="3" t="n">
        <v>0.18</v>
      </c>
      <c r="Q531" s="2">
        <f>O531*(1+P531)</f>
        <v/>
      </c>
      <c r="R531" s="2">
        <f>G531*Q531</f>
        <v/>
      </c>
    </row>
    <row r="532">
      <c r="A532" t="n">
        <v>531</v>
      </c>
      <c r="B532" t="inlineStr">
        <is>
          <t>SW-DAMPER-531</t>
        </is>
      </c>
      <c r="C532" t="inlineStr">
        <is>
          <t>VAN GIÓ</t>
        </is>
      </c>
      <c r="D532" t="inlineStr">
        <is>
          <t>Van gió MD - Kích thước 600x200</t>
        </is>
      </c>
      <c r="E532" t="inlineStr">
        <is>
          <t>600x200</t>
        </is>
      </c>
      <c r="F532" t="inlineStr">
        <is>
          <t>Cái</t>
        </is>
      </c>
      <c r="G532" s="2" t="n">
        <v>1</v>
      </c>
      <c r="H532" s="2">
        <f>SUMIF('01_BOC_TACH_ONG'!B:B, B532, '01_BOC_TACH_ONG'!K:K)</f>
        <v/>
      </c>
      <c r="I532" s="2">
        <f>SUMIF('02_BOC_TACH_CUA'!B:B, B532, '02_BOC_TACH_CUA'!K:K)</f>
        <v/>
      </c>
      <c r="J532" s="2">
        <f>SUMIF('03_BOC_TACH_VAN'!B:B, B532, '03_BOC_TACH_VAN'!K:K)</f>
        <v/>
      </c>
      <c r="K532" s="2">
        <f>SUM(H532:J532)</f>
        <v/>
      </c>
      <c r="L532" s="2">
        <f>K532*0.25</f>
        <v/>
      </c>
      <c r="M532" s="2">
        <f>K532*0.10</f>
        <v/>
      </c>
      <c r="N532" s="2">
        <f>K532+L532+M532</f>
        <v/>
      </c>
      <c r="O532" s="2">
        <f>IF(G532&gt;0, N532/G532, 0)</f>
        <v/>
      </c>
      <c r="P532" s="3" t="n">
        <v>0.18</v>
      </c>
      <c r="Q532" s="2">
        <f>O532*(1+P532)</f>
        <v/>
      </c>
      <c r="R532" s="2">
        <f>G532*Q532</f>
        <v/>
      </c>
    </row>
    <row r="533">
      <c r="A533" t="n">
        <v>532</v>
      </c>
      <c r="B533" t="inlineStr">
        <is>
          <t>SW-DAMPER-532</t>
        </is>
      </c>
      <c r="C533" t="inlineStr">
        <is>
          <t>VAN GIÓ</t>
        </is>
      </c>
      <c r="D533" t="inlineStr">
        <is>
          <t>Van gió MD - Kích thước 600x450</t>
        </is>
      </c>
      <c r="E533" t="inlineStr">
        <is>
          <t>600x450</t>
        </is>
      </c>
      <c r="F533" t="inlineStr">
        <is>
          <t>Cái</t>
        </is>
      </c>
      <c r="G533" s="2" t="n">
        <v>1</v>
      </c>
      <c r="H533" s="2">
        <f>SUMIF('01_BOC_TACH_ONG'!B:B, B533, '01_BOC_TACH_ONG'!K:K)</f>
        <v/>
      </c>
      <c r="I533" s="2">
        <f>SUMIF('02_BOC_TACH_CUA'!B:B, B533, '02_BOC_TACH_CUA'!K:K)</f>
        <v/>
      </c>
      <c r="J533" s="2">
        <f>SUMIF('03_BOC_TACH_VAN'!B:B, B533, '03_BOC_TACH_VAN'!K:K)</f>
        <v/>
      </c>
      <c r="K533" s="2">
        <f>SUM(H533:J533)</f>
        <v/>
      </c>
      <c r="L533" s="2">
        <f>K533*0.25</f>
        <v/>
      </c>
      <c r="M533" s="2">
        <f>K533*0.10</f>
        <v/>
      </c>
      <c r="N533" s="2">
        <f>K533+L533+M533</f>
        <v/>
      </c>
      <c r="O533" s="2">
        <f>IF(G533&gt;0, N533/G533, 0)</f>
        <v/>
      </c>
      <c r="P533" s="3" t="n">
        <v>0.18</v>
      </c>
      <c r="Q533" s="2">
        <f>O533*(1+P533)</f>
        <v/>
      </c>
      <c r="R533" s="2">
        <f>G533*Q533</f>
        <v/>
      </c>
    </row>
    <row r="534">
      <c r="A534" t="n">
        <v>533</v>
      </c>
      <c r="B534" t="inlineStr">
        <is>
          <t>SW-DAMPER-533</t>
        </is>
      </c>
      <c r="C534" t="inlineStr">
        <is>
          <t>VAN GIÓ</t>
        </is>
      </c>
      <c r="D534" t="inlineStr">
        <is>
          <t>Van gió MD - Kích thước 600x600</t>
        </is>
      </c>
      <c r="E534" t="inlineStr">
        <is>
          <t>600x600</t>
        </is>
      </c>
      <c r="F534" t="inlineStr">
        <is>
          <t>Cái</t>
        </is>
      </c>
      <c r="G534" s="2" t="n">
        <v>1</v>
      </c>
      <c r="H534" s="2">
        <f>SUMIF('01_BOC_TACH_ONG'!B:B, B534, '01_BOC_TACH_ONG'!K:K)</f>
        <v/>
      </c>
      <c r="I534" s="2">
        <f>SUMIF('02_BOC_TACH_CUA'!B:B, B534, '02_BOC_TACH_CUA'!K:K)</f>
        <v/>
      </c>
      <c r="J534" s="2">
        <f>SUMIF('03_BOC_TACH_VAN'!B:B, B534, '03_BOC_TACH_VAN'!K:K)</f>
        <v/>
      </c>
      <c r="K534" s="2">
        <f>SUM(H534:J534)</f>
        <v/>
      </c>
      <c r="L534" s="2">
        <f>K534*0.25</f>
        <v/>
      </c>
      <c r="M534" s="2">
        <f>K534*0.10</f>
        <v/>
      </c>
      <c r="N534" s="2">
        <f>K534+L534+M534</f>
        <v/>
      </c>
      <c r="O534" s="2">
        <f>IF(G534&gt;0, N534/G534, 0)</f>
        <v/>
      </c>
      <c r="P534" s="3" t="n">
        <v>0.18</v>
      </c>
      <c r="Q534" s="2">
        <f>O534*(1+P534)</f>
        <v/>
      </c>
      <c r="R534" s="2">
        <f>G534*Q534</f>
        <v/>
      </c>
    </row>
    <row r="535">
      <c r="A535" t="n">
        <v>534</v>
      </c>
      <c r="B535" t="inlineStr">
        <is>
          <t>SW-DAMPER-534</t>
        </is>
      </c>
      <c r="C535" t="inlineStr">
        <is>
          <t>VAN GIÓ</t>
        </is>
      </c>
      <c r="D535" t="inlineStr">
        <is>
          <t>Van gió MD - Kích thước 650x400</t>
        </is>
      </c>
      <c r="E535" t="inlineStr">
        <is>
          <t>650x400</t>
        </is>
      </c>
      <c r="F535" t="inlineStr">
        <is>
          <t>Cái</t>
        </is>
      </c>
      <c r="G535" s="2" t="n">
        <v>1</v>
      </c>
      <c r="H535" s="2">
        <f>SUMIF('01_BOC_TACH_ONG'!B:B, B535, '01_BOC_TACH_ONG'!K:K)</f>
        <v/>
      </c>
      <c r="I535" s="2">
        <f>SUMIF('02_BOC_TACH_CUA'!B:B, B535, '02_BOC_TACH_CUA'!K:K)</f>
        <v/>
      </c>
      <c r="J535" s="2">
        <f>SUMIF('03_BOC_TACH_VAN'!B:B, B535, '03_BOC_TACH_VAN'!K:K)</f>
        <v/>
      </c>
      <c r="K535" s="2">
        <f>SUM(H535:J535)</f>
        <v/>
      </c>
      <c r="L535" s="2">
        <f>K535*0.25</f>
        <v/>
      </c>
      <c r="M535" s="2">
        <f>K535*0.10</f>
        <v/>
      </c>
      <c r="N535" s="2">
        <f>K535+L535+M535</f>
        <v/>
      </c>
      <c r="O535" s="2">
        <f>IF(G535&gt;0, N535/G535, 0)</f>
        <v/>
      </c>
      <c r="P535" s="3" t="n">
        <v>0.18</v>
      </c>
      <c r="Q535" s="2">
        <f>O535*(1+P535)</f>
        <v/>
      </c>
      <c r="R535" s="2">
        <f>G535*Q535</f>
        <v/>
      </c>
    </row>
    <row r="536">
      <c r="A536" t="n">
        <v>535</v>
      </c>
      <c r="B536" t="inlineStr">
        <is>
          <t>SW-DAMPER-535</t>
        </is>
      </c>
      <c r="C536" t="inlineStr">
        <is>
          <t>VAN GIÓ</t>
        </is>
      </c>
      <c r="D536" t="inlineStr">
        <is>
          <t>Van gió MD - Kích thước 750x600</t>
        </is>
      </c>
      <c r="E536" t="inlineStr">
        <is>
          <t>750x600</t>
        </is>
      </c>
      <c r="F536" t="inlineStr">
        <is>
          <t>Cái</t>
        </is>
      </c>
      <c r="G536" s="2" t="n">
        <v>1</v>
      </c>
      <c r="H536" s="2">
        <f>SUMIF('01_BOC_TACH_ONG'!B:B, B536, '01_BOC_TACH_ONG'!K:K)</f>
        <v/>
      </c>
      <c r="I536" s="2">
        <f>SUMIF('02_BOC_TACH_CUA'!B:B, B536, '02_BOC_TACH_CUA'!K:K)</f>
        <v/>
      </c>
      <c r="J536" s="2">
        <f>SUMIF('03_BOC_TACH_VAN'!B:B, B536, '03_BOC_TACH_VAN'!K:K)</f>
        <v/>
      </c>
      <c r="K536" s="2">
        <f>SUM(H536:J536)</f>
        <v/>
      </c>
      <c r="L536" s="2">
        <f>K536*0.25</f>
        <v/>
      </c>
      <c r="M536" s="2">
        <f>K536*0.10</f>
        <v/>
      </c>
      <c r="N536" s="2">
        <f>K536+L536+M536</f>
        <v/>
      </c>
      <c r="O536" s="2">
        <f>IF(G536&gt;0, N536/G536, 0)</f>
        <v/>
      </c>
      <c r="P536" s="3" t="n">
        <v>0.18</v>
      </c>
      <c r="Q536" s="2">
        <f>O536*(1+P536)</f>
        <v/>
      </c>
      <c r="R536" s="2">
        <f>G536*Q536</f>
        <v/>
      </c>
    </row>
    <row r="537">
      <c r="A537" t="n">
        <v>536</v>
      </c>
      <c r="B537" t="inlineStr">
        <is>
          <t>SW-DAMPER-536</t>
        </is>
      </c>
      <c r="C537" t="inlineStr">
        <is>
          <t>VAN GIÓ</t>
        </is>
      </c>
      <c r="D537" t="inlineStr">
        <is>
          <t>Van gió MD - Kích thước: D500 (theo đường kính quạt)</t>
        </is>
      </c>
      <c r="E537" t="inlineStr">
        <is>
          <t>500x500</t>
        </is>
      </c>
      <c r="F537" t="inlineStr">
        <is>
          <t>Cái</t>
        </is>
      </c>
      <c r="G537" s="2" t="n">
        <v>2</v>
      </c>
      <c r="H537" s="2">
        <f>SUMIF('01_BOC_TACH_ONG'!B:B, B537, '01_BOC_TACH_ONG'!K:K)</f>
        <v/>
      </c>
      <c r="I537" s="2">
        <f>SUMIF('02_BOC_TACH_CUA'!B:B, B537, '02_BOC_TACH_CUA'!K:K)</f>
        <v/>
      </c>
      <c r="J537" s="2">
        <f>SUMIF('03_BOC_TACH_VAN'!B:B, B537, '03_BOC_TACH_VAN'!K:K)</f>
        <v/>
      </c>
      <c r="K537" s="2">
        <f>SUM(H537:J537)</f>
        <v/>
      </c>
      <c r="L537" s="2">
        <f>K537*0.25</f>
        <v/>
      </c>
      <c r="M537" s="2">
        <f>K537*0.10</f>
        <v/>
      </c>
      <c r="N537" s="2">
        <f>K537+L537+M537</f>
        <v/>
      </c>
      <c r="O537" s="2">
        <f>IF(G537&gt;0, N537/G537, 0)</f>
        <v/>
      </c>
      <c r="P537" s="3" t="n">
        <v>0.18</v>
      </c>
      <c r="Q537" s="2">
        <f>O537*(1+P537)</f>
        <v/>
      </c>
      <c r="R537" s="2">
        <f>G537*Q537</f>
        <v/>
      </c>
    </row>
    <row r="538">
      <c r="A538" t="n">
        <v>537</v>
      </c>
      <c r="B538" t="inlineStr">
        <is>
          <t>SW-DAMPER-537</t>
        </is>
      </c>
      <c r="C538" t="inlineStr">
        <is>
          <t>VAN GIÓ</t>
        </is>
      </c>
      <c r="D538" t="inlineStr">
        <is>
          <t>Van gió MD - Kích thước: D700 (theo đường kính quạt)</t>
        </is>
      </c>
      <c r="E538" t="inlineStr">
        <is>
          <t>700x700</t>
        </is>
      </c>
      <c r="F538" t="inlineStr">
        <is>
          <t>Cái</t>
        </is>
      </c>
      <c r="G538" s="2" t="n">
        <v>6</v>
      </c>
      <c r="H538" s="2">
        <f>SUMIF('01_BOC_TACH_ONG'!B:B, B538, '01_BOC_TACH_ONG'!K:K)</f>
        <v/>
      </c>
      <c r="I538" s="2">
        <f>SUMIF('02_BOC_TACH_CUA'!B:B, B538, '02_BOC_TACH_CUA'!K:K)</f>
        <v/>
      </c>
      <c r="J538" s="2">
        <f>SUMIF('03_BOC_TACH_VAN'!B:B, B538, '03_BOC_TACH_VAN'!K:K)</f>
        <v/>
      </c>
      <c r="K538" s="2">
        <f>SUM(H538:J538)</f>
        <v/>
      </c>
      <c r="L538" s="2">
        <f>K538*0.25</f>
        <v/>
      </c>
      <c r="M538" s="2">
        <f>K538*0.10</f>
        <v/>
      </c>
      <c r="N538" s="2">
        <f>K538+L538+M538</f>
        <v/>
      </c>
      <c r="O538" s="2">
        <f>IF(G538&gt;0, N538/G538, 0)</f>
        <v/>
      </c>
      <c r="P538" s="3" t="n">
        <v>0.18</v>
      </c>
      <c r="Q538" s="2">
        <f>O538*(1+P538)</f>
        <v/>
      </c>
      <c r="R538" s="2">
        <f>G538*Q538</f>
        <v/>
      </c>
    </row>
    <row r="539">
      <c r="A539" t="n">
        <v>538</v>
      </c>
      <c r="B539" t="inlineStr">
        <is>
          <t>SW-DAMPER-538</t>
        </is>
      </c>
      <c r="C539" t="inlineStr">
        <is>
          <t>VAN GIÓ</t>
        </is>
      </c>
      <c r="D539" t="inlineStr">
        <is>
          <t>Van gió MD - Kích thước: D800 (theo đường kính quạt)</t>
        </is>
      </c>
      <c r="E539" t="inlineStr">
        <is>
          <t>800x800</t>
        </is>
      </c>
      <c r="F539" t="inlineStr">
        <is>
          <t>Cái</t>
        </is>
      </c>
      <c r="G539" s="2" t="n">
        <v>12</v>
      </c>
      <c r="H539" s="2">
        <f>SUMIF('01_BOC_TACH_ONG'!B:B, B539, '01_BOC_TACH_ONG'!K:K)</f>
        <v/>
      </c>
      <c r="I539" s="2">
        <f>SUMIF('02_BOC_TACH_CUA'!B:B, B539, '02_BOC_TACH_CUA'!K:K)</f>
        <v/>
      </c>
      <c r="J539" s="2">
        <f>SUMIF('03_BOC_TACH_VAN'!B:B, B539, '03_BOC_TACH_VAN'!K:K)</f>
        <v/>
      </c>
      <c r="K539" s="2">
        <f>SUM(H539:J539)</f>
        <v/>
      </c>
      <c r="L539" s="2">
        <f>K539*0.25</f>
        <v/>
      </c>
      <c r="M539" s="2">
        <f>K539*0.10</f>
        <v/>
      </c>
      <c r="N539" s="2">
        <f>K539+L539+M539</f>
        <v/>
      </c>
      <c r="O539" s="2">
        <f>IF(G539&gt;0, N539/G539, 0)</f>
        <v/>
      </c>
      <c r="P539" s="3" t="n">
        <v>0.18</v>
      </c>
      <c r="Q539" s="2">
        <f>O539*(1+P539)</f>
        <v/>
      </c>
      <c r="R539" s="2">
        <f>G539*Q539</f>
        <v/>
      </c>
    </row>
    <row r="540">
      <c r="A540" t="n">
        <v>539</v>
      </c>
      <c r="B540" t="inlineStr">
        <is>
          <t>SW-DAMPER-539</t>
        </is>
      </c>
      <c r="C540" t="inlineStr">
        <is>
          <t>VAN GIÓ</t>
        </is>
      </c>
      <c r="D540" t="inlineStr">
        <is>
          <t>Van chặn lửa MFD EI45 - Kích thước 150x150</t>
        </is>
      </c>
      <c r="E540" t="inlineStr">
        <is>
          <t>150x150</t>
        </is>
      </c>
      <c r="F540" t="inlineStr">
        <is>
          <t>Cái</t>
        </is>
      </c>
      <c r="G540" s="2" t="n">
        <v>102</v>
      </c>
      <c r="H540" s="2">
        <f>SUMIF('01_BOC_TACH_ONG'!B:B, B540, '01_BOC_TACH_ONG'!K:K)</f>
        <v/>
      </c>
      <c r="I540" s="2">
        <f>SUMIF('02_BOC_TACH_CUA'!B:B, B540, '02_BOC_TACH_CUA'!K:K)</f>
        <v/>
      </c>
      <c r="J540" s="2">
        <f>SUMIF('03_BOC_TACH_VAN'!B:B, B540, '03_BOC_TACH_VAN'!K:K)</f>
        <v/>
      </c>
      <c r="K540" s="2">
        <f>SUM(H540:J540)</f>
        <v/>
      </c>
      <c r="L540" s="2">
        <f>K540*0.25</f>
        <v/>
      </c>
      <c r="M540" s="2">
        <f>K540*0.10</f>
        <v/>
      </c>
      <c r="N540" s="2">
        <f>K540+L540+M540</f>
        <v/>
      </c>
      <c r="O540" s="2">
        <f>IF(G540&gt;0, N540/G540, 0)</f>
        <v/>
      </c>
      <c r="P540" s="3" t="n">
        <v>0.18</v>
      </c>
      <c r="Q540" s="2">
        <f>O540*(1+P540)</f>
        <v/>
      </c>
      <c r="R540" s="2">
        <f>G540*Q540</f>
        <v/>
      </c>
    </row>
    <row r="541">
      <c r="A541" t="n">
        <v>540</v>
      </c>
      <c r="B541" t="inlineStr">
        <is>
          <t>SW-DAMPER-540</t>
        </is>
      </c>
      <c r="C541" t="inlineStr">
        <is>
          <t>VAN GIÓ</t>
        </is>
      </c>
      <c r="D541" t="inlineStr">
        <is>
          <t>Van chặn lửa MFD EI45 - Kích thước 200x100</t>
        </is>
      </c>
      <c r="E541" t="inlineStr">
        <is>
          <t>200x150</t>
        </is>
      </c>
      <c r="F541" t="inlineStr">
        <is>
          <t>Cái</t>
        </is>
      </c>
      <c r="G541" s="2" t="n">
        <v>1</v>
      </c>
      <c r="H541" s="2">
        <f>SUMIF('01_BOC_TACH_ONG'!B:B, B541, '01_BOC_TACH_ONG'!K:K)</f>
        <v/>
      </c>
      <c r="I541" s="2">
        <f>SUMIF('02_BOC_TACH_CUA'!B:B, B541, '02_BOC_TACH_CUA'!K:K)</f>
        <v/>
      </c>
      <c r="J541" s="2">
        <f>SUMIF('03_BOC_TACH_VAN'!B:B, B541, '03_BOC_TACH_VAN'!K:K)</f>
        <v/>
      </c>
      <c r="K541" s="2">
        <f>SUM(H541:J541)</f>
        <v/>
      </c>
      <c r="L541" s="2">
        <f>K541*0.25</f>
        <v/>
      </c>
      <c r="M541" s="2">
        <f>K541*0.10</f>
        <v/>
      </c>
      <c r="N541" s="2">
        <f>K541+L541+M541</f>
        <v/>
      </c>
      <c r="O541" s="2">
        <f>IF(G541&gt;0, N541/G541, 0)</f>
        <v/>
      </c>
      <c r="P541" s="3" t="n">
        <v>0.18</v>
      </c>
      <c r="Q541" s="2">
        <f>O541*(1+P541)</f>
        <v/>
      </c>
      <c r="R541" s="2">
        <f>G541*Q541</f>
        <v/>
      </c>
    </row>
    <row r="542">
      <c r="A542" t="n">
        <v>541</v>
      </c>
      <c r="B542" t="inlineStr">
        <is>
          <t>SW-DAMPER-541</t>
        </is>
      </c>
      <c r="C542" t="inlineStr">
        <is>
          <t>VAN GIÓ</t>
        </is>
      </c>
      <c r="D542" t="inlineStr">
        <is>
          <t>Van chặn lửa MFD EI90 - Kích thước 200x100</t>
        </is>
      </c>
      <c r="E542" t="inlineStr">
        <is>
          <t>200x150</t>
        </is>
      </c>
      <c r="F542" t="inlineStr">
        <is>
          <t>Cái</t>
        </is>
      </c>
      <c r="G542" s="2" t="n">
        <v>1</v>
      </c>
      <c r="H542" s="2">
        <f>SUMIF('01_BOC_TACH_ONG'!B:B, B542, '01_BOC_TACH_ONG'!K:K)</f>
        <v/>
      </c>
      <c r="I542" s="2">
        <f>SUMIF('02_BOC_TACH_CUA'!B:B, B542, '02_BOC_TACH_CUA'!K:K)</f>
        <v/>
      </c>
      <c r="J542" s="2">
        <f>SUMIF('03_BOC_TACH_VAN'!B:B, B542, '03_BOC_TACH_VAN'!K:K)</f>
        <v/>
      </c>
      <c r="K542" s="2">
        <f>SUM(H542:J542)</f>
        <v/>
      </c>
      <c r="L542" s="2">
        <f>K542*0.25</f>
        <v/>
      </c>
      <c r="M542" s="2">
        <f>K542*0.10</f>
        <v/>
      </c>
      <c r="N542" s="2">
        <f>K542+L542+M542</f>
        <v/>
      </c>
      <c r="O542" s="2">
        <f>IF(G542&gt;0, N542/G542, 0)</f>
        <v/>
      </c>
      <c r="P542" s="3" t="n">
        <v>0.18</v>
      </c>
      <c r="Q542" s="2">
        <f>O542*(1+P542)</f>
        <v/>
      </c>
      <c r="R542" s="2">
        <f>G542*Q542</f>
        <v/>
      </c>
    </row>
    <row r="543">
      <c r="A543" t="n">
        <v>542</v>
      </c>
      <c r="B543" t="inlineStr">
        <is>
          <t>SW-DAMPER-542</t>
        </is>
      </c>
      <c r="C543" t="inlineStr">
        <is>
          <t>VAN GIÓ</t>
        </is>
      </c>
      <c r="D543" t="inlineStr">
        <is>
          <t>Van chặn lửa MFD EI120 - Kích thước 200x100</t>
        </is>
      </c>
      <c r="E543" t="inlineStr">
        <is>
          <t>200x150</t>
        </is>
      </c>
      <c r="F543" t="inlineStr">
        <is>
          <t>Cái</t>
        </is>
      </c>
      <c r="G543" s="2" t="n">
        <v>45</v>
      </c>
      <c r="H543" s="2">
        <f>SUMIF('01_BOC_TACH_ONG'!B:B, B543, '01_BOC_TACH_ONG'!K:K)</f>
        <v/>
      </c>
      <c r="I543" s="2">
        <f>SUMIF('02_BOC_TACH_CUA'!B:B, B543, '02_BOC_TACH_CUA'!K:K)</f>
        <v/>
      </c>
      <c r="J543" s="2">
        <f>SUMIF('03_BOC_TACH_VAN'!B:B, B543, '03_BOC_TACH_VAN'!K:K)</f>
        <v/>
      </c>
      <c r="K543" s="2">
        <f>SUM(H543:J543)</f>
        <v/>
      </c>
      <c r="L543" s="2">
        <f>K543*0.25</f>
        <v/>
      </c>
      <c r="M543" s="2">
        <f>K543*0.10</f>
        <v/>
      </c>
      <c r="N543" s="2">
        <f>K543+L543+M543</f>
        <v/>
      </c>
      <c r="O543" s="2">
        <f>IF(G543&gt;0, N543/G543, 0)</f>
        <v/>
      </c>
      <c r="P543" s="3" t="n">
        <v>0.18</v>
      </c>
      <c r="Q543" s="2">
        <f>O543*(1+P543)</f>
        <v/>
      </c>
      <c r="R543" s="2">
        <f>G543*Q543</f>
        <v/>
      </c>
    </row>
    <row r="544">
      <c r="A544" t="n">
        <v>543</v>
      </c>
      <c r="B544" t="inlineStr">
        <is>
          <t>SW-DAMPER-543</t>
        </is>
      </c>
      <c r="C544" t="inlineStr">
        <is>
          <t>VAN GIÓ</t>
        </is>
      </c>
      <c r="D544" t="inlineStr">
        <is>
          <t>Van chặn lửa MFD EI45 - Kích thước 200x200</t>
        </is>
      </c>
      <c r="E544" t="inlineStr">
        <is>
          <t>200x200</t>
        </is>
      </c>
      <c r="F544" t="inlineStr">
        <is>
          <t>Cái</t>
        </is>
      </c>
      <c r="G544" s="2" t="n">
        <v>26</v>
      </c>
      <c r="H544" s="2">
        <f>SUMIF('01_BOC_TACH_ONG'!B:B, B544, '01_BOC_TACH_ONG'!K:K)</f>
        <v/>
      </c>
      <c r="I544" s="2">
        <f>SUMIF('02_BOC_TACH_CUA'!B:B, B544, '02_BOC_TACH_CUA'!K:K)</f>
        <v/>
      </c>
      <c r="J544" s="2">
        <f>SUMIF('03_BOC_TACH_VAN'!B:B, B544, '03_BOC_TACH_VAN'!K:K)</f>
        <v/>
      </c>
      <c r="K544" s="2">
        <f>SUM(H544:J544)</f>
        <v/>
      </c>
      <c r="L544" s="2">
        <f>K544*0.25</f>
        <v/>
      </c>
      <c r="M544" s="2">
        <f>K544*0.10</f>
        <v/>
      </c>
      <c r="N544" s="2">
        <f>K544+L544+M544</f>
        <v/>
      </c>
      <c r="O544" s="2">
        <f>IF(G544&gt;0, N544/G544, 0)</f>
        <v/>
      </c>
      <c r="P544" s="3" t="n">
        <v>0.18</v>
      </c>
      <c r="Q544" s="2">
        <f>O544*(1+P544)</f>
        <v/>
      </c>
      <c r="R544" s="2">
        <f>G544*Q544</f>
        <v/>
      </c>
    </row>
    <row r="545">
      <c r="A545" t="n">
        <v>544</v>
      </c>
      <c r="B545" t="inlineStr">
        <is>
          <t>SW-DAMPER-544</t>
        </is>
      </c>
      <c r="C545" t="inlineStr">
        <is>
          <t>VAN GIÓ</t>
        </is>
      </c>
      <c r="D545" t="inlineStr">
        <is>
          <t>Van chặn lửa MFD EI90 - Kích thước 300x300</t>
        </is>
      </c>
      <c r="E545" t="inlineStr">
        <is>
          <t>300x300</t>
        </is>
      </c>
      <c r="F545" t="inlineStr">
        <is>
          <t>Cái</t>
        </is>
      </c>
      <c r="G545" s="2" t="n">
        <v>1</v>
      </c>
      <c r="H545" s="2">
        <f>SUMIF('01_BOC_TACH_ONG'!B:B, B545, '01_BOC_TACH_ONG'!K:K)</f>
        <v/>
      </c>
      <c r="I545" s="2">
        <f>SUMIF('02_BOC_TACH_CUA'!B:B, B545, '02_BOC_TACH_CUA'!K:K)</f>
        <v/>
      </c>
      <c r="J545" s="2">
        <f>SUMIF('03_BOC_TACH_VAN'!B:B, B545, '03_BOC_TACH_VAN'!K:K)</f>
        <v/>
      </c>
      <c r="K545" s="2">
        <f>SUM(H545:J545)</f>
        <v/>
      </c>
      <c r="L545" s="2">
        <f>K545*0.25</f>
        <v/>
      </c>
      <c r="M545" s="2">
        <f>K545*0.10</f>
        <v/>
      </c>
      <c r="N545" s="2">
        <f>K545+L545+M545</f>
        <v/>
      </c>
      <c r="O545" s="2">
        <f>IF(G545&gt;0, N545/G545, 0)</f>
        <v/>
      </c>
      <c r="P545" s="3" t="n">
        <v>0.18</v>
      </c>
      <c r="Q545" s="2">
        <f>O545*(1+P545)</f>
        <v/>
      </c>
      <c r="R545" s="2">
        <f>G545*Q545</f>
        <v/>
      </c>
    </row>
    <row r="546">
      <c r="A546" t="n">
        <v>545</v>
      </c>
      <c r="B546" t="inlineStr">
        <is>
          <t>SW-DAMPER-545</t>
        </is>
      </c>
      <c r="C546" t="inlineStr">
        <is>
          <t>VAN GIÓ</t>
        </is>
      </c>
      <c r="D546" t="inlineStr">
        <is>
          <t>Van chặn lửa MFD EI45 - Kích thước 500x400</t>
        </is>
      </c>
      <c r="E546" t="inlineStr">
        <is>
          <t>500x400</t>
        </is>
      </c>
      <c r="F546" t="inlineStr">
        <is>
          <t>Cái</t>
        </is>
      </c>
      <c r="G546" s="2" t="n">
        <v>1</v>
      </c>
      <c r="H546" s="2">
        <f>SUMIF('01_BOC_TACH_ONG'!B:B, B546, '01_BOC_TACH_ONG'!K:K)</f>
        <v/>
      </c>
      <c r="I546" s="2">
        <f>SUMIF('02_BOC_TACH_CUA'!B:B, B546, '02_BOC_TACH_CUA'!K:K)</f>
        <v/>
      </c>
      <c r="J546" s="2">
        <f>SUMIF('03_BOC_TACH_VAN'!B:B, B546, '03_BOC_TACH_VAN'!K:K)</f>
        <v/>
      </c>
      <c r="K546" s="2">
        <f>SUM(H546:J546)</f>
        <v/>
      </c>
      <c r="L546" s="2">
        <f>K546*0.25</f>
        <v/>
      </c>
      <c r="M546" s="2">
        <f>K546*0.10</f>
        <v/>
      </c>
      <c r="N546" s="2">
        <f>K546+L546+M546</f>
        <v/>
      </c>
      <c r="O546" s="2">
        <f>IF(G546&gt;0, N546/G546, 0)</f>
        <v/>
      </c>
      <c r="P546" s="3" t="n">
        <v>0.18</v>
      </c>
      <c r="Q546" s="2">
        <f>O546*(1+P546)</f>
        <v/>
      </c>
      <c r="R546" s="2">
        <f>G546*Q546</f>
        <v/>
      </c>
    </row>
    <row r="547">
      <c r="A547" t="n">
        <v>546</v>
      </c>
      <c r="B547" t="inlineStr">
        <is>
          <t>SW-DAMPER-546</t>
        </is>
      </c>
      <c r="C547" t="inlineStr">
        <is>
          <t>VAN GIÓ</t>
        </is>
      </c>
      <c r="D547" t="inlineStr">
        <is>
          <t>Van chặn lửa MFD EI45 - Kích thước 550x450</t>
        </is>
      </c>
      <c r="E547" t="inlineStr">
        <is>
          <t>550x450</t>
        </is>
      </c>
      <c r="F547" t="inlineStr">
        <is>
          <t>Cái</t>
        </is>
      </c>
      <c r="G547" s="2" t="n">
        <v>1</v>
      </c>
      <c r="H547" s="2">
        <f>SUMIF('01_BOC_TACH_ONG'!B:B, B547, '01_BOC_TACH_ONG'!K:K)</f>
        <v/>
      </c>
      <c r="I547" s="2">
        <f>SUMIF('02_BOC_TACH_CUA'!B:B, B547, '02_BOC_TACH_CUA'!K:K)</f>
        <v/>
      </c>
      <c r="J547" s="2">
        <f>SUMIF('03_BOC_TACH_VAN'!B:B, B547, '03_BOC_TACH_VAN'!K:K)</f>
        <v/>
      </c>
      <c r="K547" s="2">
        <f>SUM(H547:J547)</f>
        <v/>
      </c>
      <c r="L547" s="2">
        <f>K547*0.25</f>
        <v/>
      </c>
      <c r="M547" s="2">
        <f>K547*0.10</f>
        <v/>
      </c>
      <c r="N547" s="2">
        <f>K547+L547+M547</f>
        <v/>
      </c>
      <c r="O547" s="2">
        <f>IF(G547&gt;0, N547/G547, 0)</f>
        <v/>
      </c>
      <c r="P547" s="3" t="n">
        <v>0.18</v>
      </c>
      <c r="Q547" s="2">
        <f>O547*(1+P547)</f>
        <v/>
      </c>
      <c r="R547" s="2">
        <f>G547*Q547</f>
        <v/>
      </c>
    </row>
    <row r="548">
      <c r="A548" t="n">
        <v>547</v>
      </c>
      <c r="B548" t="inlineStr">
        <is>
          <t>SW-DAMPER-547</t>
        </is>
      </c>
      <c r="C548" t="inlineStr">
        <is>
          <t>VAN GIÓ</t>
        </is>
      </c>
      <c r="D548" t="inlineStr">
        <is>
          <t>Van chặn lửa MFD EI45 - Kích thước 600x200</t>
        </is>
      </c>
      <c r="E548" t="inlineStr">
        <is>
          <t>600x200</t>
        </is>
      </c>
      <c r="F548" t="inlineStr">
        <is>
          <t>Cái</t>
        </is>
      </c>
      <c r="G548" s="2" t="n">
        <v>2</v>
      </c>
      <c r="H548" s="2">
        <f>SUMIF('01_BOC_TACH_ONG'!B:B, B548, '01_BOC_TACH_ONG'!K:K)</f>
        <v/>
      </c>
      <c r="I548" s="2">
        <f>SUMIF('02_BOC_TACH_CUA'!B:B, B548, '02_BOC_TACH_CUA'!K:K)</f>
        <v/>
      </c>
      <c r="J548" s="2">
        <f>SUMIF('03_BOC_TACH_VAN'!B:B, B548, '03_BOC_TACH_VAN'!K:K)</f>
        <v/>
      </c>
      <c r="K548" s="2">
        <f>SUM(H548:J548)</f>
        <v/>
      </c>
      <c r="L548" s="2">
        <f>K548*0.25</f>
        <v/>
      </c>
      <c r="M548" s="2">
        <f>K548*0.10</f>
        <v/>
      </c>
      <c r="N548" s="2">
        <f>K548+L548+M548</f>
        <v/>
      </c>
      <c r="O548" s="2">
        <f>IF(G548&gt;0, N548/G548, 0)</f>
        <v/>
      </c>
      <c r="P548" s="3" t="n">
        <v>0.18</v>
      </c>
      <c r="Q548" s="2">
        <f>O548*(1+P548)</f>
        <v/>
      </c>
      <c r="R548" s="2">
        <f>G548*Q548</f>
        <v/>
      </c>
    </row>
    <row r="549">
      <c r="A549" t="n">
        <v>548</v>
      </c>
      <c r="B549" t="inlineStr">
        <is>
          <t>SW-DAMPER-548</t>
        </is>
      </c>
      <c r="C549" t="inlineStr">
        <is>
          <t>VAN GIÓ</t>
        </is>
      </c>
      <c r="D549" t="inlineStr">
        <is>
          <t>Van chặn lửa MFD EI90 - Kích thước 600x450</t>
        </is>
      </c>
      <c r="E549" t="inlineStr">
        <is>
          <t>600x450</t>
        </is>
      </c>
      <c r="F549" t="inlineStr">
        <is>
          <t>Cái</t>
        </is>
      </c>
      <c r="G549" s="2" t="n">
        <v>3</v>
      </c>
      <c r="H549" s="2">
        <f>SUMIF('01_BOC_TACH_ONG'!B:B, B549, '01_BOC_TACH_ONG'!K:K)</f>
        <v/>
      </c>
      <c r="I549" s="2">
        <f>SUMIF('02_BOC_TACH_CUA'!B:B, B549, '02_BOC_TACH_CUA'!K:K)</f>
        <v/>
      </c>
      <c r="J549" s="2">
        <f>SUMIF('03_BOC_TACH_VAN'!B:B, B549, '03_BOC_TACH_VAN'!K:K)</f>
        <v/>
      </c>
      <c r="K549" s="2">
        <f>SUM(H549:J549)</f>
        <v/>
      </c>
      <c r="L549" s="2">
        <f>K549*0.25</f>
        <v/>
      </c>
      <c r="M549" s="2">
        <f>K549*0.10</f>
        <v/>
      </c>
      <c r="N549" s="2">
        <f>K549+L549+M549</f>
        <v/>
      </c>
      <c r="O549" s="2">
        <f>IF(G549&gt;0, N549/G549, 0)</f>
        <v/>
      </c>
      <c r="P549" s="3" t="n">
        <v>0.18</v>
      </c>
      <c r="Q549" s="2">
        <f>O549*(1+P549)</f>
        <v/>
      </c>
      <c r="R549" s="2">
        <f>G549*Q549</f>
        <v/>
      </c>
    </row>
    <row r="550">
      <c r="A550" t="n">
        <v>549</v>
      </c>
      <c r="B550" t="inlineStr">
        <is>
          <t>SW-DAMPER-549</t>
        </is>
      </c>
      <c r="C550" t="inlineStr">
        <is>
          <t>VAN GIÓ</t>
        </is>
      </c>
      <c r="D550" t="inlineStr">
        <is>
          <t>Van chặn lửa MFD EI90 - Kích thước 600x600</t>
        </is>
      </c>
      <c r="E550" t="inlineStr">
        <is>
          <t>600x600</t>
        </is>
      </c>
      <c r="F550" t="inlineStr">
        <is>
          <t>Cái</t>
        </is>
      </c>
      <c r="G550" s="2" t="n">
        <v>1</v>
      </c>
      <c r="H550" s="2">
        <f>SUMIF('01_BOC_TACH_ONG'!B:B, B550, '01_BOC_TACH_ONG'!K:K)</f>
        <v/>
      </c>
      <c r="I550" s="2">
        <f>SUMIF('02_BOC_TACH_CUA'!B:B, B550, '02_BOC_TACH_CUA'!K:K)</f>
        <v/>
      </c>
      <c r="J550" s="2">
        <f>SUMIF('03_BOC_TACH_VAN'!B:B, B550, '03_BOC_TACH_VAN'!K:K)</f>
        <v/>
      </c>
      <c r="K550" s="2">
        <f>SUM(H550:J550)</f>
        <v/>
      </c>
      <c r="L550" s="2">
        <f>K550*0.25</f>
        <v/>
      </c>
      <c r="M550" s="2">
        <f>K550*0.10</f>
        <v/>
      </c>
      <c r="N550" s="2">
        <f>K550+L550+M550</f>
        <v/>
      </c>
      <c r="O550" s="2">
        <f>IF(G550&gt;0, N550/G550, 0)</f>
        <v/>
      </c>
      <c r="P550" s="3" t="n">
        <v>0.18</v>
      </c>
      <c r="Q550" s="2">
        <f>O550*(1+P550)</f>
        <v/>
      </c>
      <c r="R550" s="2">
        <f>G550*Q550</f>
        <v/>
      </c>
    </row>
    <row r="551">
      <c r="A551" t="n">
        <v>550</v>
      </c>
      <c r="B551" t="inlineStr">
        <is>
          <t>SW-DAMPER-550</t>
        </is>
      </c>
      <c r="C551" t="inlineStr">
        <is>
          <t>VAN GIÓ</t>
        </is>
      </c>
      <c r="D551" t="inlineStr">
        <is>
          <t>Van chặn lửa MFD EI45 - Kích thước 750x600</t>
        </is>
      </c>
      <c r="E551" t="inlineStr">
        <is>
          <t>750x600</t>
        </is>
      </c>
      <c r="F551" t="inlineStr">
        <is>
          <t>Cái</t>
        </is>
      </c>
      <c r="G551" s="2" t="n">
        <v>2</v>
      </c>
      <c r="H551" s="2">
        <f>SUMIF('01_BOC_TACH_ONG'!B:B, B551, '01_BOC_TACH_ONG'!K:K)</f>
        <v/>
      </c>
      <c r="I551" s="2">
        <f>SUMIF('02_BOC_TACH_CUA'!B:B, B551, '02_BOC_TACH_CUA'!K:K)</f>
        <v/>
      </c>
      <c r="J551" s="2">
        <f>SUMIF('03_BOC_TACH_VAN'!B:B, B551, '03_BOC_TACH_VAN'!K:K)</f>
        <v/>
      </c>
      <c r="K551" s="2">
        <f>SUM(H551:J551)</f>
        <v/>
      </c>
      <c r="L551" s="2">
        <f>K551*0.25</f>
        <v/>
      </c>
      <c r="M551" s="2">
        <f>K551*0.10</f>
        <v/>
      </c>
      <c r="N551" s="2">
        <f>K551+L551+M551</f>
        <v/>
      </c>
      <c r="O551" s="2">
        <f>IF(G551&gt;0, N551/G551, 0)</f>
        <v/>
      </c>
      <c r="P551" s="3" t="n">
        <v>0.18</v>
      </c>
      <c r="Q551" s="2">
        <f>O551*(1+P551)</f>
        <v/>
      </c>
      <c r="R551" s="2">
        <f>G551*Q551</f>
        <v/>
      </c>
    </row>
    <row r="552">
      <c r="A552" t="n">
        <v>551</v>
      </c>
      <c r="B552" t="inlineStr">
        <is>
          <t>SW-DAMPER-551</t>
        </is>
      </c>
      <c r="C552" t="inlineStr">
        <is>
          <t>VAN GIÓ</t>
        </is>
      </c>
      <c r="D552" t="inlineStr">
        <is>
          <t>Van chặn lửa MFD EI90 - Kích thước 800x700</t>
        </is>
      </c>
      <c r="E552" t="inlineStr">
        <is>
          <t>800x700</t>
        </is>
      </c>
      <c r="F552" t="inlineStr">
        <is>
          <t>Cái</t>
        </is>
      </c>
      <c r="G552" s="2" t="n">
        <v>6</v>
      </c>
      <c r="H552" s="2">
        <f>SUMIF('01_BOC_TACH_ONG'!B:B, B552, '01_BOC_TACH_ONG'!K:K)</f>
        <v/>
      </c>
      <c r="I552" s="2">
        <f>SUMIF('02_BOC_TACH_CUA'!B:B, B552, '02_BOC_TACH_CUA'!K:K)</f>
        <v/>
      </c>
      <c r="J552" s="2">
        <f>SUMIF('03_BOC_TACH_VAN'!B:B, B552, '03_BOC_TACH_VAN'!K:K)</f>
        <v/>
      </c>
      <c r="K552" s="2">
        <f>SUM(H552:J552)</f>
        <v/>
      </c>
      <c r="L552" s="2">
        <f>K552*0.25</f>
        <v/>
      </c>
      <c r="M552" s="2">
        <f>K552*0.10</f>
        <v/>
      </c>
      <c r="N552" s="2">
        <f>K552+L552+M552</f>
        <v/>
      </c>
      <c r="O552" s="2">
        <f>IF(G552&gt;0, N552/G552, 0)</f>
        <v/>
      </c>
      <c r="P552" s="3" t="n">
        <v>0.18</v>
      </c>
      <c r="Q552" s="2">
        <f>O552*(1+P552)</f>
        <v/>
      </c>
      <c r="R552" s="2">
        <f>G552*Q552</f>
        <v/>
      </c>
    </row>
    <row r="553">
      <c r="A553" t="n">
        <v>552</v>
      </c>
      <c r="B553" t="inlineStr">
        <is>
          <t>SW-DAMPER-552</t>
        </is>
      </c>
      <c r="C553" t="inlineStr">
        <is>
          <t>VAN GIÓ</t>
        </is>
      </c>
      <c r="D553" t="inlineStr">
        <is>
          <t>Van chặn lửa MFD EI120 - Kích thước 900x300</t>
        </is>
      </c>
      <c r="E553" t="inlineStr">
        <is>
          <t>900x300</t>
        </is>
      </c>
      <c r="F553" t="inlineStr">
        <is>
          <t>Cái</t>
        </is>
      </c>
      <c r="G553" s="2" t="n">
        <v>1</v>
      </c>
      <c r="H553" s="2">
        <f>SUMIF('01_BOC_TACH_ONG'!B:B, B553, '01_BOC_TACH_ONG'!K:K)</f>
        <v/>
      </c>
      <c r="I553" s="2">
        <f>SUMIF('02_BOC_TACH_CUA'!B:B, B553, '02_BOC_TACH_CUA'!K:K)</f>
        <v/>
      </c>
      <c r="J553" s="2">
        <f>SUMIF('03_BOC_TACH_VAN'!B:B, B553, '03_BOC_TACH_VAN'!K:K)</f>
        <v/>
      </c>
      <c r="K553" s="2">
        <f>SUM(H553:J553)</f>
        <v/>
      </c>
      <c r="L553" s="2">
        <f>K553*0.25</f>
        <v/>
      </c>
      <c r="M553" s="2">
        <f>K553*0.10</f>
        <v/>
      </c>
      <c r="N553" s="2">
        <f>K553+L553+M553</f>
        <v/>
      </c>
      <c r="O553" s="2">
        <f>IF(G553&gt;0, N553/G553, 0)</f>
        <v/>
      </c>
      <c r="P553" s="3" t="n">
        <v>0.18</v>
      </c>
      <c r="Q553" s="2">
        <f>O553*(1+P553)</f>
        <v/>
      </c>
      <c r="R553" s="2">
        <f>G553*Q553</f>
        <v/>
      </c>
    </row>
    <row r="554">
      <c r="A554" t="n">
        <v>553</v>
      </c>
      <c r="B554" t="inlineStr">
        <is>
          <t>SW-DAMPER-553</t>
        </is>
      </c>
      <c r="C554" t="inlineStr">
        <is>
          <t>VAN GIÓ</t>
        </is>
      </c>
      <c r="D554" t="inlineStr">
        <is>
          <t>Van chặn lửa MFD EI45 - Kích thước 900x200</t>
        </is>
      </c>
      <c r="E554" t="inlineStr">
        <is>
          <t>900x200</t>
        </is>
      </c>
      <c r="F554" t="inlineStr">
        <is>
          <t>Cái</t>
        </is>
      </c>
      <c r="G554" s="2" t="n">
        <v>1</v>
      </c>
      <c r="H554" s="2">
        <f>SUMIF('01_BOC_TACH_ONG'!B:B, B554, '01_BOC_TACH_ONG'!K:K)</f>
        <v/>
      </c>
      <c r="I554" s="2">
        <f>SUMIF('02_BOC_TACH_CUA'!B:B, B554, '02_BOC_TACH_CUA'!K:K)</f>
        <v/>
      </c>
      <c r="J554" s="2">
        <f>SUMIF('03_BOC_TACH_VAN'!B:B, B554, '03_BOC_TACH_VAN'!K:K)</f>
        <v/>
      </c>
      <c r="K554" s="2">
        <f>SUM(H554:J554)</f>
        <v/>
      </c>
      <c r="L554" s="2">
        <f>K554*0.25</f>
        <v/>
      </c>
      <c r="M554" s="2">
        <f>K554*0.10</f>
        <v/>
      </c>
      <c r="N554" s="2">
        <f>K554+L554+M554</f>
        <v/>
      </c>
      <c r="O554" s="2">
        <f>IF(G554&gt;0, N554/G554, 0)</f>
        <v/>
      </c>
      <c r="P554" s="3" t="n">
        <v>0.18</v>
      </c>
      <c r="Q554" s="2">
        <f>O554*(1+P554)</f>
        <v/>
      </c>
      <c r="R554" s="2">
        <f>G554*Q554</f>
        <v/>
      </c>
    </row>
    <row r="555">
      <c r="A555" t="n">
        <v>554</v>
      </c>
      <c r="B555" t="inlineStr">
        <is>
          <t>SW-DAMPER-554</t>
        </is>
      </c>
      <c r="C555" t="inlineStr">
        <is>
          <t>VAN GIÓ</t>
        </is>
      </c>
      <c r="D555" t="inlineStr">
        <is>
          <t>Van chặn lửa MFD EI90 - Kích thước 900x200</t>
        </is>
      </c>
      <c r="E555" t="inlineStr">
        <is>
          <t>900x200</t>
        </is>
      </c>
      <c r="F555" t="inlineStr">
        <is>
          <t>Cái</t>
        </is>
      </c>
      <c r="G555" s="2" t="n">
        <v>1</v>
      </c>
      <c r="H555" s="2">
        <f>SUMIF('01_BOC_TACH_ONG'!B:B, B555, '01_BOC_TACH_ONG'!K:K)</f>
        <v/>
      </c>
      <c r="I555" s="2">
        <f>SUMIF('02_BOC_TACH_CUA'!B:B, B555, '02_BOC_TACH_CUA'!K:K)</f>
        <v/>
      </c>
      <c r="J555" s="2">
        <f>SUMIF('03_BOC_TACH_VAN'!B:B, B555, '03_BOC_TACH_VAN'!K:K)</f>
        <v/>
      </c>
      <c r="K555" s="2">
        <f>SUM(H555:J555)</f>
        <v/>
      </c>
      <c r="L555" s="2">
        <f>K555*0.25</f>
        <v/>
      </c>
      <c r="M555" s="2">
        <f>K555*0.10</f>
        <v/>
      </c>
      <c r="N555" s="2">
        <f>K555+L555+M555</f>
        <v/>
      </c>
      <c r="O555" s="2">
        <f>IF(G555&gt;0, N555/G555, 0)</f>
        <v/>
      </c>
      <c r="P555" s="3" t="n">
        <v>0.18</v>
      </c>
      <c r="Q555" s="2">
        <f>O555*(1+P555)</f>
        <v/>
      </c>
      <c r="R555" s="2">
        <f>G555*Q555</f>
        <v/>
      </c>
    </row>
    <row r="556">
      <c r="A556" t="n">
        <v>555</v>
      </c>
      <c r="B556" t="inlineStr">
        <is>
          <t>SW-DAMPER-555</t>
        </is>
      </c>
      <c r="C556" t="inlineStr">
        <is>
          <t>VAN GIÓ</t>
        </is>
      </c>
      <c r="D556" t="inlineStr">
        <is>
          <t>Van chặn lửa MFD EI90 - Kích thước 1000x600</t>
        </is>
      </c>
      <c r="E556" t="inlineStr">
        <is>
          <t>1000x600</t>
        </is>
      </c>
      <c r="F556" t="inlineStr">
        <is>
          <t>Cái</t>
        </is>
      </c>
      <c r="G556" s="2" t="n">
        <v>11</v>
      </c>
      <c r="H556" s="2">
        <f>SUMIF('01_BOC_TACH_ONG'!B:B, B556, '01_BOC_TACH_ONG'!K:K)</f>
        <v/>
      </c>
      <c r="I556" s="2">
        <f>SUMIF('02_BOC_TACH_CUA'!B:B, B556, '02_BOC_TACH_CUA'!K:K)</f>
        <v/>
      </c>
      <c r="J556" s="2">
        <f>SUMIF('03_BOC_TACH_VAN'!B:B, B556, '03_BOC_TACH_VAN'!K:K)</f>
        <v/>
      </c>
      <c r="K556" s="2">
        <f>SUM(H556:J556)</f>
        <v/>
      </c>
      <c r="L556" s="2">
        <f>K556*0.25</f>
        <v/>
      </c>
      <c r="M556" s="2">
        <f>K556*0.10</f>
        <v/>
      </c>
      <c r="N556" s="2">
        <f>K556+L556+M556</f>
        <v/>
      </c>
      <c r="O556" s="2">
        <f>IF(G556&gt;0, N556/G556, 0)</f>
        <v/>
      </c>
      <c r="P556" s="3" t="n">
        <v>0.18</v>
      </c>
      <c r="Q556" s="2">
        <f>O556*(1+P556)</f>
        <v/>
      </c>
      <c r="R556" s="2">
        <f>G556*Q556</f>
        <v/>
      </c>
    </row>
    <row r="557">
      <c r="A557" t="n">
        <v>556</v>
      </c>
      <c r="B557" t="inlineStr">
        <is>
          <t>SW-DAMPER-556</t>
        </is>
      </c>
      <c r="C557" t="inlineStr">
        <is>
          <t>VAN GIÓ</t>
        </is>
      </c>
      <c r="D557" t="inlineStr">
        <is>
          <t>Van chặn lửa MFD EI90 - Kích thước 1000x800</t>
        </is>
      </c>
      <c r="E557" t="inlineStr">
        <is>
          <t>1000x800</t>
        </is>
      </c>
      <c r="F557" t="inlineStr">
        <is>
          <t>Cái</t>
        </is>
      </c>
      <c r="G557" s="2" t="n">
        <v>1</v>
      </c>
      <c r="H557" s="2">
        <f>SUMIF('01_BOC_TACH_ONG'!B:B, B557, '01_BOC_TACH_ONG'!K:K)</f>
        <v/>
      </c>
      <c r="I557" s="2">
        <f>SUMIF('02_BOC_TACH_CUA'!B:B, B557, '02_BOC_TACH_CUA'!K:K)</f>
        <v/>
      </c>
      <c r="J557" s="2">
        <f>SUMIF('03_BOC_TACH_VAN'!B:B, B557, '03_BOC_TACH_VAN'!K:K)</f>
        <v/>
      </c>
      <c r="K557" s="2">
        <f>SUM(H557:J557)</f>
        <v/>
      </c>
      <c r="L557" s="2">
        <f>K557*0.25</f>
        <v/>
      </c>
      <c r="M557" s="2">
        <f>K557*0.10</f>
        <v/>
      </c>
      <c r="N557" s="2">
        <f>K557+L557+M557</f>
        <v/>
      </c>
      <c r="O557" s="2">
        <f>IF(G557&gt;0, N557/G557, 0)</f>
        <v/>
      </c>
      <c r="P557" s="3" t="n">
        <v>0.18</v>
      </c>
      <c r="Q557" s="2">
        <f>O557*(1+P557)</f>
        <v/>
      </c>
      <c r="R557" s="2">
        <f>G557*Q557</f>
        <v/>
      </c>
    </row>
    <row r="558">
      <c r="A558" t="n">
        <v>557</v>
      </c>
      <c r="B558" t="inlineStr">
        <is>
          <t>SW-DAMPER-557</t>
        </is>
      </c>
      <c r="C558" t="inlineStr">
        <is>
          <t>VAN GIÓ</t>
        </is>
      </c>
      <c r="D558" t="inlineStr">
        <is>
          <t>Van chặn lửa MFD EI120 - Kích thước 1000x800</t>
        </is>
      </c>
      <c r="E558" t="inlineStr">
        <is>
          <t>1000x800</t>
        </is>
      </c>
      <c r="F558" t="inlineStr">
        <is>
          <t>Cái</t>
        </is>
      </c>
      <c r="G558" s="2" t="n">
        <v>1</v>
      </c>
      <c r="H558" s="2">
        <f>SUMIF('01_BOC_TACH_ONG'!B:B, B558, '01_BOC_TACH_ONG'!K:K)</f>
        <v/>
      </c>
      <c r="I558" s="2">
        <f>SUMIF('02_BOC_TACH_CUA'!B:B, B558, '02_BOC_TACH_CUA'!K:K)</f>
        <v/>
      </c>
      <c r="J558" s="2">
        <f>SUMIF('03_BOC_TACH_VAN'!B:B, B558, '03_BOC_TACH_VAN'!K:K)</f>
        <v/>
      </c>
      <c r="K558" s="2">
        <f>SUM(H558:J558)</f>
        <v/>
      </c>
      <c r="L558" s="2">
        <f>K558*0.25</f>
        <v/>
      </c>
      <c r="M558" s="2">
        <f>K558*0.10</f>
        <v/>
      </c>
      <c r="N558" s="2">
        <f>K558+L558+M558</f>
        <v/>
      </c>
      <c r="O558" s="2">
        <f>IF(G558&gt;0, N558/G558, 0)</f>
        <v/>
      </c>
      <c r="P558" s="3" t="n">
        <v>0.18</v>
      </c>
      <c r="Q558" s="2">
        <f>O558*(1+P558)</f>
        <v/>
      </c>
      <c r="R558" s="2">
        <f>G558*Q558</f>
        <v/>
      </c>
    </row>
    <row r="559">
      <c r="A559" t="n">
        <v>558</v>
      </c>
      <c r="B559" t="inlineStr">
        <is>
          <t>SW-DIFF-558</t>
        </is>
      </c>
      <c r="C559" t="inlineStr">
        <is>
          <t>CỬA GIÓ</t>
        </is>
      </c>
      <c r="D559" t="inlineStr">
        <is>
          <t>KTM 450x450 + OBD</t>
        </is>
      </c>
      <c r="E559" t="inlineStr">
        <is>
          <t>450x450</t>
        </is>
      </c>
      <c r="F559" t="inlineStr">
        <is>
          <t>Cái</t>
        </is>
      </c>
      <c r="G559" s="2" t="n">
        <v>1</v>
      </c>
      <c r="H559" s="2">
        <f>SUMIF('01_BOC_TACH_ONG'!B:B, B559, '01_BOC_TACH_ONG'!K:K)</f>
        <v/>
      </c>
      <c r="I559" s="2">
        <f>SUMIF('02_BOC_TACH_CUA'!B:B, B559, '02_BOC_TACH_CUA'!K:K)</f>
        <v/>
      </c>
      <c r="J559" s="2">
        <f>SUMIF('03_BOC_TACH_VAN'!B:B, B559, '03_BOC_TACH_VAN'!K:K)</f>
        <v/>
      </c>
      <c r="K559" s="2">
        <f>SUM(H559:J559)</f>
        <v/>
      </c>
      <c r="L559" s="2">
        <f>K559*0.25</f>
        <v/>
      </c>
      <c r="M559" s="2">
        <f>K559*0.10</f>
        <v/>
      </c>
      <c r="N559" s="2">
        <f>K559+L559+M559</f>
        <v/>
      </c>
      <c r="O559" s="2">
        <f>IF(G559&gt;0, N559/G559, 0)</f>
        <v/>
      </c>
      <c r="P559" s="3" t="n">
        <v>0.18</v>
      </c>
      <c r="Q559" s="2">
        <f>O559*(1+P559)</f>
        <v/>
      </c>
      <c r="R559" s="2">
        <f>G559*Q559</f>
        <v/>
      </c>
    </row>
    <row r="560">
      <c r="A560" t="n">
        <v>559</v>
      </c>
      <c r="B560" t="inlineStr">
        <is>
          <t>SW-DIFF-559</t>
        </is>
      </c>
      <c r="C560" t="inlineStr">
        <is>
          <t>CỬA GIÓ</t>
        </is>
      </c>
      <c r="D560" t="inlineStr">
        <is>
          <t>KTM 600x600 + OBD</t>
        </is>
      </c>
      <c r="E560" t="inlineStr">
        <is>
          <t>600x600</t>
        </is>
      </c>
      <c r="F560" t="inlineStr">
        <is>
          <t>Cái</t>
        </is>
      </c>
      <c r="G560" s="2" t="n">
        <v>95</v>
      </c>
      <c r="H560" s="2">
        <f>SUMIF('01_BOC_TACH_ONG'!B:B, B560, '01_BOC_TACH_ONG'!K:K)</f>
        <v/>
      </c>
      <c r="I560" s="2">
        <f>SUMIF('02_BOC_TACH_CUA'!B:B, B560, '02_BOC_TACH_CUA'!K:K)</f>
        <v/>
      </c>
      <c r="J560" s="2">
        <f>SUMIF('03_BOC_TACH_VAN'!B:B, B560, '03_BOC_TACH_VAN'!K:K)</f>
        <v/>
      </c>
      <c r="K560" s="2">
        <f>SUM(H560:J560)</f>
        <v/>
      </c>
      <c r="L560" s="2">
        <f>K560*0.25</f>
        <v/>
      </c>
      <c r="M560" s="2">
        <f>K560*0.10</f>
        <v/>
      </c>
      <c r="N560" s="2">
        <f>K560+L560+M560</f>
        <v/>
      </c>
      <c r="O560" s="2">
        <f>IF(G560&gt;0, N560/G560, 0)</f>
        <v/>
      </c>
      <c r="P560" s="3" t="n">
        <v>0.18</v>
      </c>
      <c r="Q560" s="2">
        <f>O560*(1+P560)</f>
        <v/>
      </c>
      <c r="R560" s="2">
        <f>G560*Q560</f>
        <v/>
      </c>
    </row>
    <row r="561">
      <c r="A561" t="n">
        <v>560</v>
      </c>
      <c r="B561" t="inlineStr">
        <is>
          <t>SW-DIFF-560</t>
        </is>
      </c>
      <c r="C561" t="inlineStr">
        <is>
          <t>CỬA GIÓ</t>
        </is>
      </c>
      <c r="D561" t="inlineStr">
        <is>
          <t>KTM 600x600 + OBD</t>
        </is>
      </c>
      <c r="E561" t="inlineStr">
        <is>
          <t>600x600</t>
        </is>
      </c>
      <c r="F561" t="inlineStr">
        <is>
          <t>Cái</t>
        </is>
      </c>
      <c r="G561" s="2" t="n">
        <v>77</v>
      </c>
      <c r="H561" s="2">
        <f>SUMIF('01_BOC_TACH_ONG'!B:B, B561, '01_BOC_TACH_ONG'!K:K)</f>
        <v/>
      </c>
      <c r="I561" s="2">
        <f>SUMIF('02_BOC_TACH_CUA'!B:B, B561, '02_BOC_TACH_CUA'!K:K)</f>
        <v/>
      </c>
      <c r="J561" s="2">
        <f>SUMIF('03_BOC_TACH_VAN'!B:B, B561, '03_BOC_TACH_VAN'!K:K)</f>
        <v/>
      </c>
      <c r="K561" s="2">
        <f>SUM(H561:J561)</f>
        <v/>
      </c>
      <c r="L561" s="2">
        <f>K561*0.25</f>
        <v/>
      </c>
      <c r="M561" s="2">
        <f>K561*0.10</f>
        <v/>
      </c>
      <c r="N561" s="2">
        <f>K561+L561+M561</f>
        <v/>
      </c>
      <c r="O561" s="2">
        <f>IF(G561&gt;0, N561/G561, 0)</f>
        <v/>
      </c>
      <c r="P561" s="3" t="n">
        <v>0.18</v>
      </c>
      <c r="Q561" s="2">
        <f>O561*(1+P561)</f>
        <v/>
      </c>
      <c r="R561" s="2">
        <f>G561*Q561</f>
        <v/>
      </c>
    </row>
    <row r="562">
      <c r="A562" t="n">
        <v>561</v>
      </c>
      <c r="B562" t="inlineStr">
        <is>
          <t>SW-DIFF-561</t>
        </is>
      </c>
      <c r="C562" t="inlineStr">
        <is>
          <t>CỬA GIÓ</t>
        </is>
      </c>
      <c r="D562" t="inlineStr">
        <is>
          <t>KTM 600x600 + OBD</t>
        </is>
      </c>
      <c r="E562" t="inlineStr">
        <is>
          <t>600x600</t>
        </is>
      </c>
      <c r="F562" t="inlineStr">
        <is>
          <t>Cái</t>
        </is>
      </c>
      <c r="G562" s="2" t="n">
        <v>24</v>
      </c>
      <c r="H562" s="2">
        <f>SUMIF('01_BOC_TACH_ONG'!B:B, B562, '01_BOC_TACH_ONG'!K:K)</f>
        <v/>
      </c>
      <c r="I562" s="2">
        <f>SUMIF('02_BOC_TACH_CUA'!B:B, B562, '02_BOC_TACH_CUA'!K:K)</f>
        <v/>
      </c>
      <c r="J562" s="2">
        <f>SUMIF('03_BOC_TACH_VAN'!B:B, B562, '03_BOC_TACH_VAN'!K:K)</f>
        <v/>
      </c>
      <c r="K562" s="2">
        <f>SUM(H562:J562)</f>
        <v/>
      </c>
      <c r="L562" s="2">
        <f>K562*0.25</f>
        <v/>
      </c>
      <c r="M562" s="2">
        <f>K562*0.10</f>
        <v/>
      </c>
      <c r="N562" s="2">
        <f>K562+L562+M562</f>
        <v/>
      </c>
      <c r="O562" s="2">
        <f>IF(G562&gt;0, N562/G562, 0)</f>
        <v/>
      </c>
      <c r="P562" s="3" t="n">
        <v>0.18</v>
      </c>
      <c r="Q562" s="2">
        <f>O562*(1+P562)</f>
        <v/>
      </c>
      <c r="R562" s="2">
        <f>G562*Q562</f>
        <v/>
      </c>
    </row>
    <row r="563">
      <c r="A563" t="n">
        <v>562</v>
      </c>
      <c r="B563" t="inlineStr">
        <is>
          <t>SW-DIFF-562</t>
        </is>
      </c>
      <c r="C563" t="inlineStr">
        <is>
          <t>CỬA GIÓ</t>
        </is>
      </c>
      <c r="D563" t="inlineStr">
        <is>
          <t>KTM 600x600 + OBD</t>
        </is>
      </c>
      <c r="E563" t="inlineStr">
        <is>
          <t>600x600</t>
        </is>
      </c>
      <c r="F563" t="inlineStr">
        <is>
          <t>Cái</t>
        </is>
      </c>
      <c r="G563" s="2" t="n">
        <v>26</v>
      </c>
      <c r="H563" s="2">
        <f>SUMIF('01_BOC_TACH_ONG'!B:B, B563, '01_BOC_TACH_ONG'!K:K)</f>
        <v/>
      </c>
      <c r="I563" s="2">
        <f>SUMIF('02_BOC_TACH_CUA'!B:B, B563, '02_BOC_TACH_CUA'!K:K)</f>
        <v/>
      </c>
      <c r="J563" s="2">
        <f>SUMIF('03_BOC_TACH_VAN'!B:B, B563, '03_BOC_TACH_VAN'!K:K)</f>
        <v/>
      </c>
      <c r="K563" s="2">
        <f>SUM(H563:J563)</f>
        <v/>
      </c>
      <c r="L563" s="2">
        <f>K563*0.25</f>
        <v/>
      </c>
      <c r="M563" s="2">
        <f>K563*0.10</f>
        <v/>
      </c>
      <c r="N563" s="2">
        <f>K563+L563+M563</f>
        <v/>
      </c>
      <c r="O563" s="2">
        <f>IF(G563&gt;0, N563/G563, 0)</f>
        <v/>
      </c>
      <c r="P563" s="3" t="n">
        <v>0.18</v>
      </c>
      <c r="Q563" s="2">
        <f>O563*(1+P563)</f>
        <v/>
      </c>
      <c r="R563" s="2">
        <f>G563*Q563</f>
        <v/>
      </c>
    </row>
    <row r="564">
      <c r="A564" t="n">
        <v>563</v>
      </c>
      <c r="B564" t="inlineStr">
        <is>
          <t>SW-DIFF-563</t>
        </is>
      </c>
      <c r="C564" t="inlineStr">
        <is>
          <t>CỬA GIÓ</t>
        </is>
      </c>
      <c r="D564" t="inlineStr">
        <is>
          <t>Louver gió tươi FAL - Kích thước: 1400x350</t>
        </is>
      </c>
      <c r="E564" t="inlineStr">
        <is>
          <t>1400x350</t>
        </is>
      </c>
      <c r="F564" t="inlineStr">
        <is>
          <t>Cái</t>
        </is>
      </c>
      <c r="G564" s="2" t="n">
        <v>1</v>
      </c>
      <c r="H564" s="2">
        <f>SUMIF('01_BOC_TACH_ONG'!B:B, B564, '01_BOC_TACH_ONG'!K:K)</f>
        <v/>
      </c>
      <c r="I564" s="2">
        <f>SUMIF('02_BOC_TACH_CUA'!B:B, B564, '02_BOC_TACH_CUA'!K:K)</f>
        <v/>
      </c>
      <c r="J564" s="2">
        <f>SUMIF('03_BOC_TACH_VAN'!B:B, B564, '03_BOC_TACH_VAN'!K:K)</f>
        <v/>
      </c>
      <c r="K564" s="2">
        <f>SUM(H564:J564)</f>
        <v/>
      </c>
      <c r="L564" s="2">
        <f>K564*0.25</f>
        <v/>
      </c>
      <c r="M564" s="2">
        <f>K564*0.10</f>
        <v/>
      </c>
      <c r="N564" s="2">
        <f>K564+L564+M564</f>
        <v/>
      </c>
      <c r="O564" s="2">
        <f>IF(G564&gt;0, N564/G564, 0)</f>
        <v/>
      </c>
      <c r="P564" s="3" t="n">
        <v>0.18</v>
      </c>
      <c r="Q564" s="2">
        <f>O564*(1+P564)</f>
        <v/>
      </c>
      <c r="R564" s="2">
        <f>G564*Q564</f>
        <v/>
      </c>
    </row>
    <row r="565">
      <c r="A565" t="n">
        <v>564</v>
      </c>
      <c r="B565" t="inlineStr">
        <is>
          <t>SW-DIFF-564</t>
        </is>
      </c>
      <c r="C565" t="inlineStr">
        <is>
          <t>CỬA GIÓ</t>
        </is>
      </c>
      <c r="D565" t="inlineStr">
        <is>
          <t>Louver gió tươi FAL - Kích thước: 1600x600</t>
        </is>
      </c>
      <c r="E565" t="inlineStr">
        <is>
          <t>1600x600</t>
        </is>
      </c>
      <c r="F565" t="inlineStr">
        <is>
          <t>Cái</t>
        </is>
      </c>
      <c r="G565" s="2" t="n">
        <v>1</v>
      </c>
      <c r="H565" s="2">
        <f>SUMIF('01_BOC_TACH_ONG'!B:B, B565, '01_BOC_TACH_ONG'!K:K)</f>
        <v/>
      </c>
      <c r="I565" s="2">
        <f>SUMIF('02_BOC_TACH_CUA'!B:B, B565, '02_BOC_TACH_CUA'!K:K)</f>
        <v/>
      </c>
      <c r="J565" s="2">
        <f>SUMIF('03_BOC_TACH_VAN'!B:B, B565, '03_BOC_TACH_VAN'!K:K)</f>
        <v/>
      </c>
      <c r="K565" s="2">
        <f>SUM(H565:J565)</f>
        <v/>
      </c>
      <c r="L565" s="2">
        <f>K565*0.25</f>
        <v/>
      </c>
      <c r="M565" s="2">
        <f>K565*0.10</f>
        <v/>
      </c>
      <c r="N565" s="2">
        <f>K565+L565+M565</f>
        <v/>
      </c>
      <c r="O565" s="2">
        <f>IF(G565&gt;0, N565/G565, 0)</f>
        <v/>
      </c>
      <c r="P565" s="3" t="n">
        <v>0.18</v>
      </c>
      <c r="Q565" s="2">
        <f>O565*(1+P565)</f>
        <v/>
      </c>
      <c r="R565" s="2">
        <f>G565*Q565</f>
        <v/>
      </c>
    </row>
    <row r="566">
      <c r="A566" t="n">
        <v>565</v>
      </c>
      <c r="B566" t="inlineStr">
        <is>
          <t>SW-DAMPER-565</t>
        </is>
      </c>
      <c r="C566" t="inlineStr">
        <is>
          <t>VAN GIÓ</t>
        </is>
      </c>
      <c r="D566" t="inlineStr">
        <is>
          <t>Van gió MD - Kích thước 600x300</t>
        </is>
      </c>
      <c r="E566" t="inlineStr">
        <is>
          <t>600x300</t>
        </is>
      </c>
      <c r="F566" t="inlineStr">
        <is>
          <t>Cái</t>
        </is>
      </c>
      <c r="G566" s="2" t="n">
        <v>2</v>
      </c>
      <c r="H566" s="2">
        <f>SUMIF('01_BOC_TACH_ONG'!B:B, B566, '01_BOC_TACH_ONG'!K:K)</f>
        <v/>
      </c>
      <c r="I566" s="2">
        <f>SUMIF('02_BOC_TACH_CUA'!B:B, B566, '02_BOC_TACH_CUA'!K:K)</f>
        <v/>
      </c>
      <c r="J566" s="2">
        <f>SUMIF('03_BOC_TACH_VAN'!B:B, B566, '03_BOC_TACH_VAN'!K:K)</f>
        <v/>
      </c>
      <c r="K566" s="2">
        <f>SUM(H566:J566)</f>
        <v/>
      </c>
      <c r="L566" s="2">
        <f>K566*0.25</f>
        <v/>
      </c>
      <c r="M566" s="2">
        <f>K566*0.10</f>
        <v/>
      </c>
      <c r="N566" s="2">
        <f>K566+L566+M566</f>
        <v/>
      </c>
      <c r="O566" s="2">
        <f>IF(G566&gt;0, N566/G566, 0)</f>
        <v/>
      </c>
      <c r="P566" s="3" t="n">
        <v>0.18</v>
      </c>
      <c r="Q566" s="2">
        <f>O566*(1+P566)</f>
        <v/>
      </c>
      <c r="R566" s="2">
        <f>G566*Q566</f>
        <v/>
      </c>
    </row>
    <row r="567">
      <c r="A567" t="n">
        <v>566</v>
      </c>
      <c r="B567" t="inlineStr">
        <is>
          <t>SW-DAMPER-566</t>
        </is>
      </c>
      <c r="C567" t="inlineStr">
        <is>
          <t>VAN GIÓ</t>
        </is>
      </c>
      <c r="D567" t="inlineStr">
        <is>
          <t>Van gió MD - Kích thước 600x450</t>
        </is>
      </c>
      <c r="E567" t="inlineStr">
        <is>
          <t>600x450</t>
        </is>
      </c>
      <c r="F567" t="inlineStr">
        <is>
          <t>Cái</t>
        </is>
      </c>
      <c r="G567" s="2" t="n">
        <v>2</v>
      </c>
      <c r="H567" s="2">
        <f>SUMIF('01_BOC_TACH_ONG'!B:B, B567, '01_BOC_TACH_ONG'!K:K)</f>
        <v/>
      </c>
      <c r="I567" s="2">
        <f>SUMIF('02_BOC_TACH_CUA'!B:B, B567, '02_BOC_TACH_CUA'!K:K)</f>
        <v/>
      </c>
      <c r="J567" s="2">
        <f>SUMIF('03_BOC_TACH_VAN'!B:B, B567, '03_BOC_TACH_VAN'!K:K)</f>
        <v/>
      </c>
      <c r="K567" s="2">
        <f>SUM(H567:J567)</f>
        <v/>
      </c>
      <c r="L567" s="2">
        <f>K567*0.25</f>
        <v/>
      </c>
      <c r="M567" s="2">
        <f>K567*0.10</f>
        <v/>
      </c>
      <c r="N567" s="2">
        <f>K567+L567+M567</f>
        <v/>
      </c>
      <c r="O567" s="2">
        <f>IF(G567&gt;0, N567/G567, 0)</f>
        <v/>
      </c>
      <c r="P567" s="3" t="n">
        <v>0.18</v>
      </c>
      <c r="Q567" s="2">
        <f>O567*(1+P567)</f>
        <v/>
      </c>
      <c r="R567" s="2">
        <f>G567*Q567</f>
        <v/>
      </c>
    </row>
    <row r="568">
      <c r="A568" t="n">
        <v>567</v>
      </c>
      <c r="B568" t="inlineStr">
        <is>
          <t>SW-DAMPER-567</t>
        </is>
      </c>
      <c r="C568" t="inlineStr">
        <is>
          <t>VAN GIÓ</t>
        </is>
      </c>
      <c r="D568" t="inlineStr">
        <is>
          <t>Van gió MD - Kích thước 1000x500</t>
        </is>
      </c>
      <c r="E568" t="inlineStr">
        <is>
          <t>1000x500</t>
        </is>
      </c>
      <c r="F568" t="inlineStr">
        <is>
          <t>Cái</t>
        </is>
      </c>
      <c r="G568" s="2" t="n">
        <v>1</v>
      </c>
      <c r="H568" s="2">
        <f>SUMIF('01_BOC_TACH_ONG'!B:B, B568, '01_BOC_TACH_ONG'!K:K)</f>
        <v/>
      </c>
      <c r="I568" s="2">
        <f>SUMIF('02_BOC_TACH_CUA'!B:B, B568, '02_BOC_TACH_CUA'!K:K)</f>
        <v/>
      </c>
      <c r="J568" s="2">
        <f>SUMIF('03_BOC_TACH_VAN'!B:B, B568, '03_BOC_TACH_VAN'!K:K)</f>
        <v/>
      </c>
      <c r="K568" s="2">
        <f>SUM(H568:J568)</f>
        <v/>
      </c>
      <c r="L568" s="2">
        <f>K568*0.25</f>
        <v/>
      </c>
      <c r="M568" s="2">
        <f>K568*0.10</f>
        <v/>
      </c>
      <c r="N568" s="2">
        <f>K568+L568+M568</f>
        <v/>
      </c>
      <c r="O568" s="2">
        <f>IF(G568&gt;0, N568/G568, 0)</f>
        <v/>
      </c>
      <c r="P568" s="3" t="n">
        <v>0.18</v>
      </c>
      <c r="Q568" s="2">
        <f>O568*(1+P568)</f>
        <v/>
      </c>
      <c r="R568" s="2">
        <f>G568*Q568</f>
        <v/>
      </c>
    </row>
    <row r="569">
      <c r="A569" t="n">
        <v>568</v>
      </c>
      <c r="B569" t="inlineStr">
        <is>
          <t>SW-DAMPER-568</t>
        </is>
      </c>
      <c r="C569" t="inlineStr">
        <is>
          <t>VAN GIÓ</t>
        </is>
      </c>
      <c r="D569" t="inlineStr">
        <is>
          <t>Van gió MD - Kích thước 1000x600</t>
        </is>
      </c>
      <c r="E569" t="inlineStr">
        <is>
          <t>1000x600</t>
        </is>
      </c>
      <c r="F569" t="inlineStr">
        <is>
          <t>Cái</t>
        </is>
      </c>
      <c r="G569" s="2" t="n">
        <v>2</v>
      </c>
      <c r="H569" s="2">
        <f>SUMIF('01_BOC_TACH_ONG'!B:B, B569, '01_BOC_TACH_ONG'!K:K)</f>
        <v/>
      </c>
      <c r="I569" s="2">
        <f>SUMIF('02_BOC_TACH_CUA'!B:B, B569, '02_BOC_TACH_CUA'!K:K)</f>
        <v/>
      </c>
      <c r="J569" s="2">
        <f>SUMIF('03_BOC_TACH_VAN'!B:B, B569, '03_BOC_TACH_VAN'!K:K)</f>
        <v/>
      </c>
      <c r="K569" s="2">
        <f>SUM(H569:J569)</f>
        <v/>
      </c>
      <c r="L569" s="2">
        <f>K569*0.25</f>
        <v/>
      </c>
      <c r="M569" s="2">
        <f>K569*0.10</f>
        <v/>
      </c>
      <c r="N569" s="2">
        <f>K569+L569+M569</f>
        <v/>
      </c>
      <c r="O569" s="2">
        <f>IF(G569&gt;0, N569/G569, 0)</f>
        <v/>
      </c>
      <c r="P569" s="3" t="n">
        <v>0.18</v>
      </c>
      <c r="Q569" s="2">
        <f>O569*(1+P569)</f>
        <v/>
      </c>
      <c r="R569" s="2">
        <f>G569*Q569</f>
        <v/>
      </c>
    </row>
    <row r="570">
      <c r="A570" t="n">
        <v>569</v>
      </c>
      <c r="B570" t="inlineStr">
        <is>
          <t>SW-DAMPER-569</t>
        </is>
      </c>
      <c r="C570" t="inlineStr">
        <is>
          <t>VAN GIÓ</t>
        </is>
      </c>
      <c r="D570" t="inlineStr">
        <is>
          <t>Van gió MD - Kích thước 1200x900</t>
        </is>
      </c>
      <c r="E570" t="inlineStr">
        <is>
          <t>1200x900</t>
        </is>
      </c>
      <c r="F570" t="inlineStr">
        <is>
          <t>Cái</t>
        </is>
      </c>
      <c r="G570" s="2" t="n">
        <v>1</v>
      </c>
      <c r="H570" s="2">
        <f>SUMIF('01_BOC_TACH_ONG'!B:B, B570, '01_BOC_TACH_ONG'!K:K)</f>
        <v/>
      </c>
      <c r="I570" s="2">
        <f>SUMIF('02_BOC_TACH_CUA'!B:B, B570, '02_BOC_TACH_CUA'!K:K)</f>
        <v/>
      </c>
      <c r="J570" s="2">
        <f>SUMIF('03_BOC_TACH_VAN'!B:B, B570, '03_BOC_TACH_VAN'!K:K)</f>
        <v/>
      </c>
      <c r="K570" s="2">
        <f>SUM(H570:J570)</f>
        <v/>
      </c>
      <c r="L570" s="2">
        <f>K570*0.25</f>
        <v/>
      </c>
      <c r="M570" s="2">
        <f>K570*0.10</f>
        <v/>
      </c>
      <c r="N570" s="2">
        <f>K570+L570+M570</f>
        <v/>
      </c>
      <c r="O570" s="2">
        <f>IF(G570&gt;0, N570/G570, 0)</f>
        <v/>
      </c>
      <c r="P570" s="3" t="n">
        <v>0.18</v>
      </c>
      <c r="Q570" s="2">
        <f>O570*(1+P570)</f>
        <v/>
      </c>
      <c r="R570" s="2">
        <f>G570*Q570</f>
        <v/>
      </c>
    </row>
    <row r="571">
      <c r="A571" t="n">
        <v>570</v>
      </c>
      <c r="B571" t="inlineStr">
        <is>
          <t>SW-DAMPER-570</t>
        </is>
      </c>
      <c r="C571" t="inlineStr">
        <is>
          <t>VAN GIÓ</t>
        </is>
      </c>
      <c r="D571" t="inlineStr">
        <is>
          <t>Van gió MD - Kích thước D600 (theo đường kính quạt)</t>
        </is>
      </c>
      <c r="E571" t="inlineStr">
        <is>
          <t>600x600</t>
        </is>
      </c>
      <c r="F571" t="inlineStr">
        <is>
          <t>Cái</t>
        </is>
      </c>
      <c r="G571" s="2" t="n">
        <v>1</v>
      </c>
      <c r="H571" s="2">
        <f>SUMIF('01_BOC_TACH_ONG'!B:B, B571, '01_BOC_TACH_ONG'!K:K)</f>
        <v/>
      </c>
      <c r="I571" s="2">
        <f>SUMIF('02_BOC_TACH_CUA'!B:B, B571, '02_BOC_TACH_CUA'!K:K)</f>
        <v/>
      </c>
      <c r="J571" s="2">
        <f>SUMIF('03_BOC_TACH_VAN'!B:B, B571, '03_BOC_TACH_VAN'!K:K)</f>
        <v/>
      </c>
      <c r="K571" s="2">
        <f>SUM(H571:J571)</f>
        <v/>
      </c>
      <c r="L571" s="2">
        <f>K571*0.25</f>
        <v/>
      </c>
      <c r="M571" s="2">
        <f>K571*0.10</f>
        <v/>
      </c>
      <c r="N571" s="2">
        <f>K571+L571+M571</f>
        <v/>
      </c>
      <c r="O571" s="2">
        <f>IF(G571&gt;0, N571/G571, 0)</f>
        <v/>
      </c>
      <c r="P571" s="3" t="n">
        <v>0.18</v>
      </c>
      <c r="Q571" s="2">
        <f>O571*(1+P571)</f>
        <v/>
      </c>
      <c r="R571" s="2">
        <f>G571*Q571</f>
        <v/>
      </c>
    </row>
    <row r="572">
      <c r="A572" t="n">
        <v>571</v>
      </c>
      <c r="B572" t="inlineStr">
        <is>
          <t>SW-DAMPER-571</t>
        </is>
      </c>
      <c r="C572" t="inlineStr">
        <is>
          <t>VAN GIÓ</t>
        </is>
      </c>
      <c r="D572" t="inlineStr">
        <is>
          <t>Van gió MD - Kích thước D750 (theo đường kính quạt)</t>
        </is>
      </c>
      <c r="E572" t="inlineStr">
        <is>
          <t>750x750</t>
        </is>
      </c>
      <c r="F572" t="inlineStr">
        <is>
          <t>Cái</t>
        </is>
      </c>
      <c r="G572" s="2" t="n">
        <v>1</v>
      </c>
      <c r="H572" s="2">
        <f>SUMIF('01_BOC_TACH_ONG'!B:B, B572, '01_BOC_TACH_ONG'!K:K)</f>
        <v/>
      </c>
      <c r="I572" s="2">
        <f>SUMIF('02_BOC_TACH_CUA'!B:B, B572, '02_BOC_TACH_CUA'!K:K)</f>
        <v/>
      </c>
      <c r="J572" s="2">
        <f>SUMIF('03_BOC_TACH_VAN'!B:B, B572, '03_BOC_TACH_VAN'!K:K)</f>
        <v/>
      </c>
      <c r="K572" s="2">
        <f>SUM(H572:J572)</f>
        <v/>
      </c>
      <c r="L572" s="2">
        <f>K572*0.25</f>
        <v/>
      </c>
      <c r="M572" s="2">
        <f>K572*0.10</f>
        <v/>
      </c>
      <c r="N572" s="2">
        <f>K572+L572+M572</f>
        <v/>
      </c>
      <c r="O572" s="2">
        <f>IF(G572&gt;0, N572/G572, 0)</f>
        <v/>
      </c>
      <c r="P572" s="3" t="n">
        <v>0.18</v>
      </c>
      <c r="Q572" s="2">
        <f>O572*(1+P572)</f>
        <v/>
      </c>
      <c r="R572" s="2">
        <f>G572*Q572</f>
        <v/>
      </c>
    </row>
    <row r="573">
      <c r="A573" t="n">
        <v>572</v>
      </c>
      <c r="B573" t="inlineStr">
        <is>
          <t>SW-DAMPER-572</t>
        </is>
      </c>
      <c r="C573" t="inlineStr">
        <is>
          <t>VAN GIÓ</t>
        </is>
      </c>
      <c r="D573" t="inlineStr">
        <is>
          <t>Van chặn lửa MFD EI45 - Kích thước 600x250</t>
        </is>
      </c>
      <c r="E573" t="inlineStr">
        <is>
          <t>600x250</t>
        </is>
      </c>
      <c r="F573" t="inlineStr">
        <is>
          <t>Cái</t>
        </is>
      </c>
      <c r="G573" s="2" t="n">
        <v>97</v>
      </c>
      <c r="H573" s="2">
        <f>SUMIF('01_BOC_TACH_ONG'!B:B, B573, '01_BOC_TACH_ONG'!K:K)</f>
        <v/>
      </c>
      <c r="I573" s="2">
        <f>SUMIF('02_BOC_TACH_CUA'!B:B, B573, '02_BOC_TACH_CUA'!K:K)</f>
        <v/>
      </c>
      <c r="J573" s="2">
        <f>SUMIF('03_BOC_TACH_VAN'!B:B, B573, '03_BOC_TACH_VAN'!K:K)</f>
        <v/>
      </c>
      <c r="K573" s="2">
        <f>SUM(H573:J573)</f>
        <v/>
      </c>
      <c r="L573" s="2">
        <f>K573*0.25</f>
        <v/>
      </c>
      <c r="M573" s="2">
        <f>K573*0.10</f>
        <v/>
      </c>
      <c r="N573" s="2">
        <f>K573+L573+M573</f>
        <v/>
      </c>
      <c r="O573" s="2">
        <f>IF(G573&gt;0, N573/G573, 0)</f>
        <v/>
      </c>
      <c r="P573" s="3" t="n">
        <v>0.18</v>
      </c>
      <c r="Q573" s="2">
        <f>O573*(1+P573)</f>
        <v/>
      </c>
      <c r="R573" s="2">
        <f>G573*Q573</f>
        <v/>
      </c>
    </row>
    <row r="574">
      <c r="A574" t="n">
        <v>573</v>
      </c>
      <c r="B574" t="inlineStr">
        <is>
          <t>SW-DAMPER-573</t>
        </is>
      </c>
      <c r="C574" t="inlineStr">
        <is>
          <t>VAN GIÓ</t>
        </is>
      </c>
      <c r="D574" t="inlineStr">
        <is>
          <t>Van chặn lửa MFD EI45 - Kích thước 600x300</t>
        </is>
      </c>
      <c r="E574" t="inlineStr">
        <is>
          <t>600x300</t>
        </is>
      </c>
      <c r="F574" t="inlineStr">
        <is>
          <t>Cái</t>
        </is>
      </c>
      <c r="G574" s="2" t="n">
        <v>2</v>
      </c>
      <c r="H574" s="2">
        <f>SUMIF('01_BOC_TACH_ONG'!B:B, B574, '01_BOC_TACH_ONG'!K:K)</f>
        <v/>
      </c>
      <c r="I574" s="2">
        <f>SUMIF('02_BOC_TACH_CUA'!B:B, B574, '02_BOC_TACH_CUA'!K:K)</f>
        <v/>
      </c>
      <c r="J574" s="2">
        <f>SUMIF('03_BOC_TACH_VAN'!B:B, B574, '03_BOC_TACH_VAN'!K:K)</f>
        <v/>
      </c>
      <c r="K574" s="2">
        <f>SUM(H574:J574)</f>
        <v/>
      </c>
      <c r="L574" s="2">
        <f>K574*0.25</f>
        <v/>
      </c>
      <c r="M574" s="2">
        <f>K574*0.10</f>
        <v/>
      </c>
      <c r="N574" s="2">
        <f>K574+L574+M574</f>
        <v/>
      </c>
      <c r="O574" s="2">
        <f>IF(G574&gt;0, N574/G574, 0)</f>
        <v/>
      </c>
      <c r="P574" s="3" t="n">
        <v>0.18</v>
      </c>
      <c r="Q574" s="2">
        <f>O574*(1+P574)</f>
        <v/>
      </c>
      <c r="R574" s="2">
        <f>G574*Q574</f>
        <v/>
      </c>
    </row>
    <row r="575">
      <c r="A575" t="n">
        <v>574</v>
      </c>
      <c r="B575" t="inlineStr">
        <is>
          <t>SW-DAMPER-574</t>
        </is>
      </c>
      <c r="C575" t="inlineStr">
        <is>
          <t>VAN GIÓ</t>
        </is>
      </c>
      <c r="D575" t="inlineStr">
        <is>
          <t>Van chặn lửa MFD EI90 - Kích thước 600x300</t>
        </is>
      </c>
      <c r="E575" t="inlineStr">
        <is>
          <t>600x300</t>
        </is>
      </c>
      <c r="F575" t="inlineStr">
        <is>
          <t>Cái</t>
        </is>
      </c>
      <c r="G575" s="2" t="n">
        <v>1</v>
      </c>
      <c r="H575" s="2">
        <f>SUMIF('01_BOC_TACH_ONG'!B:B, B575, '01_BOC_TACH_ONG'!K:K)</f>
        <v/>
      </c>
      <c r="I575" s="2">
        <f>SUMIF('02_BOC_TACH_CUA'!B:B, B575, '02_BOC_TACH_CUA'!K:K)</f>
        <v/>
      </c>
      <c r="J575" s="2">
        <f>SUMIF('03_BOC_TACH_VAN'!B:B, B575, '03_BOC_TACH_VAN'!K:K)</f>
        <v/>
      </c>
      <c r="K575" s="2">
        <f>SUM(H575:J575)</f>
        <v/>
      </c>
      <c r="L575" s="2">
        <f>K575*0.25</f>
        <v/>
      </c>
      <c r="M575" s="2">
        <f>K575*0.10</f>
        <v/>
      </c>
      <c r="N575" s="2">
        <f>K575+L575+M575</f>
        <v/>
      </c>
      <c r="O575" s="2">
        <f>IF(G575&gt;0, N575/G575, 0)</f>
        <v/>
      </c>
      <c r="P575" s="3" t="n">
        <v>0.18</v>
      </c>
      <c r="Q575" s="2">
        <f>O575*(1+P575)</f>
        <v/>
      </c>
      <c r="R575" s="2">
        <f>G575*Q575</f>
        <v/>
      </c>
    </row>
    <row r="576">
      <c r="A576" t="n">
        <v>575</v>
      </c>
      <c r="B576" t="inlineStr">
        <is>
          <t>SW-DAMPER-575</t>
        </is>
      </c>
      <c r="C576" t="inlineStr">
        <is>
          <t>VAN GIÓ</t>
        </is>
      </c>
      <c r="D576" t="inlineStr">
        <is>
          <t>Van chặn lửa MFD EI45 - Kích thước 600x400</t>
        </is>
      </c>
      <c r="E576" t="inlineStr">
        <is>
          <t>600x400</t>
        </is>
      </c>
      <c r="F576" t="inlineStr">
        <is>
          <t>Cái</t>
        </is>
      </c>
      <c r="G576" s="2" t="n">
        <v>1</v>
      </c>
      <c r="H576" s="2">
        <f>SUMIF('01_BOC_TACH_ONG'!B:B, B576, '01_BOC_TACH_ONG'!K:K)</f>
        <v/>
      </c>
      <c r="I576" s="2">
        <f>SUMIF('02_BOC_TACH_CUA'!B:B, B576, '02_BOC_TACH_CUA'!K:K)</f>
        <v/>
      </c>
      <c r="J576" s="2">
        <f>SUMIF('03_BOC_TACH_VAN'!B:B, B576, '03_BOC_TACH_VAN'!K:K)</f>
        <v/>
      </c>
      <c r="K576" s="2">
        <f>SUM(H576:J576)</f>
        <v/>
      </c>
      <c r="L576" s="2">
        <f>K576*0.25</f>
        <v/>
      </c>
      <c r="M576" s="2">
        <f>K576*0.10</f>
        <v/>
      </c>
      <c r="N576" s="2">
        <f>K576+L576+M576</f>
        <v/>
      </c>
      <c r="O576" s="2">
        <f>IF(G576&gt;0, N576/G576, 0)</f>
        <v/>
      </c>
      <c r="P576" s="3" t="n">
        <v>0.18</v>
      </c>
      <c r="Q576" s="2">
        <f>O576*(1+P576)</f>
        <v/>
      </c>
      <c r="R576" s="2">
        <f>G576*Q576</f>
        <v/>
      </c>
    </row>
    <row r="577">
      <c r="A577" t="n">
        <v>576</v>
      </c>
      <c r="B577" t="inlineStr">
        <is>
          <t>SW-DAMPER-576</t>
        </is>
      </c>
      <c r="C577" t="inlineStr">
        <is>
          <t>VAN GIÓ</t>
        </is>
      </c>
      <c r="D577" t="inlineStr">
        <is>
          <t>Van chặn lửa MFD EI45 - Kích thước 600x450</t>
        </is>
      </c>
      <c r="E577" t="inlineStr">
        <is>
          <t>600x450</t>
        </is>
      </c>
      <c r="F577" t="inlineStr">
        <is>
          <t>Cái</t>
        </is>
      </c>
      <c r="G577" s="2" t="n">
        <v>2</v>
      </c>
      <c r="H577" s="2">
        <f>SUMIF('01_BOC_TACH_ONG'!B:B, B577, '01_BOC_TACH_ONG'!K:K)</f>
        <v/>
      </c>
      <c r="I577" s="2">
        <f>SUMIF('02_BOC_TACH_CUA'!B:B, B577, '02_BOC_TACH_CUA'!K:K)</f>
        <v/>
      </c>
      <c r="J577" s="2">
        <f>SUMIF('03_BOC_TACH_VAN'!B:B, B577, '03_BOC_TACH_VAN'!K:K)</f>
        <v/>
      </c>
      <c r="K577" s="2">
        <f>SUM(H577:J577)</f>
        <v/>
      </c>
      <c r="L577" s="2">
        <f>K577*0.25</f>
        <v/>
      </c>
      <c r="M577" s="2">
        <f>K577*0.10</f>
        <v/>
      </c>
      <c r="N577" s="2">
        <f>K577+L577+M577</f>
        <v/>
      </c>
      <c r="O577" s="2">
        <f>IF(G577&gt;0, N577/G577, 0)</f>
        <v/>
      </c>
      <c r="P577" s="3" t="n">
        <v>0.18</v>
      </c>
      <c r="Q577" s="2">
        <f>O577*(1+P577)</f>
        <v/>
      </c>
      <c r="R577" s="2">
        <f>G577*Q577</f>
        <v/>
      </c>
    </row>
    <row r="578">
      <c r="A578" t="n">
        <v>577</v>
      </c>
      <c r="B578" t="inlineStr">
        <is>
          <t>SW-DAMPER-577</t>
        </is>
      </c>
      <c r="C578" t="inlineStr">
        <is>
          <t>VAN GIÓ</t>
        </is>
      </c>
      <c r="D578" t="inlineStr">
        <is>
          <t>Van chặn lửa MFD EI90 - Kích thước 600x450</t>
        </is>
      </c>
      <c r="E578" t="inlineStr">
        <is>
          <t>600x450</t>
        </is>
      </c>
      <c r="F578" t="inlineStr">
        <is>
          <t>Cái</t>
        </is>
      </c>
      <c r="G578" s="2" t="n">
        <v>2</v>
      </c>
      <c r="H578" s="2">
        <f>SUMIF('01_BOC_TACH_ONG'!B:B, B578, '01_BOC_TACH_ONG'!K:K)</f>
        <v/>
      </c>
      <c r="I578" s="2">
        <f>SUMIF('02_BOC_TACH_CUA'!B:B, B578, '02_BOC_TACH_CUA'!K:K)</f>
        <v/>
      </c>
      <c r="J578" s="2">
        <f>SUMIF('03_BOC_TACH_VAN'!B:B, B578, '03_BOC_TACH_VAN'!K:K)</f>
        <v/>
      </c>
      <c r="K578" s="2">
        <f>SUM(H578:J578)</f>
        <v/>
      </c>
      <c r="L578" s="2">
        <f>K578*0.25</f>
        <v/>
      </c>
      <c r="M578" s="2">
        <f>K578*0.10</f>
        <v/>
      </c>
      <c r="N578" s="2">
        <f>K578+L578+M578</f>
        <v/>
      </c>
      <c r="O578" s="2">
        <f>IF(G578&gt;0, N578/G578, 0)</f>
        <v/>
      </c>
      <c r="P578" s="3" t="n">
        <v>0.18</v>
      </c>
      <c r="Q578" s="2">
        <f>O578*(1+P578)</f>
        <v/>
      </c>
      <c r="R578" s="2">
        <f>G578*Q578</f>
        <v/>
      </c>
    </row>
    <row r="579">
      <c r="A579" t="n">
        <v>578</v>
      </c>
      <c r="B579" t="inlineStr">
        <is>
          <t>SW-DAMPER-578</t>
        </is>
      </c>
      <c r="C579" t="inlineStr">
        <is>
          <t>VAN GIÓ</t>
        </is>
      </c>
      <c r="D579" t="inlineStr">
        <is>
          <t>Van chặn lửa MFD EI45 - Kích thước 750x350</t>
        </is>
      </c>
      <c r="E579" t="inlineStr">
        <is>
          <t>750x350</t>
        </is>
      </c>
      <c r="F579" t="inlineStr">
        <is>
          <t>Cái</t>
        </is>
      </c>
      <c r="G579" s="2" t="n">
        <v>1</v>
      </c>
      <c r="H579" s="2">
        <f>SUMIF('01_BOC_TACH_ONG'!B:B, B579, '01_BOC_TACH_ONG'!K:K)</f>
        <v/>
      </c>
      <c r="I579" s="2">
        <f>SUMIF('02_BOC_TACH_CUA'!B:B, B579, '02_BOC_TACH_CUA'!K:K)</f>
        <v/>
      </c>
      <c r="J579" s="2">
        <f>SUMIF('03_BOC_TACH_VAN'!B:B, B579, '03_BOC_TACH_VAN'!K:K)</f>
        <v/>
      </c>
      <c r="K579" s="2">
        <f>SUM(H579:J579)</f>
        <v/>
      </c>
      <c r="L579" s="2">
        <f>K579*0.25</f>
        <v/>
      </c>
      <c r="M579" s="2">
        <f>K579*0.10</f>
        <v/>
      </c>
      <c r="N579" s="2">
        <f>K579+L579+M579</f>
        <v/>
      </c>
      <c r="O579" s="2">
        <f>IF(G579&gt;0, N579/G579, 0)</f>
        <v/>
      </c>
      <c r="P579" s="3" t="n">
        <v>0.18</v>
      </c>
      <c r="Q579" s="2">
        <f>O579*(1+P579)</f>
        <v/>
      </c>
      <c r="R579" s="2">
        <f>G579*Q579</f>
        <v/>
      </c>
    </row>
    <row r="580">
      <c r="A580" t="n">
        <v>579</v>
      </c>
      <c r="B580" t="inlineStr">
        <is>
          <t>SW-DAMPER-579</t>
        </is>
      </c>
      <c r="C580" t="inlineStr">
        <is>
          <t>VAN GIÓ</t>
        </is>
      </c>
      <c r="D580" t="inlineStr">
        <is>
          <t>Van chặn lửa MFD EI90 - Kích thước 750x350</t>
        </is>
      </c>
      <c r="E580" t="inlineStr">
        <is>
          <t>750x350</t>
        </is>
      </c>
      <c r="F580" t="inlineStr">
        <is>
          <t>Cái</t>
        </is>
      </c>
      <c r="G580" s="2" t="n">
        <v>1</v>
      </c>
      <c r="H580" s="2">
        <f>SUMIF('01_BOC_TACH_ONG'!B:B, B580, '01_BOC_TACH_ONG'!K:K)</f>
        <v/>
      </c>
      <c r="I580" s="2">
        <f>SUMIF('02_BOC_TACH_CUA'!B:B, B580, '02_BOC_TACH_CUA'!K:K)</f>
        <v/>
      </c>
      <c r="J580" s="2">
        <f>SUMIF('03_BOC_TACH_VAN'!B:B, B580, '03_BOC_TACH_VAN'!K:K)</f>
        <v/>
      </c>
      <c r="K580" s="2">
        <f>SUM(H580:J580)</f>
        <v/>
      </c>
      <c r="L580" s="2">
        <f>K580*0.25</f>
        <v/>
      </c>
      <c r="M580" s="2">
        <f>K580*0.10</f>
        <v/>
      </c>
      <c r="N580" s="2">
        <f>K580+L580+M580</f>
        <v/>
      </c>
      <c r="O580" s="2">
        <f>IF(G580&gt;0, N580/G580, 0)</f>
        <v/>
      </c>
      <c r="P580" s="3" t="n">
        <v>0.18</v>
      </c>
      <c r="Q580" s="2">
        <f>O580*(1+P580)</f>
        <v/>
      </c>
      <c r="R580" s="2">
        <f>G580*Q580</f>
        <v/>
      </c>
    </row>
    <row r="581">
      <c r="A581" t="n">
        <v>580</v>
      </c>
      <c r="B581" t="inlineStr">
        <is>
          <t>SW-DAMPER-580</t>
        </is>
      </c>
      <c r="C581" t="inlineStr">
        <is>
          <t>VAN GIÓ</t>
        </is>
      </c>
      <c r="D581" t="inlineStr">
        <is>
          <t>Van chặn lửa MFD EI45 - Kích thước 1000x600</t>
        </is>
      </c>
      <c r="E581" t="inlineStr">
        <is>
          <t>1000x600</t>
        </is>
      </c>
      <c r="F581" t="inlineStr">
        <is>
          <t>Cái</t>
        </is>
      </c>
      <c r="G581" s="2" t="n">
        <v>3</v>
      </c>
      <c r="H581" s="2">
        <f>SUMIF('01_BOC_TACH_ONG'!B:B, B581, '01_BOC_TACH_ONG'!K:K)</f>
        <v/>
      </c>
      <c r="I581" s="2">
        <f>SUMIF('02_BOC_TACH_CUA'!B:B, B581, '02_BOC_TACH_CUA'!K:K)</f>
        <v/>
      </c>
      <c r="J581" s="2">
        <f>SUMIF('03_BOC_TACH_VAN'!B:B, B581, '03_BOC_TACH_VAN'!K:K)</f>
        <v/>
      </c>
      <c r="K581" s="2">
        <f>SUM(H581:J581)</f>
        <v/>
      </c>
      <c r="L581" s="2">
        <f>K581*0.25</f>
        <v/>
      </c>
      <c r="M581" s="2">
        <f>K581*0.10</f>
        <v/>
      </c>
      <c r="N581" s="2">
        <f>K581+L581+M581</f>
        <v/>
      </c>
      <c r="O581" s="2">
        <f>IF(G581&gt;0, N581/G581, 0)</f>
        <v/>
      </c>
      <c r="P581" s="3" t="n">
        <v>0.18</v>
      </c>
      <c r="Q581" s="2">
        <f>O581*(1+P581)</f>
        <v/>
      </c>
      <c r="R581" s="2">
        <f>G581*Q581</f>
        <v/>
      </c>
    </row>
    <row r="582">
      <c r="A582" t="n">
        <v>581</v>
      </c>
      <c r="B582" t="inlineStr">
        <is>
          <t>SW-DAMPER-581</t>
        </is>
      </c>
      <c r="C582" t="inlineStr">
        <is>
          <t>VAN GIÓ</t>
        </is>
      </c>
      <c r="D582" t="inlineStr">
        <is>
          <t>Van chặn lửa MFD EI45 - Kích thước 1200x900</t>
        </is>
      </c>
      <c r="E582" t="inlineStr">
        <is>
          <t>1200x900</t>
        </is>
      </c>
      <c r="F582" t="inlineStr">
        <is>
          <t>Cái</t>
        </is>
      </c>
      <c r="G582" s="2" t="n">
        <v>1</v>
      </c>
      <c r="H582" s="2">
        <f>SUMIF('01_BOC_TACH_ONG'!B:B, B582, '01_BOC_TACH_ONG'!K:K)</f>
        <v/>
      </c>
      <c r="I582" s="2">
        <f>SUMIF('02_BOC_TACH_CUA'!B:B, B582, '02_BOC_TACH_CUA'!K:K)</f>
        <v/>
      </c>
      <c r="J582" s="2">
        <f>SUMIF('03_BOC_TACH_VAN'!B:B, B582, '03_BOC_TACH_VAN'!K:K)</f>
        <v/>
      </c>
      <c r="K582" s="2">
        <f>SUM(H582:J582)</f>
        <v/>
      </c>
      <c r="L582" s="2">
        <f>K582*0.25</f>
        <v/>
      </c>
      <c r="M582" s="2">
        <f>K582*0.10</f>
        <v/>
      </c>
      <c r="N582" s="2">
        <f>K582+L582+M582</f>
        <v/>
      </c>
      <c r="O582" s="2">
        <f>IF(G582&gt;0, N582/G582, 0)</f>
        <v/>
      </c>
      <c r="P582" s="3" t="n">
        <v>0.18</v>
      </c>
      <c r="Q582" s="2">
        <f>O582*(1+P582)</f>
        <v/>
      </c>
      <c r="R582" s="2">
        <f>G582*Q582</f>
        <v/>
      </c>
    </row>
    <row r="583">
      <c r="A583" t="n">
        <v>582</v>
      </c>
      <c r="B583" t="inlineStr">
        <is>
          <t>SW-DIFF-582</t>
        </is>
      </c>
      <c r="C583" t="inlineStr">
        <is>
          <t>CỬA GIÓ</t>
        </is>
      </c>
      <c r="D583" t="inlineStr">
        <is>
          <t>KTM 200x300 + OBD</t>
        </is>
      </c>
      <c r="E583" t="inlineStr">
        <is>
          <t>200x300</t>
        </is>
      </c>
      <c r="F583" t="inlineStr">
        <is>
          <t>Cái</t>
        </is>
      </c>
      <c r="G583" s="2" t="n">
        <v>11</v>
      </c>
      <c r="H583" s="2">
        <f>SUMIF('01_BOC_TACH_ONG'!B:B, B583, '01_BOC_TACH_ONG'!K:K)</f>
        <v/>
      </c>
      <c r="I583" s="2">
        <f>SUMIF('02_BOC_TACH_CUA'!B:B, B583, '02_BOC_TACH_CUA'!K:K)</f>
        <v/>
      </c>
      <c r="J583" s="2">
        <f>SUMIF('03_BOC_TACH_VAN'!B:B, B583, '03_BOC_TACH_VAN'!K:K)</f>
        <v/>
      </c>
      <c r="K583" s="2">
        <f>SUM(H583:J583)</f>
        <v/>
      </c>
      <c r="L583" s="2">
        <f>K583*0.25</f>
        <v/>
      </c>
      <c r="M583" s="2">
        <f>K583*0.10</f>
        <v/>
      </c>
      <c r="N583" s="2">
        <f>K583+L583+M583</f>
        <v/>
      </c>
      <c r="O583" s="2">
        <f>IF(G583&gt;0, N583/G583, 0)</f>
        <v/>
      </c>
      <c r="P583" s="3" t="n">
        <v>0.18</v>
      </c>
      <c r="Q583" s="2">
        <f>O583*(1+P583)</f>
        <v/>
      </c>
      <c r="R583" s="2">
        <f>G583*Q583</f>
        <v/>
      </c>
    </row>
    <row r="584">
      <c r="A584" t="n">
        <v>583</v>
      </c>
      <c r="B584" t="inlineStr">
        <is>
          <t>SW-DIFF-583</t>
        </is>
      </c>
      <c r="C584" t="inlineStr">
        <is>
          <t>CỬA GIÓ</t>
        </is>
      </c>
      <c r="D584" t="inlineStr">
        <is>
          <t>KTM 200x200 + OBD</t>
        </is>
      </c>
      <c r="E584" t="inlineStr">
        <is>
          <t>200x200</t>
        </is>
      </c>
      <c r="F584" t="inlineStr">
        <is>
          <t>Cái</t>
        </is>
      </c>
      <c r="G584" s="2" t="n">
        <v>51</v>
      </c>
      <c r="H584" s="2">
        <f>SUMIF('01_BOC_TACH_ONG'!B:B, B584, '01_BOC_TACH_ONG'!K:K)</f>
        <v/>
      </c>
      <c r="I584" s="2">
        <f>SUMIF('02_BOC_TACH_CUA'!B:B, B584, '02_BOC_TACH_CUA'!K:K)</f>
        <v/>
      </c>
      <c r="J584" s="2">
        <f>SUMIF('03_BOC_TACH_VAN'!B:B, B584, '03_BOC_TACH_VAN'!K:K)</f>
        <v/>
      </c>
      <c r="K584" s="2">
        <f>SUM(H584:J584)</f>
        <v/>
      </c>
      <c r="L584" s="2">
        <f>K584*0.25</f>
        <v/>
      </c>
      <c r="M584" s="2">
        <f>K584*0.10</f>
        <v/>
      </c>
      <c r="N584" s="2">
        <f>K584+L584+M584</f>
        <v/>
      </c>
      <c r="O584" s="2">
        <f>IF(G584&gt;0, N584/G584, 0)</f>
        <v/>
      </c>
      <c r="P584" s="3" t="n">
        <v>0.18</v>
      </c>
      <c r="Q584" s="2">
        <f>O584*(1+P584)</f>
        <v/>
      </c>
      <c r="R584" s="2">
        <f>G584*Q584</f>
        <v/>
      </c>
    </row>
    <row r="585">
      <c r="A585" t="n">
        <v>584</v>
      </c>
      <c r="B585" t="inlineStr">
        <is>
          <t>SW-DIFF-584</t>
        </is>
      </c>
      <c r="C585" t="inlineStr">
        <is>
          <t>CỬA GIÓ</t>
        </is>
      </c>
      <c r="D585" t="inlineStr">
        <is>
          <t>KTM 300x300 + OBD</t>
        </is>
      </c>
      <c r="E585" t="inlineStr">
        <is>
          <t>300x300</t>
        </is>
      </c>
      <c r="F585" t="inlineStr">
        <is>
          <t>Cái</t>
        </is>
      </c>
      <c r="G585" s="2" t="n">
        <v>32</v>
      </c>
      <c r="H585" s="2">
        <f>SUMIF('01_BOC_TACH_ONG'!B:B, B585, '01_BOC_TACH_ONG'!K:K)</f>
        <v/>
      </c>
      <c r="I585" s="2">
        <f>SUMIF('02_BOC_TACH_CUA'!B:B, B585, '02_BOC_TACH_CUA'!K:K)</f>
        <v/>
      </c>
      <c r="J585" s="2">
        <f>SUMIF('03_BOC_TACH_VAN'!B:B, B585, '03_BOC_TACH_VAN'!K:K)</f>
        <v/>
      </c>
      <c r="K585" s="2">
        <f>SUM(H585:J585)</f>
        <v/>
      </c>
      <c r="L585" s="2">
        <f>K585*0.25</f>
        <v/>
      </c>
      <c r="M585" s="2">
        <f>K585*0.10</f>
        <v/>
      </c>
      <c r="N585" s="2">
        <f>K585+L585+M585</f>
        <v/>
      </c>
      <c r="O585" s="2">
        <f>IF(G585&gt;0, N585/G585, 0)</f>
        <v/>
      </c>
      <c r="P585" s="3" t="n">
        <v>0.18</v>
      </c>
      <c r="Q585" s="2">
        <f>O585*(1+P585)</f>
        <v/>
      </c>
      <c r="R585" s="2">
        <f>G585*Q585</f>
        <v/>
      </c>
    </row>
    <row r="586">
      <c r="A586" t="n">
        <v>585</v>
      </c>
      <c r="B586" t="inlineStr">
        <is>
          <t>SW-DAMPER-585</t>
        </is>
      </c>
      <c r="C586" t="inlineStr">
        <is>
          <t>VAN GIÓ</t>
        </is>
      </c>
      <c r="D586" t="inlineStr">
        <is>
          <t>Van gió MD - Kích thước 600x450</t>
        </is>
      </c>
      <c r="E586" t="inlineStr">
        <is>
          <t>800x450</t>
        </is>
      </c>
      <c r="F586" t="inlineStr">
        <is>
          <t>Cái</t>
        </is>
      </c>
      <c r="G586" s="2" t="n">
        <v>1</v>
      </c>
      <c r="H586" s="2">
        <f>SUMIF('01_BOC_TACH_ONG'!B:B, B586, '01_BOC_TACH_ONG'!K:K)</f>
        <v/>
      </c>
      <c r="I586" s="2">
        <f>SUMIF('02_BOC_TACH_CUA'!B:B, B586, '02_BOC_TACH_CUA'!K:K)</f>
        <v/>
      </c>
      <c r="J586" s="2">
        <f>SUMIF('03_BOC_TACH_VAN'!B:B, B586, '03_BOC_TACH_VAN'!K:K)</f>
        <v/>
      </c>
      <c r="K586" s="2">
        <f>SUM(H586:J586)</f>
        <v/>
      </c>
      <c r="L586" s="2">
        <f>K586*0.25</f>
        <v/>
      </c>
      <c r="M586" s="2">
        <f>K586*0.10</f>
        <v/>
      </c>
      <c r="N586" s="2">
        <f>K586+L586+M586</f>
        <v/>
      </c>
      <c r="O586" s="2">
        <f>IF(G586&gt;0, N586/G586, 0)</f>
        <v/>
      </c>
      <c r="P586" s="3" t="n">
        <v>0.18</v>
      </c>
      <c r="Q586" s="2">
        <f>O586*(1+P586)</f>
        <v/>
      </c>
      <c r="R586" s="2">
        <f>G586*Q586</f>
        <v/>
      </c>
    </row>
    <row r="587">
      <c r="A587" t="n">
        <v>586</v>
      </c>
      <c r="B587" t="inlineStr">
        <is>
          <t>SW-DAMPER-586</t>
        </is>
      </c>
      <c r="C587" t="inlineStr">
        <is>
          <t>VAN GIÓ</t>
        </is>
      </c>
      <c r="D587" t="inlineStr">
        <is>
          <t>Van gió MD - Kích thước 800x350</t>
        </is>
      </c>
      <c r="E587" t="inlineStr">
        <is>
          <t>800x350</t>
        </is>
      </c>
      <c r="F587" t="inlineStr">
        <is>
          <t>Cái</t>
        </is>
      </c>
      <c r="G587" s="2" t="n">
        <v>2</v>
      </c>
      <c r="H587" s="2">
        <f>SUMIF('01_BOC_TACH_ONG'!B:B, B587, '01_BOC_TACH_ONG'!K:K)</f>
        <v/>
      </c>
      <c r="I587" s="2">
        <f>SUMIF('02_BOC_TACH_CUA'!B:B, B587, '02_BOC_TACH_CUA'!K:K)</f>
        <v/>
      </c>
      <c r="J587" s="2">
        <f>SUMIF('03_BOC_TACH_VAN'!B:B, B587, '03_BOC_TACH_VAN'!K:K)</f>
        <v/>
      </c>
      <c r="K587" s="2">
        <f>SUM(H587:J587)</f>
        <v/>
      </c>
      <c r="L587" s="2">
        <f>K587*0.25</f>
        <v/>
      </c>
      <c r="M587" s="2">
        <f>K587*0.10</f>
        <v/>
      </c>
      <c r="N587" s="2">
        <f>K587+L587+M587</f>
        <v/>
      </c>
      <c r="O587" s="2">
        <f>IF(G587&gt;0, N587/G587, 0)</f>
        <v/>
      </c>
      <c r="P587" s="3" t="n">
        <v>0.18</v>
      </c>
      <c r="Q587" s="2">
        <f>O587*(1+P587)</f>
        <v/>
      </c>
      <c r="R587" s="2">
        <f>G587*Q587</f>
        <v/>
      </c>
    </row>
    <row r="588">
      <c r="A588" t="n">
        <v>587</v>
      </c>
      <c r="B588" t="inlineStr">
        <is>
          <t>SW-DAMPER-587</t>
        </is>
      </c>
      <c r="C588" t="inlineStr">
        <is>
          <t>VAN GIÓ</t>
        </is>
      </c>
      <c r="D588" t="inlineStr">
        <is>
          <t>Van chặn lửa MFD EI90 - Kích thước 600x450</t>
        </is>
      </c>
      <c r="E588" t="inlineStr">
        <is>
          <t>600x450</t>
        </is>
      </c>
      <c r="F588" t="inlineStr">
        <is>
          <t>Cái</t>
        </is>
      </c>
      <c r="G588" s="2" t="n">
        <v>14</v>
      </c>
      <c r="H588" s="2">
        <f>SUMIF('01_BOC_TACH_ONG'!B:B, B588, '01_BOC_TACH_ONG'!K:K)</f>
        <v/>
      </c>
      <c r="I588" s="2">
        <f>SUMIF('02_BOC_TACH_CUA'!B:B, B588, '02_BOC_TACH_CUA'!K:K)</f>
        <v/>
      </c>
      <c r="J588" s="2">
        <f>SUMIF('03_BOC_TACH_VAN'!B:B, B588, '03_BOC_TACH_VAN'!K:K)</f>
        <v/>
      </c>
      <c r="K588" s="2">
        <f>SUM(H588:J588)</f>
        <v/>
      </c>
      <c r="L588" s="2">
        <f>K588*0.25</f>
        <v/>
      </c>
      <c r="M588" s="2">
        <f>K588*0.10</f>
        <v/>
      </c>
      <c r="N588" s="2">
        <f>K588+L588+M588</f>
        <v/>
      </c>
      <c r="O588" s="2">
        <f>IF(G588&gt;0, N588/G588, 0)</f>
        <v/>
      </c>
      <c r="P588" s="3" t="n">
        <v>0.18</v>
      </c>
      <c r="Q588" s="2">
        <f>O588*(1+P588)</f>
        <v/>
      </c>
      <c r="R588" s="2">
        <f>G588*Q588</f>
        <v/>
      </c>
    </row>
    <row r="589">
      <c r="A589" t="n">
        <v>588</v>
      </c>
      <c r="B589" t="inlineStr">
        <is>
          <t>SW-DIFF-588</t>
        </is>
      </c>
      <c r="C589" t="inlineStr">
        <is>
          <t>CỬA GIÓ</t>
        </is>
      </c>
      <c r="D589" t="inlineStr">
        <is>
          <t>Louver gió tươi - Kích thước: 1500x100</t>
        </is>
      </c>
      <c r="E589" t="inlineStr">
        <is>
          <t>1500x100</t>
        </is>
      </c>
      <c r="F589" t="inlineStr">
        <is>
          <t>Cái</t>
        </is>
      </c>
      <c r="G589" s="2" t="n">
        <v>1</v>
      </c>
      <c r="H589" s="2">
        <f>SUMIF('01_BOC_TACH_ONG'!B:B, B589, '01_BOC_TACH_ONG'!K:K)</f>
        <v/>
      </c>
      <c r="I589" s="2">
        <f>SUMIF('02_BOC_TACH_CUA'!B:B, B589, '02_BOC_TACH_CUA'!K:K)</f>
        <v/>
      </c>
      <c r="J589" s="2">
        <f>SUMIF('03_BOC_TACH_VAN'!B:B, B589, '03_BOC_TACH_VAN'!K:K)</f>
        <v/>
      </c>
      <c r="K589" s="2">
        <f>SUM(H589:J589)</f>
        <v/>
      </c>
      <c r="L589" s="2">
        <f>K589*0.25</f>
        <v/>
      </c>
      <c r="M589" s="2">
        <f>K589*0.10</f>
        <v/>
      </c>
      <c r="N589" s="2">
        <f>K589+L589+M589</f>
        <v/>
      </c>
      <c r="O589" s="2">
        <f>IF(G589&gt;0, N589/G589, 0)</f>
        <v/>
      </c>
      <c r="P589" s="3" t="n">
        <v>0.18</v>
      </c>
      <c r="Q589" s="2">
        <f>O589*(1+P589)</f>
        <v/>
      </c>
      <c r="R589" s="2">
        <f>G589*Q589</f>
        <v/>
      </c>
    </row>
    <row r="590">
      <c r="A590" t="n">
        <v>589</v>
      </c>
      <c r="B590" t="inlineStr">
        <is>
          <t>SW-DIFF-589</t>
        </is>
      </c>
      <c r="C590" t="inlineStr">
        <is>
          <t>CỬA GIÓ</t>
        </is>
      </c>
      <c r="D590" t="inlineStr">
        <is>
          <t>Louver gió tươi - Kích thước: 2050x750</t>
        </is>
      </c>
      <c r="E590" t="inlineStr">
        <is>
          <t>2050x750</t>
        </is>
      </c>
      <c r="F590" t="inlineStr">
        <is>
          <t>Cái</t>
        </is>
      </c>
      <c r="G590" s="2" t="n">
        <v>1</v>
      </c>
      <c r="H590" s="2">
        <f>SUMIF('01_BOC_TACH_ONG'!B:B, B590, '01_BOC_TACH_ONG'!K:K)</f>
        <v/>
      </c>
      <c r="I590" s="2">
        <f>SUMIF('02_BOC_TACH_CUA'!B:B, B590, '02_BOC_TACH_CUA'!K:K)</f>
        <v/>
      </c>
      <c r="J590" s="2">
        <f>SUMIF('03_BOC_TACH_VAN'!B:B, B590, '03_BOC_TACH_VAN'!K:K)</f>
        <v/>
      </c>
      <c r="K590" s="2">
        <f>SUM(H590:J590)</f>
        <v/>
      </c>
      <c r="L590" s="2">
        <f>K590*0.25</f>
        <v/>
      </c>
      <c r="M590" s="2">
        <f>K590*0.10</f>
        <v/>
      </c>
      <c r="N590" s="2">
        <f>K590+L590+M590</f>
        <v/>
      </c>
      <c r="O590" s="2">
        <f>IF(G590&gt;0, N590/G590, 0)</f>
        <v/>
      </c>
      <c r="P590" s="3" t="n">
        <v>0.18</v>
      </c>
      <c r="Q590" s="2">
        <f>O590*(1+P590)</f>
        <v/>
      </c>
      <c r="R590" s="2">
        <f>G590*Q590</f>
        <v/>
      </c>
    </row>
    <row r="591">
      <c r="A591" t="n">
        <v>590</v>
      </c>
      <c r="B591" t="inlineStr">
        <is>
          <t>SW-DAMPER-590</t>
        </is>
      </c>
      <c r="C591" t="inlineStr">
        <is>
          <t>VAN GIÓ</t>
        </is>
      </c>
      <c r="D591" t="inlineStr">
        <is>
          <t>Van chặn lửa MFD - EI45 - Kích thước: 150x100</t>
        </is>
      </c>
      <c r="E591" t="inlineStr">
        <is>
          <t>150x150</t>
        </is>
      </c>
      <c r="F591" t="inlineStr">
        <is>
          <t>Cái</t>
        </is>
      </c>
      <c r="G591" s="2" t="n">
        <v>550</v>
      </c>
      <c r="H591" s="2">
        <f>SUMIF('01_BOC_TACH_ONG'!B:B, B591, '01_BOC_TACH_ONG'!K:K)</f>
        <v/>
      </c>
      <c r="I591" s="2">
        <f>SUMIF('02_BOC_TACH_CUA'!B:B, B591, '02_BOC_TACH_CUA'!K:K)</f>
        <v/>
      </c>
      <c r="J591" s="2">
        <f>SUMIF('03_BOC_TACH_VAN'!B:B, B591, '03_BOC_TACH_VAN'!K:K)</f>
        <v/>
      </c>
      <c r="K591" s="2">
        <f>SUM(H591:J591)</f>
        <v/>
      </c>
      <c r="L591" s="2">
        <f>K591*0.25</f>
        <v/>
      </c>
      <c r="M591" s="2">
        <f>K591*0.10</f>
        <v/>
      </c>
      <c r="N591" s="2">
        <f>K591+L591+M591</f>
        <v/>
      </c>
      <c r="O591" s="2">
        <f>IF(G591&gt;0, N591/G591, 0)</f>
        <v/>
      </c>
      <c r="P591" s="3" t="n">
        <v>0.18</v>
      </c>
      <c r="Q591" s="2">
        <f>O591*(1+P591)</f>
        <v/>
      </c>
      <c r="R591" s="2">
        <f>G591*Q591</f>
        <v/>
      </c>
    </row>
    <row r="592">
      <c r="A592" t="n">
        <v>591</v>
      </c>
      <c r="B592" t="inlineStr">
        <is>
          <t>SW-DAMPER-591</t>
        </is>
      </c>
      <c r="C592" t="inlineStr">
        <is>
          <t>VAN GIÓ</t>
        </is>
      </c>
      <c r="D592" t="inlineStr">
        <is>
          <t>Van chặn lửa MFD - EI45 - Kích thước: 150x150</t>
        </is>
      </c>
      <c r="E592" t="inlineStr">
        <is>
          <t>150x150</t>
        </is>
      </c>
      <c r="F592" t="inlineStr">
        <is>
          <t>Cái</t>
        </is>
      </c>
      <c r="G592" s="2" t="n">
        <v>593</v>
      </c>
      <c r="H592" s="2">
        <f>SUMIF('01_BOC_TACH_ONG'!B:B, B592, '01_BOC_TACH_ONG'!K:K)</f>
        <v/>
      </c>
      <c r="I592" s="2">
        <f>SUMIF('02_BOC_TACH_CUA'!B:B, B592, '02_BOC_TACH_CUA'!K:K)</f>
        <v/>
      </c>
      <c r="J592" s="2">
        <f>SUMIF('03_BOC_TACH_VAN'!B:B, B592, '03_BOC_TACH_VAN'!K:K)</f>
        <v/>
      </c>
      <c r="K592" s="2">
        <f>SUM(H592:J592)</f>
        <v/>
      </c>
      <c r="L592" s="2">
        <f>K592*0.25</f>
        <v/>
      </c>
      <c r="M592" s="2">
        <f>K592*0.10</f>
        <v/>
      </c>
      <c r="N592" s="2">
        <f>K592+L592+M592</f>
        <v/>
      </c>
      <c r="O592" s="2">
        <f>IF(G592&gt;0, N592/G592, 0)</f>
        <v/>
      </c>
      <c r="P592" s="3" t="n">
        <v>0.18</v>
      </c>
      <c r="Q592" s="2">
        <f>O592*(1+P592)</f>
        <v/>
      </c>
      <c r="R592" s="2">
        <f>G592*Q592</f>
        <v/>
      </c>
    </row>
    <row r="593">
      <c r="A593" t="n">
        <v>592</v>
      </c>
      <c r="B593" t="inlineStr">
        <is>
          <t>SW-DAMPER-592</t>
        </is>
      </c>
      <c r="C593" t="inlineStr">
        <is>
          <t>VAN GIÓ</t>
        </is>
      </c>
      <c r="D593" t="inlineStr">
        <is>
          <t>Van điều chỉnh lưu lượng VCD - Kích thước: 150x100</t>
        </is>
      </c>
      <c r="E593" t="inlineStr">
        <is>
          <t>150x100</t>
        </is>
      </c>
      <c r="F593" t="inlineStr">
        <is>
          <t>Cái</t>
        </is>
      </c>
      <c r="G593" s="2" t="n">
        <v>636</v>
      </c>
      <c r="H593" s="2">
        <f>SUMIF('01_BOC_TACH_ONG'!B:B, B593, '01_BOC_TACH_ONG'!K:K)</f>
        <v/>
      </c>
      <c r="I593" s="2">
        <f>SUMIF('02_BOC_TACH_CUA'!B:B, B593, '02_BOC_TACH_CUA'!K:K)</f>
        <v/>
      </c>
      <c r="J593" s="2">
        <f>SUMIF('03_BOC_TACH_VAN'!B:B, B593, '03_BOC_TACH_VAN'!K:K)</f>
        <v/>
      </c>
      <c r="K593" s="2">
        <f>SUM(H593:J593)</f>
        <v/>
      </c>
      <c r="L593" s="2">
        <f>K593*0.25</f>
        <v/>
      </c>
      <c r="M593" s="2">
        <f>K593*0.10</f>
        <v/>
      </c>
      <c r="N593" s="2">
        <f>K593+L593+M593</f>
        <v/>
      </c>
      <c r="O593" s="2">
        <f>IF(G593&gt;0, N593/G593, 0)</f>
        <v/>
      </c>
      <c r="P593" s="3" t="n">
        <v>0.18</v>
      </c>
      <c r="Q593" s="2">
        <f>O593*(1+P593)</f>
        <v/>
      </c>
      <c r="R593" s="2">
        <f>G593*Q593</f>
        <v/>
      </c>
    </row>
    <row r="594">
      <c r="A594" t="n">
        <v>593</v>
      </c>
      <c r="B594" t="inlineStr">
        <is>
          <t>SW-DAMPER-593</t>
        </is>
      </c>
      <c r="C594" t="inlineStr">
        <is>
          <t>VAN GIÓ</t>
        </is>
      </c>
      <c r="D594" t="inlineStr">
        <is>
          <t>Van điều chỉnh lưu lượng VCD - Kích thước: 150x150</t>
        </is>
      </c>
      <c r="E594" t="inlineStr">
        <is>
          <t>150x150</t>
        </is>
      </c>
      <c r="F594" t="inlineStr">
        <is>
          <t>Cái</t>
        </is>
      </c>
      <c r="G594" s="2" t="n">
        <v>39</v>
      </c>
      <c r="H594" s="2">
        <f>SUMIF('01_BOC_TACH_ONG'!B:B, B594, '01_BOC_TACH_ONG'!K:K)</f>
        <v/>
      </c>
      <c r="I594" s="2">
        <f>SUMIF('02_BOC_TACH_CUA'!B:B, B594, '02_BOC_TACH_CUA'!K:K)</f>
        <v/>
      </c>
      <c r="J594" s="2">
        <f>SUMIF('03_BOC_TACH_VAN'!B:B, B594, '03_BOC_TACH_VAN'!K:K)</f>
        <v/>
      </c>
      <c r="K594" s="2">
        <f>SUM(H594:J594)</f>
        <v/>
      </c>
      <c r="L594" s="2">
        <f>K594*0.25</f>
        <v/>
      </c>
      <c r="M594" s="2">
        <f>K594*0.10</f>
        <v/>
      </c>
      <c r="N594" s="2">
        <f>K594+L594+M594</f>
        <v/>
      </c>
      <c r="O594" s="2">
        <f>IF(G594&gt;0, N594/G594, 0)</f>
        <v/>
      </c>
      <c r="P594" s="3" t="n">
        <v>0.18</v>
      </c>
      <c r="Q594" s="2">
        <f>O594*(1+P594)</f>
        <v/>
      </c>
      <c r="R594" s="2">
        <f>G594*Q594</f>
        <v/>
      </c>
    </row>
    <row r="595">
      <c r="A595" t="n">
        <v>594</v>
      </c>
      <c r="B595" t="inlineStr">
        <is>
          <t>SW-DAMPER-594</t>
        </is>
      </c>
      <c r="C595" t="inlineStr">
        <is>
          <t>VAN GIÓ</t>
        </is>
      </c>
      <c r="D595" t="inlineStr">
        <is>
          <t>Van điều gió MD - Kích thước: 150x100</t>
        </is>
      </c>
      <c r="E595" t="inlineStr">
        <is>
          <t>150x100</t>
        </is>
      </c>
      <c r="F595" t="inlineStr">
        <is>
          <t>Cái</t>
        </is>
      </c>
      <c r="G595" s="2" t="n">
        <v>558</v>
      </c>
      <c r="H595" s="2">
        <f>SUMIF('01_BOC_TACH_ONG'!B:B, B595, '01_BOC_TACH_ONG'!K:K)</f>
        <v/>
      </c>
      <c r="I595" s="2">
        <f>SUMIF('02_BOC_TACH_CUA'!B:B, B595, '02_BOC_TACH_CUA'!K:K)</f>
        <v/>
      </c>
      <c r="J595" s="2">
        <f>SUMIF('03_BOC_TACH_VAN'!B:B, B595, '03_BOC_TACH_VAN'!K:K)</f>
        <v/>
      </c>
      <c r="K595" s="2">
        <f>SUM(H595:J595)</f>
        <v/>
      </c>
      <c r="L595" s="2">
        <f>K595*0.25</f>
        <v/>
      </c>
      <c r="M595" s="2">
        <f>K595*0.10</f>
        <v/>
      </c>
      <c r="N595" s="2">
        <f>K595+L595+M595</f>
        <v/>
      </c>
      <c r="O595" s="2">
        <f>IF(G595&gt;0, N595/G595, 0)</f>
        <v/>
      </c>
      <c r="P595" s="3" t="n">
        <v>0.18</v>
      </c>
      <c r="Q595" s="2">
        <f>O595*(1+P595)</f>
        <v/>
      </c>
      <c r="R595" s="2">
        <f>G595*Q595</f>
        <v/>
      </c>
    </row>
    <row r="596">
      <c r="A596" t="n">
        <v>595</v>
      </c>
      <c r="B596" t="inlineStr">
        <is>
          <t>SW-DAMPER-595</t>
        </is>
      </c>
      <c r="C596" t="inlineStr">
        <is>
          <t>VAN GIÓ</t>
        </is>
      </c>
      <c r="D596" t="inlineStr">
        <is>
          <t>Van điều gió MD - Kích thước: 150x150</t>
        </is>
      </c>
      <c r="E596" t="inlineStr">
        <is>
          <t>150x150</t>
        </is>
      </c>
      <c r="F596" t="inlineStr">
        <is>
          <t>Cái</t>
        </is>
      </c>
      <c r="G596" s="2" t="n">
        <v>593</v>
      </c>
      <c r="H596" s="2">
        <f>SUMIF('01_BOC_TACH_ONG'!B:B, B596, '01_BOC_TACH_ONG'!K:K)</f>
        <v/>
      </c>
      <c r="I596" s="2">
        <f>SUMIF('02_BOC_TACH_CUA'!B:B, B596, '02_BOC_TACH_CUA'!K:K)</f>
        <v/>
      </c>
      <c r="J596" s="2">
        <f>SUMIF('03_BOC_TACH_VAN'!B:B, B596, '03_BOC_TACH_VAN'!K:K)</f>
        <v/>
      </c>
      <c r="K596" s="2">
        <f>SUM(H596:J596)</f>
        <v/>
      </c>
      <c r="L596" s="2">
        <f>K596*0.25</f>
        <v/>
      </c>
      <c r="M596" s="2">
        <f>K596*0.10</f>
        <v/>
      </c>
      <c r="N596" s="2">
        <f>K596+L596+M596</f>
        <v/>
      </c>
      <c r="O596" s="2">
        <f>IF(G596&gt;0, N596/G596, 0)</f>
        <v/>
      </c>
      <c r="P596" s="3" t="n">
        <v>0.18</v>
      </c>
      <c r="Q596" s="2">
        <f>O596*(1+P596)</f>
        <v/>
      </c>
      <c r="R596" s="2">
        <f>G596*Q596</f>
        <v/>
      </c>
    </row>
    <row r="597">
      <c r="A597" t="n">
        <v>596</v>
      </c>
      <c r="B597" t="inlineStr">
        <is>
          <t>SW-DIFF-596</t>
        </is>
      </c>
      <c r="C597" t="inlineStr">
        <is>
          <t>CỬA GIÓ</t>
        </is>
      </c>
      <c r="D597" t="inlineStr">
        <is>
          <t>KTM 600x600 + OBD</t>
        </is>
      </c>
      <c r="E597" t="inlineStr">
        <is>
          <t>600x600</t>
        </is>
      </c>
      <c r="F597" t="inlineStr">
        <is>
          <t>Cái</t>
        </is>
      </c>
      <c r="G597" s="2" t="n">
        <v>1302</v>
      </c>
      <c r="H597" s="2">
        <f>SUMIF('01_BOC_TACH_ONG'!B:B, B597, '01_BOC_TACH_ONG'!K:K)</f>
        <v/>
      </c>
      <c r="I597" s="2">
        <f>SUMIF('02_BOC_TACH_CUA'!B:B, B597, '02_BOC_TACH_CUA'!K:K)</f>
        <v/>
      </c>
      <c r="J597" s="2">
        <f>SUMIF('03_BOC_TACH_VAN'!B:B, B597, '03_BOC_TACH_VAN'!K:K)</f>
        <v/>
      </c>
      <c r="K597" s="2">
        <f>SUM(H597:J597)</f>
        <v/>
      </c>
      <c r="L597" s="2">
        <f>K597*0.25</f>
        <v/>
      </c>
      <c r="M597" s="2">
        <f>K597*0.10</f>
        <v/>
      </c>
      <c r="N597" s="2">
        <f>K597+L597+M597</f>
        <v/>
      </c>
      <c r="O597" s="2">
        <f>IF(G597&gt;0, N597/G597, 0)</f>
        <v/>
      </c>
      <c r="P597" s="3" t="n">
        <v>0.18</v>
      </c>
      <c r="Q597" s="2">
        <f>O597*(1+P597)</f>
        <v/>
      </c>
      <c r="R597" s="2">
        <f>G597*Q597</f>
        <v/>
      </c>
    </row>
    <row r="598">
      <c r="A598" t="n">
        <v>597</v>
      </c>
      <c r="B598" t="inlineStr">
        <is>
          <t>SW-DAMPER-597</t>
        </is>
      </c>
      <c r="C598" t="inlineStr">
        <is>
          <t>VAN GIÓ</t>
        </is>
      </c>
      <c r="D598" t="inlineStr">
        <is>
          <t>Van chặn lửa MFD - EI45 - Kích thước: 150x100</t>
        </is>
      </c>
      <c r="E598" t="inlineStr">
        <is>
          <t>150x150</t>
        </is>
      </c>
      <c r="F598" t="inlineStr">
        <is>
          <t>Cái</t>
        </is>
      </c>
      <c r="G598" s="2" t="n">
        <v>550</v>
      </c>
      <c r="H598" s="2">
        <f>SUMIF('01_BOC_TACH_ONG'!B:B, B598, '01_BOC_TACH_ONG'!K:K)</f>
        <v/>
      </c>
      <c r="I598" s="2">
        <f>SUMIF('02_BOC_TACH_CUA'!B:B, B598, '02_BOC_TACH_CUA'!K:K)</f>
        <v/>
      </c>
      <c r="J598" s="2">
        <f>SUMIF('03_BOC_TACH_VAN'!B:B, B598, '03_BOC_TACH_VAN'!K:K)</f>
        <v/>
      </c>
      <c r="K598" s="2">
        <f>SUM(H598:J598)</f>
        <v/>
      </c>
      <c r="L598" s="2">
        <f>K598*0.25</f>
        <v/>
      </c>
      <c r="M598" s="2">
        <f>K598*0.10</f>
        <v/>
      </c>
      <c r="N598" s="2">
        <f>K598+L598+M598</f>
        <v/>
      </c>
      <c r="O598" s="2">
        <f>IF(G598&gt;0, N598/G598, 0)</f>
        <v/>
      </c>
      <c r="P598" s="3" t="n">
        <v>0.18</v>
      </c>
      <c r="Q598" s="2">
        <f>O598*(1+P598)</f>
        <v/>
      </c>
      <c r="R598" s="2">
        <f>G598*Q598</f>
        <v/>
      </c>
    </row>
    <row r="599">
      <c r="A599" t="n">
        <v>598</v>
      </c>
      <c r="B599" t="inlineStr">
        <is>
          <t>SW-DAMPER-598</t>
        </is>
      </c>
      <c r="C599" t="inlineStr">
        <is>
          <t>VAN GIÓ</t>
        </is>
      </c>
      <c r="D599" t="inlineStr">
        <is>
          <t>Van chặn lửa MFD - EI45 - Kích thước: 150x150</t>
        </is>
      </c>
      <c r="E599" t="inlineStr">
        <is>
          <t>150x150</t>
        </is>
      </c>
      <c r="F599" t="inlineStr">
        <is>
          <t>Cái</t>
        </is>
      </c>
      <c r="G599" s="2" t="n">
        <v>43</v>
      </c>
      <c r="H599" s="2">
        <f>SUMIF('01_BOC_TACH_ONG'!B:B, B599, '01_BOC_TACH_ONG'!K:K)</f>
        <v/>
      </c>
      <c r="I599" s="2">
        <f>SUMIF('02_BOC_TACH_CUA'!B:B, B599, '02_BOC_TACH_CUA'!K:K)</f>
        <v/>
      </c>
      <c r="J599" s="2">
        <f>SUMIF('03_BOC_TACH_VAN'!B:B, B599, '03_BOC_TACH_VAN'!K:K)</f>
        <v/>
      </c>
      <c r="K599" s="2">
        <f>SUM(H599:J599)</f>
        <v/>
      </c>
      <c r="L599" s="2">
        <f>K599*0.25</f>
        <v/>
      </c>
      <c r="M599" s="2">
        <f>K599*0.10</f>
        <v/>
      </c>
      <c r="N599" s="2">
        <f>K599+L599+M599</f>
        <v/>
      </c>
      <c r="O599" s="2">
        <f>IF(G599&gt;0, N599/G599, 0)</f>
        <v/>
      </c>
      <c r="P599" s="3" t="n">
        <v>0.18</v>
      </c>
      <c r="Q599" s="2">
        <f>O599*(1+P599)</f>
        <v/>
      </c>
      <c r="R599" s="2">
        <f>G599*Q599</f>
        <v/>
      </c>
    </row>
    <row r="600">
      <c r="A600" t="n">
        <v>599</v>
      </c>
      <c r="B600" t="inlineStr">
        <is>
          <t>SW-DAMPER-599</t>
        </is>
      </c>
      <c r="C600" t="inlineStr">
        <is>
          <t>VAN GIÓ</t>
        </is>
      </c>
      <c r="D600" t="inlineStr">
        <is>
          <t>Van điều chỉnh lưu lượng VCD - Kích thước: D100</t>
        </is>
      </c>
      <c r="E600" t="inlineStr">
        <is>
          <t>-</t>
        </is>
      </c>
      <c r="F600" t="inlineStr">
        <is>
          <t>Cái</t>
        </is>
      </c>
      <c r="G600" s="2" t="n">
        <v>1229</v>
      </c>
      <c r="H600" s="2">
        <f>SUMIF('01_BOC_TACH_ONG'!B:B, B600, '01_BOC_TACH_ONG'!K:K)</f>
        <v/>
      </c>
      <c r="I600" s="2">
        <f>SUMIF('02_BOC_TACH_CUA'!B:B, B600, '02_BOC_TACH_CUA'!K:K)</f>
        <v/>
      </c>
      <c r="J600" s="2">
        <f>SUMIF('03_BOC_TACH_VAN'!B:B, B600, '03_BOC_TACH_VAN'!K:K)</f>
        <v/>
      </c>
      <c r="K600" s="2">
        <f>SUM(H600:J600)</f>
        <v/>
      </c>
      <c r="L600" s="2">
        <f>K600*0.25</f>
        <v/>
      </c>
      <c r="M600" s="2">
        <f>K600*0.10</f>
        <v/>
      </c>
      <c r="N600" s="2">
        <f>K600+L600+M600</f>
        <v/>
      </c>
      <c r="O600" s="2">
        <f>IF(G600&gt;0, N600/G600, 0)</f>
        <v/>
      </c>
      <c r="P600" s="3" t="n">
        <v>0.18</v>
      </c>
      <c r="Q600" s="2">
        <f>O600*(1+P600)</f>
        <v/>
      </c>
      <c r="R600" s="2">
        <f>G600*Q600</f>
        <v/>
      </c>
    </row>
    <row r="601">
      <c r="A601" t="n">
        <v>600</v>
      </c>
      <c r="B601" t="inlineStr">
        <is>
          <t>SW-DAMPER-600</t>
        </is>
      </c>
      <c r="C601" t="inlineStr">
        <is>
          <t>VAN GIÓ</t>
        </is>
      </c>
      <c r="D601" t="inlineStr">
        <is>
          <t>Van điều chỉnh lưu lượng VCD - Kích thước: 150x100</t>
        </is>
      </c>
      <c r="E601" t="inlineStr">
        <is>
          <t>150x100</t>
        </is>
      </c>
      <c r="F601" t="inlineStr">
        <is>
          <t>Cái</t>
        </is>
      </c>
      <c r="G601" s="2" t="n">
        <v>118</v>
      </c>
      <c r="H601" s="2">
        <f>SUMIF('01_BOC_TACH_ONG'!B:B, B601, '01_BOC_TACH_ONG'!K:K)</f>
        <v/>
      </c>
      <c r="I601" s="2">
        <f>SUMIF('02_BOC_TACH_CUA'!B:B, B601, '02_BOC_TACH_CUA'!K:K)</f>
        <v/>
      </c>
      <c r="J601" s="2">
        <f>SUMIF('03_BOC_TACH_VAN'!B:B, B601, '03_BOC_TACH_VAN'!K:K)</f>
        <v/>
      </c>
      <c r="K601" s="2">
        <f>SUM(H601:J601)</f>
        <v/>
      </c>
      <c r="L601" s="2">
        <f>K601*0.25</f>
        <v/>
      </c>
      <c r="M601" s="2">
        <f>K601*0.10</f>
        <v/>
      </c>
      <c r="N601" s="2">
        <f>K601+L601+M601</f>
        <v/>
      </c>
      <c r="O601" s="2">
        <f>IF(G601&gt;0, N601/G601, 0)</f>
        <v/>
      </c>
      <c r="P601" s="3" t="n">
        <v>0.18</v>
      </c>
      <c r="Q601" s="2">
        <f>O601*(1+P601)</f>
        <v/>
      </c>
      <c r="R601" s="2">
        <f>G601*Q601</f>
        <v/>
      </c>
    </row>
    <row r="602">
      <c r="A602" t="n">
        <v>601</v>
      </c>
      <c r="B602" t="inlineStr">
        <is>
          <t>SW-DAMPER-601</t>
        </is>
      </c>
      <c r="C602" t="inlineStr">
        <is>
          <t>VAN GIÓ</t>
        </is>
      </c>
      <c r="D602" t="inlineStr">
        <is>
          <t>Van điều chỉnh lưu lượng VCD - Kích thước: 150x150</t>
        </is>
      </c>
      <c r="E602" t="inlineStr">
        <is>
          <t>150x150</t>
        </is>
      </c>
      <c r="F602" t="inlineStr">
        <is>
          <t>Cái</t>
        </is>
      </c>
      <c r="G602" s="2" t="n">
        <v>39</v>
      </c>
      <c r="H602" s="2">
        <f>SUMIF('01_BOC_TACH_ONG'!B:B, B602, '01_BOC_TACH_ONG'!K:K)</f>
        <v/>
      </c>
      <c r="I602" s="2">
        <f>SUMIF('02_BOC_TACH_CUA'!B:B, B602, '02_BOC_TACH_CUA'!K:K)</f>
        <v/>
      </c>
      <c r="J602" s="2">
        <f>SUMIF('03_BOC_TACH_VAN'!B:B, B602, '03_BOC_TACH_VAN'!K:K)</f>
        <v/>
      </c>
      <c r="K602" s="2">
        <f>SUM(H602:J602)</f>
        <v/>
      </c>
      <c r="L602" s="2">
        <f>K602*0.25</f>
        <v/>
      </c>
      <c r="M602" s="2">
        <f>K602*0.10</f>
        <v/>
      </c>
      <c r="N602" s="2">
        <f>K602+L602+M602</f>
        <v/>
      </c>
      <c r="O602" s="2">
        <f>IF(G602&gt;0, N602/G602, 0)</f>
        <v/>
      </c>
      <c r="P602" s="3" t="n">
        <v>0.18</v>
      </c>
      <c r="Q602" s="2">
        <f>O602*(1+P602)</f>
        <v/>
      </c>
      <c r="R602" s="2">
        <f>G602*Q602</f>
        <v/>
      </c>
    </row>
    <row r="603">
      <c r="A603" t="n">
        <v>602</v>
      </c>
      <c r="B603" t="inlineStr">
        <is>
          <t>SW-DAMPER-602</t>
        </is>
      </c>
      <c r="C603" t="inlineStr">
        <is>
          <t>VAN GIÓ</t>
        </is>
      </c>
      <c r="D603" t="inlineStr">
        <is>
          <t>Van điều gió MD - Kích thước: 150x100</t>
        </is>
      </c>
      <c r="E603" t="inlineStr">
        <is>
          <t>150x100</t>
        </is>
      </c>
      <c r="F603" t="inlineStr">
        <is>
          <t>Cái</t>
        </is>
      </c>
      <c r="G603" s="2" t="n">
        <v>63</v>
      </c>
      <c r="H603" s="2">
        <f>SUMIF('01_BOC_TACH_ONG'!B:B, B603, '01_BOC_TACH_ONG'!K:K)</f>
        <v/>
      </c>
      <c r="I603" s="2">
        <f>SUMIF('02_BOC_TACH_CUA'!B:B, B603, '02_BOC_TACH_CUA'!K:K)</f>
        <v/>
      </c>
      <c r="J603" s="2">
        <f>SUMIF('03_BOC_TACH_VAN'!B:B, B603, '03_BOC_TACH_VAN'!K:K)</f>
        <v/>
      </c>
      <c r="K603" s="2">
        <f>SUM(H603:J603)</f>
        <v/>
      </c>
      <c r="L603" s="2">
        <f>K603*0.25</f>
        <v/>
      </c>
      <c r="M603" s="2">
        <f>K603*0.10</f>
        <v/>
      </c>
      <c r="N603" s="2">
        <f>K603+L603+M603</f>
        <v/>
      </c>
      <c r="O603" s="2">
        <f>IF(G603&gt;0, N603/G603, 0)</f>
        <v/>
      </c>
      <c r="P603" s="3" t="n">
        <v>0.18</v>
      </c>
      <c r="Q603" s="2">
        <f>O603*(1+P603)</f>
        <v/>
      </c>
      <c r="R603" s="2">
        <f>G603*Q603</f>
        <v/>
      </c>
    </row>
    <row r="604">
      <c r="A604" t="n">
        <v>603</v>
      </c>
      <c r="B604" t="inlineStr">
        <is>
          <t>SW-DAMPER-603</t>
        </is>
      </c>
      <c r="C604" t="inlineStr">
        <is>
          <t>VAN GIÓ</t>
        </is>
      </c>
      <c r="D604" t="inlineStr">
        <is>
          <t>Van điều gió MD - Kích thước: 150x150</t>
        </is>
      </c>
      <c r="E604" t="inlineStr">
        <is>
          <t>150x150</t>
        </is>
      </c>
      <c r="F604" t="inlineStr">
        <is>
          <t>Cái</t>
        </is>
      </c>
      <c r="G604" s="2" t="n">
        <v>43</v>
      </c>
      <c r="H604" s="2">
        <f>SUMIF('01_BOC_TACH_ONG'!B:B, B604, '01_BOC_TACH_ONG'!K:K)</f>
        <v/>
      </c>
      <c r="I604" s="2">
        <f>SUMIF('02_BOC_TACH_CUA'!B:B, B604, '02_BOC_TACH_CUA'!K:K)</f>
        <v/>
      </c>
      <c r="J604" s="2">
        <f>SUMIF('03_BOC_TACH_VAN'!B:B, B604, '03_BOC_TACH_VAN'!K:K)</f>
        <v/>
      </c>
      <c r="K604" s="2">
        <f>SUM(H604:J604)</f>
        <v/>
      </c>
      <c r="L604" s="2">
        <f>K604*0.25</f>
        <v/>
      </c>
      <c r="M604" s="2">
        <f>K604*0.10</f>
        <v/>
      </c>
      <c r="N604" s="2">
        <f>K604+L604+M604</f>
        <v/>
      </c>
      <c r="O604" s="2">
        <f>IF(G604&gt;0, N604/G604, 0)</f>
        <v/>
      </c>
      <c r="P604" s="3" t="n">
        <v>0.18</v>
      </c>
      <c r="Q604" s="2">
        <f>O604*(1+P604)</f>
        <v/>
      </c>
      <c r="R604" s="2">
        <f>G604*Q604</f>
        <v/>
      </c>
    </row>
    <row r="605">
      <c r="A605" t="n">
        <v>604</v>
      </c>
      <c r="B605" t="inlineStr">
        <is>
          <t>SW-DIFF-604</t>
        </is>
      </c>
      <c r="C605" t="inlineStr">
        <is>
          <t>CỬA GIÓ</t>
        </is>
      </c>
      <c r="D605" t="inlineStr">
        <is>
          <t>Chi phí kiểm định</t>
        </is>
      </c>
      <c r="E605" t="inlineStr">
        <is>
          <t>-</t>
        </is>
      </c>
      <c r="F605" t="inlineStr">
        <is>
          <t>Gói</t>
        </is>
      </c>
      <c r="G605" s="2" t="n">
        <v>1</v>
      </c>
      <c r="H605" s="2">
        <f>SUMIF('01_BOC_TACH_ONG'!B:B, B605, '01_BOC_TACH_ONG'!K:K)</f>
        <v/>
      </c>
      <c r="I605" s="2">
        <f>SUMIF('02_BOC_TACH_CUA'!B:B, B605, '02_BOC_TACH_CUA'!K:K)</f>
        <v/>
      </c>
      <c r="J605" s="2">
        <f>SUMIF('03_BOC_TACH_VAN'!B:B, B605, '03_BOC_TACH_VAN'!K:K)</f>
        <v/>
      </c>
      <c r="K605" s="2">
        <f>SUM(H605:J605)</f>
        <v/>
      </c>
      <c r="L605" s="2">
        <f>K605*0.25</f>
        <v/>
      </c>
      <c r="M605" s="2">
        <f>K605*0.10</f>
        <v/>
      </c>
      <c r="N605" s="2">
        <f>K605+L605+M605</f>
        <v/>
      </c>
      <c r="O605" s="2">
        <f>IF(G605&gt;0, N605/G605, 0)</f>
        <v/>
      </c>
      <c r="P605" s="3" t="n">
        <v>0.18</v>
      </c>
      <c r="Q605" s="2">
        <f>O605*(1+P605)</f>
        <v/>
      </c>
      <c r="R605" s="2">
        <f>G605*Q605</f>
        <v/>
      </c>
    </row>
    <row r="606">
      <c r="A606" t="n">
        <v>605</v>
      </c>
      <c r="B606" t="inlineStr">
        <is>
          <t>SW-DIFF-605</t>
        </is>
      </c>
      <c r="C606" t="inlineStr">
        <is>
          <t>CỬA GIÓ</t>
        </is>
      </c>
      <c r="D606" t="inlineStr">
        <is>
          <t>Chi phí vận chuyển</t>
        </is>
      </c>
      <c r="E606" t="inlineStr">
        <is>
          <t>-</t>
        </is>
      </c>
      <c r="F606" t="inlineStr">
        <is>
          <t>Gói</t>
        </is>
      </c>
      <c r="G606" s="2" t="n">
        <v>1</v>
      </c>
      <c r="H606" s="2">
        <f>SUMIF('01_BOC_TACH_ONG'!B:B, B606, '01_BOC_TACH_ONG'!K:K)</f>
        <v/>
      </c>
      <c r="I606" s="2">
        <f>SUMIF('02_BOC_TACH_CUA'!B:B, B606, '02_BOC_TACH_CUA'!K:K)</f>
        <v/>
      </c>
      <c r="J606" s="2">
        <f>SUMIF('03_BOC_TACH_VAN'!B:B, B606, '03_BOC_TACH_VAN'!K:K)</f>
        <v/>
      </c>
      <c r="K606" s="2">
        <f>SUM(H606:J606)</f>
        <v/>
      </c>
      <c r="L606" s="2">
        <f>K606*0.25</f>
        <v/>
      </c>
      <c r="M606" s="2">
        <f>K606*0.10</f>
        <v/>
      </c>
      <c r="N606" s="2">
        <f>K606+L606+M606</f>
        <v/>
      </c>
      <c r="O606" s="2">
        <f>IF(G606&gt;0, N606/G606, 0)</f>
        <v/>
      </c>
      <c r="P606" s="3" t="n">
        <v>0.18</v>
      </c>
      <c r="Q606" s="2">
        <f>O606*(1+P606)</f>
        <v/>
      </c>
      <c r="R606" s="2">
        <f>G606*Q606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SUB_KEY</t>
        </is>
      </c>
      <c r="B1" s="1" t="inlineStr">
        <is>
          <t>PARENT_ITEM_ID</t>
        </is>
      </c>
      <c r="C1" s="1" t="inlineStr">
        <is>
          <t>TÊN CẤU KIỆN</t>
        </is>
      </c>
      <c r="D1" s="1" t="inlineStr">
        <is>
          <t>PHÂN LOẠI</t>
        </is>
      </c>
      <c r="E1" s="1" t="inlineStr">
        <is>
          <t>MÃ VẬT TƯ (MAT_ID)</t>
        </is>
      </c>
      <c r="F1" s="1" t="inlineStr">
        <is>
          <t>ĐVT</t>
        </is>
      </c>
      <c r="G1" s="1" t="inlineStr">
        <is>
          <t>ĐỊNH MỨC / 1 SP</t>
        </is>
      </c>
      <c r="H1" s="1" t="inlineStr">
        <is>
          <t>SL DỰ ÁN</t>
        </is>
      </c>
      <c r="I1" s="1" t="inlineStr">
        <is>
          <t>TỔNG NHU CẦU</t>
        </is>
      </c>
      <c r="J1" s="1" t="inlineStr">
        <is>
          <t>ĐƠN GIÁ GỐC</t>
        </is>
      </c>
      <c r="K1" s="1" t="inlineStr">
        <is>
          <t>THÀNH TIỀN (VNĐ)</t>
        </is>
      </c>
      <c r="L1" s="1" t="inlineStr">
        <is>
          <t>GHI CHÚ KỸ THUẬT</t>
        </is>
      </c>
    </row>
    <row r="2">
      <c r="A2" t="inlineStr">
        <is>
          <t>SW-DUCT-001-BODY</t>
        </is>
      </c>
      <c r="B2" t="inlineStr">
        <is>
          <t>SW-DUCT-001</t>
        </is>
      </c>
      <c r="C2" t="inlineStr">
        <is>
          <t>Thân ống gió bích TDF (0.58mm)</t>
        </is>
      </c>
      <c r="D2" t="inlineStr">
        <is>
          <t>TÔN_CUỘN_MẠ_KẼM</t>
        </is>
      </c>
      <c r="E2" t="inlineStr">
        <is>
          <t>MAT-STEEL-PN-0.58</t>
        </is>
      </c>
      <c r="F2" t="inlineStr">
        <is>
          <t>kg</t>
        </is>
      </c>
      <c r="G2" s="4" t="n">
        <v>2.620274265</v>
      </c>
      <c r="H2" s="2">
        <f>XLOOKUP(B2, '00_TONG_HOP_BAO_GIA'!B:B, '00_TONG_HOP_BAO_GIA'!G:G, 1)</f>
        <v/>
      </c>
      <c r="I2" s="5">
        <f>G2*H2</f>
        <v/>
      </c>
      <c r="J2" s="2">
        <f>XLOOKUP(E2, '06_BANG_GIA_VAT_TU_AP_DUNG'!B:B, '06_BANG_GIA_VAT_TU_AP_DUNG'!C:C, "LỖI_MÃ_VT")</f>
        <v/>
      </c>
      <c r="K2" s="2">
        <f>I2*J2</f>
        <v/>
      </c>
      <c r="L2" t="inlineStr">
        <is>
          <t>Chu vi phôi 2.030m, Dài phôi 0.270m</t>
        </is>
      </c>
    </row>
    <row r="3">
      <c r="A3" t="inlineStr">
        <is>
          <t>SW-DUCT-002-BODY</t>
        </is>
      </c>
      <c r="B3" t="inlineStr">
        <is>
          <t>SW-DUCT-002</t>
        </is>
      </c>
      <c r="C3" t="inlineStr">
        <is>
          <t>Thân ống gió bích TDF (0.58mm)</t>
        </is>
      </c>
      <c r="D3" t="inlineStr">
        <is>
          <t>TÔN_CUỘN_MẠ_KẼM</t>
        </is>
      </c>
      <c r="E3" t="inlineStr">
        <is>
          <t>MAT-STEEL-PN-0.58</t>
        </is>
      </c>
      <c r="F3" t="inlineStr">
        <is>
          <t>kg</t>
        </is>
      </c>
      <c r="G3" s="4" t="n">
        <v>2.620274265</v>
      </c>
      <c r="H3" s="2">
        <f>XLOOKUP(B3, '00_TONG_HOP_BAO_GIA'!B:B, '00_TONG_HOP_BAO_GIA'!G:G, 1)</f>
        <v/>
      </c>
      <c r="I3" s="5">
        <f>G3*H3</f>
        <v/>
      </c>
      <c r="J3" s="2">
        <f>XLOOKUP(E3, '06_BANG_GIA_VAT_TU_AP_DUNG'!B:B, '06_BANG_GIA_VAT_TU_AP_DUNG'!C:C, "LỖI_MÃ_VT")</f>
        <v/>
      </c>
      <c r="K3" s="2">
        <f>I3*J3</f>
        <v/>
      </c>
      <c r="L3" t="inlineStr">
        <is>
          <t>Chu vi phôi 2.030m, Dài phôi 0.270m</t>
        </is>
      </c>
    </row>
    <row r="4">
      <c r="A4" t="inlineStr">
        <is>
          <t>SW-DUCT-003-BODY</t>
        </is>
      </c>
      <c r="B4" t="inlineStr">
        <is>
          <t>SW-DUCT-003</t>
        </is>
      </c>
      <c r="C4" t="inlineStr">
        <is>
          <t>Thân ống gió bích TDF (0.58mm)</t>
        </is>
      </c>
      <c r="D4" t="inlineStr">
        <is>
          <t>TÔN_CUỘN_MẠ_KẼM</t>
        </is>
      </c>
      <c r="E4" t="inlineStr">
        <is>
          <t>MAT-STEEL-PN-0.58</t>
        </is>
      </c>
      <c r="F4" t="inlineStr">
        <is>
          <t>kg</t>
        </is>
      </c>
      <c r="G4" s="4" t="n">
        <v>2.620274265</v>
      </c>
      <c r="H4" s="2">
        <f>XLOOKUP(B4, '00_TONG_HOP_BAO_GIA'!B:B, '00_TONG_HOP_BAO_GIA'!G:G, 1)</f>
        <v/>
      </c>
      <c r="I4" s="5">
        <f>G4*H4</f>
        <v/>
      </c>
      <c r="J4" s="2">
        <f>XLOOKUP(E4, '06_BANG_GIA_VAT_TU_AP_DUNG'!B:B, '06_BANG_GIA_VAT_TU_AP_DUNG'!C:C, "LỖI_MÃ_VT")</f>
        <v/>
      </c>
      <c r="K4" s="2">
        <f>I4*J4</f>
        <v/>
      </c>
      <c r="L4" t="inlineStr">
        <is>
          <t>Chu vi phôi 2.030m, Dài phôi 0.270m</t>
        </is>
      </c>
    </row>
    <row r="5">
      <c r="A5" t="inlineStr">
        <is>
          <t>SW-DUCT-004-BODY</t>
        </is>
      </c>
      <c r="B5" t="inlineStr">
        <is>
          <t>SW-DUCT-004</t>
        </is>
      </c>
      <c r="C5" t="inlineStr">
        <is>
          <t>Thân ống gió bích TDF (0.58mm)</t>
        </is>
      </c>
      <c r="D5" t="inlineStr">
        <is>
          <t>TÔN_CUỘN_MẠ_KẼM</t>
        </is>
      </c>
      <c r="E5" t="inlineStr">
        <is>
          <t>MAT-STEEL-PN-0.58</t>
        </is>
      </c>
      <c r="F5" t="inlineStr">
        <is>
          <t>kg</t>
        </is>
      </c>
      <c r="G5" s="4" t="n">
        <v>2.620274265</v>
      </c>
      <c r="H5" s="2">
        <f>XLOOKUP(B5, '00_TONG_HOP_BAO_GIA'!B:B, '00_TONG_HOP_BAO_GIA'!G:G, 1)</f>
        <v/>
      </c>
      <c r="I5" s="5">
        <f>G5*H5</f>
        <v/>
      </c>
      <c r="J5" s="2">
        <f>XLOOKUP(E5, '06_BANG_GIA_VAT_TU_AP_DUNG'!B:B, '06_BANG_GIA_VAT_TU_AP_DUNG'!C:C, "LỖI_MÃ_VT")</f>
        <v/>
      </c>
      <c r="K5" s="2">
        <f>I5*J5</f>
        <v/>
      </c>
      <c r="L5" t="inlineStr">
        <is>
          <t>Chu vi phôi 2.030m, Dài phôi 0.270m</t>
        </is>
      </c>
    </row>
    <row r="6">
      <c r="A6" t="inlineStr">
        <is>
          <t>SW-DUCT-005-BODY</t>
        </is>
      </c>
      <c r="B6" t="inlineStr">
        <is>
          <t>SW-DUCT-005</t>
        </is>
      </c>
      <c r="C6" t="inlineStr">
        <is>
          <t>Thân ống gió bích TDF (0.58mm)</t>
        </is>
      </c>
      <c r="D6" t="inlineStr">
        <is>
          <t>TÔN_CUỘN_MẠ_KẼM</t>
        </is>
      </c>
      <c r="E6" t="inlineStr">
        <is>
          <t>MAT-STEEL-PN-0.58</t>
        </is>
      </c>
      <c r="F6" t="inlineStr">
        <is>
          <t>kg</t>
        </is>
      </c>
      <c r="G6" s="4" t="n">
        <v>2.620274265</v>
      </c>
      <c r="H6" s="2">
        <f>XLOOKUP(B6, '00_TONG_HOP_BAO_GIA'!B:B, '00_TONG_HOP_BAO_GIA'!G:G, 1)</f>
        <v/>
      </c>
      <c r="I6" s="5">
        <f>G6*H6</f>
        <v/>
      </c>
      <c r="J6" s="2">
        <f>XLOOKUP(E6, '06_BANG_GIA_VAT_TU_AP_DUNG'!B:B, '06_BANG_GIA_VAT_TU_AP_DUNG'!C:C, "LỖI_MÃ_VT")</f>
        <v/>
      </c>
      <c r="K6" s="2">
        <f>I6*J6</f>
        <v/>
      </c>
      <c r="L6" t="inlineStr">
        <is>
          <t>Chu vi phôi 2.030m, Dài phôi 0.270m</t>
        </is>
      </c>
    </row>
    <row r="7">
      <c r="A7" t="inlineStr">
        <is>
          <t>SW-DUCT-006-BODY</t>
        </is>
      </c>
      <c r="B7" t="inlineStr">
        <is>
          <t>SW-DUCT-006</t>
        </is>
      </c>
      <c r="C7" t="inlineStr">
        <is>
          <t>Thân ống gió bích TDF (0.58mm)</t>
        </is>
      </c>
      <c r="D7" t="inlineStr">
        <is>
          <t>TÔN_CUỘN_MẠ_KẼM</t>
        </is>
      </c>
      <c r="E7" t="inlineStr">
        <is>
          <t>MAT-STEEL-PN-0.58</t>
        </is>
      </c>
      <c r="F7" t="inlineStr">
        <is>
          <t>kg</t>
        </is>
      </c>
      <c r="G7" s="4" t="n">
        <v>2.620274265</v>
      </c>
      <c r="H7" s="2">
        <f>XLOOKUP(B7, '00_TONG_HOP_BAO_GIA'!B:B, '00_TONG_HOP_BAO_GIA'!G:G, 1)</f>
        <v/>
      </c>
      <c r="I7" s="5">
        <f>G7*H7</f>
        <v/>
      </c>
      <c r="J7" s="2">
        <f>XLOOKUP(E7, '06_BANG_GIA_VAT_TU_AP_DUNG'!B:B, '06_BANG_GIA_VAT_TU_AP_DUNG'!C:C, "LỖI_MÃ_VT")</f>
        <v/>
      </c>
      <c r="K7" s="2">
        <f>I7*J7</f>
        <v/>
      </c>
      <c r="L7" t="inlineStr">
        <is>
          <t>Chu vi phôi 2.030m, Dài phôi 0.270m</t>
        </is>
      </c>
    </row>
    <row r="8">
      <c r="A8" t="inlineStr">
        <is>
          <t>SW-DUCT-007-BODY</t>
        </is>
      </c>
      <c r="B8" t="inlineStr">
        <is>
          <t>SW-DUCT-007</t>
        </is>
      </c>
      <c r="C8" t="inlineStr">
        <is>
          <t>Thân ống gió bích TDF (0.58mm)</t>
        </is>
      </c>
      <c r="D8" t="inlineStr">
        <is>
          <t>TÔN_CUỘN_MẠ_KẼM</t>
        </is>
      </c>
      <c r="E8" t="inlineStr">
        <is>
          <t>MAT-STEEL-PN-0.58</t>
        </is>
      </c>
      <c r="F8" t="inlineStr">
        <is>
          <t>kg</t>
        </is>
      </c>
      <c r="G8" s="4" t="n">
        <v>2.620274265</v>
      </c>
      <c r="H8" s="2">
        <f>XLOOKUP(B8, '00_TONG_HOP_BAO_GIA'!B:B, '00_TONG_HOP_BAO_GIA'!G:G, 1)</f>
        <v/>
      </c>
      <c r="I8" s="5">
        <f>G8*H8</f>
        <v/>
      </c>
      <c r="J8" s="2">
        <f>XLOOKUP(E8, '06_BANG_GIA_VAT_TU_AP_DUNG'!B:B, '06_BANG_GIA_VAT_TU_AP_DUNG'!C:C, "LỖI_MÃ_VT")</f>
        <v/>
      </c>
      <c r="K8" s="2">
        <f>I8*J8</f>
        <v/>
      </c>
      <c r="L8" t="inlineStr">
        <is>
          <t>Chu vi phôi 2.030m, Dài phôi 0.270m</t>
        </is>
      </c>
    </row>
    <row r="9">
      <c r="A9" t="inlineStr">
        <is>
          <t>SW-DUCT-008-BODY</t>
        </is>
      </c>
      <c r="B9" t="inlineStr">
        <is>
          <t>SW-DUCT-008</t>
        </is>
      </c>
      <c r="C9" t="inlineStr">
        <is>
          <t>Thân ống gió bích TDF (0.58mm)</t>
        </is>
      </c>
      <c r="D9" t="inlineStr">
        <is>
          <t>TÔN_CUỘN_MẠ_KẼM</t>
        </is>
      </c>
      <c r="E9" t="inlineStr">
        <is>
          <t>MAT-STEEL-PN-0.58</t>
        </is>
      </c>
      <c r="F9" t="inlineStr">
        <is>
          <t>kg</t>
        </is>
      </c>
      <c r="G9" s="4" t="n">
        <v>2.620274265</v>
      </c>
      <c r="H9" s="2">
        <f>XLOOKUP(B9, '00_TONG_HOP_BAO_GIA'!B:B, '00_TONG_HOP_BAO_GIA'!G:G, 1)</f>
        <v/>
      </c>
      <c r="I9" s="5">
        <f>G9*H9</f>
        <v/>
      </c>
      <c r="J9" s="2">
        <f>XLOOKUP(E9, '06_BANG_GIA_VAT_TU_AP_DUNG'!B:B, '06_BANG_GIA_VAT_TU_AP_DUNG'!C:C, "LỖI_MÃ_VT")</f>
        <v/>
      </c>
      <c r="K9" s="2">
        <f>I9*J9</f>
        <v/>
      </c>
      <c r="L9" t="inlineStr">
        <is>
          <t>Chu vi phôi 2.030m, Dài phôi 0.270m</t>
        </is>
      </c>
    </row>
    <row r="10">
      <c r="A10" t="inlineStr">
        <is>
          <t>SW-DUCT-009-BODY</t>
        </is>
      </c>
      <c r="B10" t="inlineStr">
        <is>
          <t>SW-DUCT-009</t>
        </is>
      </c>
      <c r="C10" t="inlineStr">
        <is>
          <t>Thân ống gió bích TDF (0.58mm)</t>
        </is>
      </c>
      <c r="D10" t="inlineStr">
        <is>
          <t>TÔN_CUỘN_MẠ_KẼM</t>
        </is>
      </c>
      <c r="E10" t="inlineStr">
        <is>
          <t>MAT-STEEL-PN-0.58</t>
        </is>
      </c>
      <c r="F10" t="inlineStr">
        <is>
          <t>kg</t>
        </is>
      </c>
      <c r="G10" s="4" t="n">
        <v>2.620274265</v>
      </c>
      <c r="H10" s="2">
        <f>XLOOKUP(B10, '00_TONG_HOP_BAO_GIA'!B:B, '00_TONG_HOP_BAO_GIA'!G:G, 1)</f>
        <v/>
      </c>
      <c r="I10" s="5">
        <f>G10*H10</f>
        <v/>
      </c>
      <c r="J10" s="2">
        <f>XLOOKUP(E10, '06_BANG_GIA_VAT_TU_AP_DUNG'!B:B, '06_BANG_GIA_VAT_TU_AP_DUNG'!C:C, "LỖI_MÃ_VT")</f>
        <v/>
      </c>
      <c r="K10" s="2">
        <f>I10*J10</f>
        <v/>
      </c>
      <c r="L10" t="inlineStr">
        <is>
          <t>Chu vi phôi 2.030m, Dài phôi 0.270m</t>
        </is>
      </c>
    </row>
    <row r="11">
      <c r="A11" t="inlineStr">
        <is>
          <t>SW-DUCT-010-BODY</t>
        </is>
      </c>
      <c r="B11" t="inlineStr">
        <is>
          <t>SW-DUCT-010</t>
        </is>
      </c>
      <c r="C11" t="inlineStr">
        <is>
          <t>Thân ống gió bích TDF (0.58mm)</t>
        </is>
      </c>
      <c r="D11" t="inlineStr">
        <is>
          <t>TÔN_CUỘN_MẠ_KẼM</t>
        </is>
      </c>
      <c r="E11" t="inlineStr">
        <is>
          <t>MAT-STEEL-PN-0.58</t>
        </is>
      </c>
      <c r="F11" t="inlineStr">
        <is>
          <t>kg</t>
        </is>
      </c>
      <c r="G11" s="4" t="n">
        <v>2.620274265</v>
      </c>
      <c r="H11" s="2">
        <f>XLOOKUP(B11, '00_TONG_HOP_BAO_GIA'!B:B, '00_TONG_HOP_BAO_GIA'!G:G, 1)</f>
        <v/>
      </c>
      <c r="I11" s="5">
        <f>G11*H11</f>
        <v/>
      </c>
      <c r="J11" s="2">
        <f>XLOOKUP(E11, '06_BANG_GIA_VAT_TU_AP_DUNG'!B:B, '06_BANG_GIA_VAT_TU_AP_DUNG'!C:C, "LỖI_MÃ_VT")</f>
        <v/>
      </c>
      <c r="K11" s="2">
        <f>I11*J11</f>
        <v/>
      </c>
      <c r="L11" t="inlineStr">
        <is>
          <t>Chu vi phôi 2.030m, Dài phôi 0.270m</t>
        </is>
      </c>
    </row>
    <row r="12">
      <c r="A12" t="inlineStr">
        <is>
          <t>SW-DUCT-011-BODY</t>
        </is>
      </c>
      <c r="B12" t="inlineStr">
        <is>
          <t>SW-DUCT-011</t>
        </is>
      </c>
      <c r="C12" t="inlineStr">
        <is>
          <t>Thân ống gió bích TDF (0.58mm)</t>
        </is>
      </c>
      <c r="D12" t="inlineStr">
        <is>
          <t>TÔN_CUỘN_MẠ_KẼM</t>
        </is>
      </c>
      <c r="E12" t="inlineStr">
        <is>
          <t>MAT-STEEL-PN-0.58</t>
        </is>
      </c>
      <c r="F12" t="inlineStr">
        <is>
          <t>kg</t>
        </is>
      </c>
      <c r="G12" s="4" t="n">
        <v>2.620274265</v>
      </c>
      <c r="H12" s="2">
        <f>XLOOKUP(B12, '00_TONG_HOP_BAO_GIA'!B:B, '00_TONG_HOP_BAO_GIA'!G:G, 1)</f>
        <v/>
      </c>
      <c r="I12" s="5">
        <f>G12*H12</f>
        <v/>
      </c>
      <c r="J12" s="2">
        <f>XLOOKUP(E12, '06_BANG_GIA_VAT_TU_AP_DUNG'!B:B, '06_BANG_GIA_VAT_TU_AP_DUNG'!C:C, "LỖI_MÃ_VT")</f>
        <v/>
      </c>
      <c r="K12" s="2">
        <f>I12*J12</f>
        <v/>
      </c>
      <c r="L12" t="inlineStr">
        <is>
          <t>Chu vi phôi 2.030m, Dài phôi 0.270m</t>
        </is>
      </c>
    </row>
    <row r="13">
      <c r="A13" t="inlineStr">
        <is>
          <t>SW-DUCT-012-BODY</t>
        </is>
      </c>
      <c r="B13" t="inlineStr">
        <is>
          <t>SW-DUCT-012</t>
        </is>
      </c>
      <c r="C13" t="inlineStr">
        <is>
          <t>Thân ống gió bích TDF (0.58mm)</t>
        </is>
      </c>
      <c r="D13" t="inlineStr">
        <is>
          <t>TÔN_CUỘN_MẠ_KẼM</t>
        </is>
      </c>
      <c r="E13" t="inlineStr">
        <is>
          <t>MAT-STEEL-PN-0.58</t>
        </is>
      </c>
      <c r="F13" t="inlineStr">
        <is>
          <t>kg</t>
        </is>
      </c>
      <c r="G13" s="4" t="n">
        <v>2.620274265</v>
      </c>
      <c r="H13" s="2">
        <f>XLOOKUP(B13, '00_TONG_HOP_BAO_GIA'!B:B, '00_TONG_HOP_BAO_GIA'!G:G, 1)</f>
        <v/>
      </c>
      <c r="I13" s="5">
        <f>G13*H13</f>
        <v/>
      </c>
      <c r="J13" s="2">
        <f>XLOOKUP(E13, '06_BANG_GIA_VAT_TU_AP_DUNG'!B:B, '06_BANG_GIA_VAT_TU_AP_DUNG'!C:C, "LỖI_MÃ_VT")</f>
        <v/>
      </c>
      <c r="K13" s="2">
        <f>I13*J13</f>
        <v/>
      </c>
      <c r="L13" t="inlineStr">
        <is>
          <t>Chu vi phôi 2.030m, Dài phôi 0.270m</t>
        </is>
      </c>
    </row>
    <row r="14">
      <c r="A14" t="inlineStr">
        <is>
          <t>SW-DUCT-013-BODY</t>
        </is>
      </c>
      <c r="B14" t="inlineStr">
        <is>
          <t>SW-DUCT-013</t>
        </is>
      </c>
      <c r="C14" t="inlineStr">
        <is>
          <t>Thân ống gió bích TDF (0.58mm)</t>
        </is>
      </c>
      <c r="D14" t="inlineStr">
        <is>
          <t>TÔN_CUỘN_MẠ_KẼM</t>
        </is>
      </c>
      <c r="E14" t="inlineStr">
        <is>
          <t>MAT-STEEL-PN-0.58</t>
        </is>
      </c>
      <c r="F14" t="inlineStr">
        <is>
          <t>kg</t>
        </is>
      </c>
      <c r="G14" s="4" t="n">
        <v>2.620274265</v>
      </c>
      <c r="H14" s="2">
        <f>XLOOKUP(B14, '00_TONG_HOP_BAO_GIA'!B:B, '00_TONG_HOP_BAO_GIA'!G:G, 1)</f>
        <v/>
      </c>
      <c r="I14" s="5">
        <f>G14*H14</f>
        <v/>
      </c>
      <c r="J14" s="2">
        <f>XLOOKUP(E14, '06_BANG_GIA_VAT_TU_AP_DUNG'!B:B, '06_BANG_GIA_VAT_TU_AP_DUNG'!C:C, "LỖI_MÃ_VT")</f>
        <v/>
      </c>
      <c r="K14" s="2">
        <f>I14*J14</f>
        <v/>
      </c>
      <c r="L14" t="inlineStr">
        <is>
          <t>Chu vi phôi 2.030m, Dài phôi 0.270m</t>
        </is>
      </c>
    </row>
    <row r="15">
      <c r="A15" t="inlineStr">
        <is>
          <t>SW-DUCT-014-BODY</t>
        </is>
      </c>
      <c r="B15" t="inlineStr">
        <is>
          <t>SW-DUCT-014</t>
        </is>
      </c>
      <c r="C15" t="inlineStr">
        <is>
          <t>Thân ống gió bích TDF (0.58mm)</t>
        </is>
      </c>
      <c r="D15" t="inlineStr">
        <is>
          <t>TÔN_CUỘN_MẠ_KẼM</t>
        </is>
      </c>
      <c r="E15" t="inlineStr">
        <is>
          <t>MAT-STEEL-PN-0.58</t>
        </is>
      </c>
      <c r="F15" t="inlineStr">
        <is>
          <t>kg</t>
        </is>
      </c>
      <c r="G15" s="4" t="n">
        <v>2.620274265</v>
      </c>
      <c r="H15" s="2">
        <f>XLOOKUP(B15, '00_TONG_HOP_BAO_GIA'!B:B, '00_TONG_HOP_BAO_GIA'!G:G, 1)</f>
        <v/>
      </c>
      <c r="I15" s="5">
        <f>G15*H15</f>
        <v/>
      </c>
      <c r="J15" s="2">
        <f>XLOOKUP(E15, '06_BANG_GIA_VAT_TU_AP_DUNG'!B:B, '06_BANG_GIA_VAT_TU_AP_DUNG'!C:C, "LỖI_MÃ_VT")</f>
        <v/>
      </c>
      <c r="K15" s="2">
        <f>I15*J15</f>
        <v/>
      </c>
      <c r="L15" t="inlineStr">
        <is>
          <t>Chu vi phôi 2.030m, Dài phôi 0.270m</t>
        </is>
      </c>
    </row>
    <row r="16">
      <c r="A16" t="inlineStr">
        <is>
          <t>SW-DUCT-015-BODY</t>
        </is>
      </c>
      <c r="B16" t="inlineStr">
        <is>
          <t>SW-DUCT-015</t>
        </is>
      </c>
      <c r="C16" t="inlineStr">
        <is>
          <t>Thân ống gió bích TDF (0.58mm)</t>
        </is>
      </c>
      <c r="D16" t="inlineStr">
        <is>
          <t>TÔN_CUỘN_MẠ_KẼM</t>
        </is>
      </c>
      <c r="E16" t="inlineStr">
        <is>
          <t>MAT-STEEL-PN-0.58</t>
        </is>
      </c>
      <c r="F16" t="inlineStr">
        <is>
          <t>kg</t>
        </is>
      </c>
      <c r="G16" s="4" t="n">
        <v>2.620274265</v>
      </c>
      <c r="H16" s="2">
        <f>XLOOKUP(B16, '00_TONG_HOP_BAO_GIA'!B:B, '00_TONG_HOP_BAO_GIA'!G:G, 1)</f>
        <v/>
      </c>
      <c r="I16" s="5">
        <f>G16*H16</f>
        <v/>
      </c>
      <c r="J16" s="2">
        <f>XLOOKUP(E16, '06_BANG_GIA_VAT_TU_AP_DUNG'!B:B, '06_BANG_GIA_VAT_TU_AP_DUNG'!C:C, "LỖI_MÃ_VT")</f>
        <v/>
      </c>
      <c r="K16" s="2">
        <f>I16*J16</f>
        <v/>
      </c>
      <c r="L16" t="inlineStr">
        <is>
          <t>Chu vi phôi 2.030m, Dài phôi 0.270m</t>
        </is>
      </c>
    </row>
    <row r="17">
      <c r="A17" t="inlineStr">
        <is>
          <t>SW-DUCT-016-BODY</t>
        </is>
      </c>
      <c r="B17" t="inlineStr">
        <is>
          <t>SW-DUCT-016</t>
        </is>
      </c>
      <c r="C17" t="inlineStr">
        <is>
          <t>Thân ống gió bích TDF (0.58mm)</t>
        </is>
      </c>
      <c r="D17" t="inlineStr">
        <is>
          <t>TÔN_CUỘN_MẠ_KẼM</t>
        </is>
      </c>
      <c r="E17" t="inlineStr">
        <is>
          <t>MAT-STEEL-PN-0.58</t>
        </is>
      </c>
      <c r="F17" t="inlineStr">
        <is>
          <t>kg</t>
        </is>
      </c>
      <c r="G17" s="4" t="n">
        <v>2.620274265</v>
      </c>
      <c r="H17" s="2">
        <f>XLOOKUP(B17, '00_TONG_HOP_BAO_GIA'!B:B, '00_TONG_HOP_BAO_GIA'!G:G, 1)</f>
        <v/>
      </c>
      <c r="I17" s="5">
        <f>G17*H17</f>
        <v/>
      </c>
      <c r="J17" s="2">
        <f>XLOOKUP(E17, '06_BANG_GIA_VAT_TU_AP_DUNG'!B:B, '06_BANG_GIA_VAT_TU_AP_DUNG'!C:C, "LỖI_MÃ_VT")</f>
        <v/>
      </c>
      <c r="K17" s="2">
        <f>I17*J17</f>
        <v/>
      </c>
      <c r="L17" t="inlineStr">
        <is>
          <t>Chu vi phôi 2.030m, Dài phôi 0.270m</t>
        </is>
      </c>
    </row>
    <row r="18">
      <c r="A18" t="inlineStr">
        <is>
          <t>SW-DUCT-017-BODY</t>
        </is>
      </c>
      <c r="B18" t="inlineStr">
        <is>
          <t>SW-DUCT-017</t>
        </is>
      </c>
      <c r="C18" t="inlineStr">
        <is>
          <t>Thân ống gió bích TDF (0.58mm)</t>
        </is>
      </c>
      <c r="D18" t="inlineStr">
        <is>
          <t>TÔN_CUỘN_MẠ_KẼM</t>
        </is>
      </c>
      <c r="E18" t="inlineStr">
        <is>
          <t>MAT-STEEL-PN-0.58</t>
        </is>
      </c>
      <c r="F18" t="inlineStr">
        <is>
          <t>kg</t>
        </is>
      </c>
      <c r="G18" s="4" t="n">
        <v>2.620274265</v>
      </c>
      <c r="H18" s="2">
        <f>XLOOKUP(B18, '00_TONG_HOP_BAO_GIA'!B:B, '00_TONG_HOP_BAO_GIA'!G:G, 1)</f>
        <v/>
      </c>
      <c r="I18" s="5">
        <f>G18*H18</f>
        <v/>
      </c>
      <c r="J18" s="2">
        <f>XLOOKUP(E18, '06_BANG_GIA_VAT_TU_AP_DUNG'!B:B, '06_BANG_GIA_VAT_TU_AP_DUNG'!C:C, "LỖI_MÃ_VT")</f>
        <v/>
      </c>
      <c r="K18" s="2">
        <f>I18*J18</f>
        <v/>
      </c>
      <c r="L18" t="inlineStr">
        <is>
          <t>Chu vi phôi 2.030m, Dài phôi 0.270m</t>
        </is>
      </c>
    </row>
    <row r="19">
      <c r="A19" t="inlineStr">
        <is>
          <t>SW-DUCT-018-BODY</t>
        </is>
      </c>
      <c r="B19" t="inlineStr">
        <is>
          <t>SW-DUCT-018</t>
        </is>
      </c>
      <c r="C19" t="inlineStr">
        <is>
          <t>Thân ống gió bích TDF (0.58mm)</t>
        </is>
      </c>
      <c r="D19" t="inlineStr">
        <is>
          <t>TÔN_CUỘN_MẠ_KẼM</t>
        </is>
      </c>
      <c r="E19" t="inlineStr">
        <is>
          <t>MAT-STEEL-PN-0.58</t>
        </is>
      </c>
      <c r="F19" t="inlineStr">
        <is>
          <t>kg</t>
        </is>
      </c>
      <c r="G19" s="4" t="n">
        <v>2.620274265</v>
      </c>
      <c r="H19" s="2">
        <f>XLOOKUP(B19, '00_TONG_HOP_BAO_GIA'!B:B, '00_TONG_HOP_BAO_GIA'!G:G, 1)</f>
        <v/>
      </c>
      <c r="I19" s="5">
        <f>G19*H19</f>
        <v/>
      </c>
      <c r="J19" s="2">
        <f>XLOOKUP(E19, '06_BANG_GIA_VAT_TU_AP_DUNG'!B:B, '06_BANG_GIA_VAT_TU_AP_DUNG'!C:C, "LỖI_MÃ_VT")</f>
        <v/>
      </c>
      <c r="K19" s="2">
        <f>I19*J19</f>
        <v/>
      </c>
      <c r="L19" t="inlineStr">
        <is>
          <t>Chu vi phôi 2.030m, Dài phôi 0.270m</t>
        </is>
      </c>
    </row>
    <row r="20">
      <c r="A20" t="inlineStr">
        <is>
          <t>SW-DUCT-019-BODY</t>
        </is>
      </c>
      <c r="B20" t="inlineStr">
        <is>
          <t>SW-DUCT-019</t>
        </is>
      </c>
      <c r="C20" t="inlineStr">
        <is>
          <t>Thân ống gió bích TDF (0.58mm)</t>
        </is>
      </c>
      <c r="D20" t="inlineStr">
        <is>
          <t>TÔN_CUỘN_MẠ_KẼM</t>
        </is>
      </c>
      <c r="E20" t="inlineStr">
        <is>
          <t>MAT-STEEL-PN-0.58</t>
        </is>
      </c>
      <c r="F20" t="inlineStr">
        <is>
          <t>kg</t>
        </is>
      </c>
      <c r="G20" s="4" t="n">
        <v>2.620274265</v>
      </c>
      <c r="H20" s="2">
        <f>XLOOKUP(B20, '00_TONG_HOP_BAO_GIA'!B:B, '00_TONG_HOP_BAO_GIA'!G:G, 1)</f>
        <v/>
      </c>
      <c r="I20" s="5">
        <f>G20*H20</f>
        <v/>
      </c>
      <c r="J20" s="2">
        <f>XLOOKUP(E20, '06_BANG_GIA_VAT_TU_AP_DUNG'!B:B, '06_BANG_GIA_VAT_TU_AP_DUNG'!C:C, "LỖI_MÃ_VT")</f>
        <v/>
      </c>
      <c r="K20" s="2">
        <f>I20*J20</f>
        <v/>
      </c>
      <c r="L20" t="inlineStr">
        <is>
          <t>Chu vi phôi 2.030m, Dài phôi 0.270m</t>
        </is>
      </c>
    </row>
    <row r="21">
      <c r="A21" t="inlineStr">
        <is>
          <t>SW-DUCT-020-BODY</t>
        </is>
      </c>
      <c r="B21" t="inlineStr">
        <is>
          <t>SW-DUCT-020</t>
        </is>
      </c>
      <c r="C21" t="inlineStr">
        <is>
          <t>Thân ống gió bích TDF (0.58mm)</t>
        </is>
      </c>
      <c r="D21" t="inlineStr">
        <is>
          <t>TÔN_CUỘN_MẠ_KẼM</t>
        </is>
      </c>
      <c r="E21" t="inlineStr">
        <is>
          <t>MAT-STEEL-PN-0.58</t>
        </is>
      </c>
      <c r="F21" t="inlineStr">
        <is>
          <t>kg</t>
        </is>
      </c>
      <c r="G21" s="4" t="n">
        <v>2.620274265</v>
      </c>
      <c r="H21" s="2">
        <f>XLOOKUP(B21, '00_TONG_HOP_BAO_GIA'!B:B, '00_TONG_HOP_BAO_GIA'!G:G, 1)</f>
        <v/>
      </c>
      <c r="I21" s="5">
        <f>G21*H21</f>
        <v/>
      </c>
      <c r="J21" s="2">
        <f>XLOOKUP(E21, '06_BANG_GIA_VAT_TU_AP_DUNG'!B:B, '06_BANG_GIA_VAT_TU_AP_DUNG'!C:C, "LỖI_MÃ_VT")</f>
        <v/>
      </c>
      <c r="K21" s="2">
        <f>I21*J21</f>
        <v/>
      </c>
      <c r="L21" t="inlineStr">
        <is>
          <t>Chu vi phôi 2.030m, Dài phôi 0.270m</t>
        </is>
      </c>
    </row>
    <row r="22">
      <c r="A22" t="inlineStr">
        <is>
          <t>SW-DUCT-021-BODY</t>
        </is>
      </c>
      <c r="B22" t="inlineStr">
        <is>
          <t>SW-DUCT-021</t>
        </is>
      </c>
      <c r="C22" t="inlineStr">
        <is>
          <t>Thân ống gió bích TDF (0.58mm)</t>
        </is>
      </c>
      <c r="D22" t="inlineStr">
        <is>
          <t>TÔN_CUỘN_MẠ_KẼM</t>
        </is>
      </c>
      <c r="E22" t="inlineStr">
        <is>
          <t>MAT-STEEL-PN-0.58</t>
        </is>
      </c>
      <c r="F22" t="inlineStr">
        <is>
          <t>kg</t>
        </is>
      </c>
      <c r="G22" s="4" t="n">
        <v>2.620274265</v>
      </c>
      <c r="H22" s="2">
        <f>XLOOKUP(B22, '00_TONG_HOP_BAO_GIA'!B:B, '00_TONG_HOP_BAO_GIA'!G:G, 1)</f>
        <v/>
      </c>
      <c r="I22" s="5">
        <f>G22*H22</f>
        <v/>
      </c>
      <c r="J22" s="2">
        <f>XLOOKUP(E22, '06_BANG_GIA_VAT_TU_AP_DUNG'!B:B, '06_BANG_GIA_VAT_TU_AP_DUNG'!C:C, "LỖI_MÃ_VT")</f>
        <v/>
      </c>
      <c r="K22" s="2">
        <f>I22*J22</f>
        <v/>
      </c>
      <c r="L22" t="inlineStr">
        <is>
          <t>Chu vi phôi 2.030m, Dài phôi 0.270m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SUB_KEY</t>
        </is>
      </c>
      <c r="B1" s="1" t="inlineStr">
        <is>
          <t>PARENT_ITEM_ID</t>
        </is>
      </c>
      <c r="C1" s="1" t="inlineStr">
        <is>
          <t>TÊN CẤU KIỆN</t>
        </is>
      </c>
      <c r="D1" s="1" t="inlineStr">
        <is>
          <t>PHÂN LOẠI</t>
        </is>
      </c>
      <c r="E1" s="1" t="inlineStr">
        <is>
          <t>MÃ VẬT TƯ (MAT_ID)</t>
        </is>
      </c>
      <c r="F1" s="1" t="inlineStr">
        <is>
          <t>ĐVT</t>
        </is>
      </c>
      <c r="G1" s="1" t="inlineStr">
        <is>
          <t>ĐỊNH MỨC / 1 SP</t>
        </is>
      </c>
      <c r="H1" s="1" t="inlineStr">
        <is>
          <t>SL DỰ ÁN</t>
        </is>
      </c>
      <c r="I1" s="1" t="inlineStr">
        <is>
          <t>TỔNG NHU CẦU</t>
        </is>
      </c>
      <c r="J1" s="1" t="inlineStr">
        <is>
          <t>ĐƠN GIÁ GỐC</t>
        </is>
      </c>
      <c r="K1" s="1" t="inlineStr">
        <is>
          <t>THÀNH TIỀN (VNĐ)</t>
        </is>
      </c>
      <c r="L1" s="1" t="inlineStr">
        <is>
          <t>GHI CHÚ KỸ THUẬT</t>
        </is>
      </c>
    </row>
    <row r="2">
      <c r="A2" t="inlineStr">
        <is>
          <t>SW-DIFF-091-FRAME</t>
        </is>
      </c>
      <c r="B2" t="inlineStr">
        <is>
          <t>SW-DIFF-091</t>
        </is>
      </c>
      <c r="C2" t="inlineStr">
        <is>
          <t>Khung nhôm định hình (Z)</t>
        </is>
      </c>
      <c r="D2" t="inlineStr">
        <is>
          <t>NHÔM_ĐỊNH_HÌNH</t>
        </is>
      </c>
      <c r="E2" t="inlineStr">
        <is>
          <t>MAT-ALU-KHUNG-Z-2-LOP</t>
        </is>
      </c>
      <c r="F2" t="inlineStr">
        <is>
          <t>kg</t>
        </is>
      </c>
      <c r="G2" s="4" t="n">
        <v>0.28602</v>
      </c>
      <c r="H2" s="2">
        <f>XLOOKUP(B2, '00_TONG_HOP_BAO_GIA'!B:B, '00_TONG_HOP_BAO_GIA'!G:G, 1)</f>
        <v/>
      </c>
      <c r="I2" s="5">
        <f>G2*H2</f>
        <v/>
      </c>
      <c r="J2" s="2">
        <f>XLOOKUP(E2, '06_BANG_GIA_VAT_TU_AP_DUNG'!B:B, '06_BANG_GIA_VAT_TU_AP_DUNG'!C:C, "LỖI_MÃ_VT")</f>
        <v/>
      </c>
      <c r="K2" s="2">
        <f>I2*J2</f>
        <v/>
      </c>
      <c r="L2" t="inlineStr">
        <is>
          <t>Dài cắt 1.26m @ 0.227kg/m</t>
        </is>
      </c>
    </row>
    <row r="3">
      <c r="A3" t="inlineStr">
        <is>
          <t>SW-DIFF-091-BLADE</t>
        </is>
      </c>
      <c r="B3" t="inlineStr">
        <is>
          <t>SW-DIFF-091</t>
        </is>
      </c>
      <c r="C3" t="inlineStr">
        <is>
          <t>Nan nhôm định hình (Z)</t>
        </is>
      </c>
      <c r="D3" t="inlineStr">
        <is>
          <t>NHÔM_ĐỊNH_HÌNH</t>
        </is>
      </c>
      <c r="E3" t="inlineStr">
        <is>
          <t>MAT-ALU-NAN-Z-DAY</t>
        </is>
      </c>
      <c r="F3" t="inlineStr">
        <is>
          <t>kg</t>
        </is>
      </c>
      <c r="G3" s="4" t="n">
        <v>0.528612</v>
      </c>
      <c r="H3" s="2">
        <f>XLOOKUP(B3, '00_TONG_HOP_BAO_GIA'!B:B, '00_TONG_HOP_BAO_GIA'!G:G, 1)</f>
        <v/>
      </c>
      <c r="I3" s="5">
        <f>G3*H3</f>
        <v/>
      </c>
      <c r="J3" s="2">
        <f>XLOOKUP(E3, '06_BANG_GIA_VAT_TU_AP_DUNG'!B:B, '06_BANG_GIA_VAT_TU_AP_DUNG'!C:C, "LỖI_MÃ_VT")</f>
        <v/>
      </c>
      <c r="K3" s="2">
        <f>I3*J3</f>
        <v/>
      </c>
      <c r="L3" t="inlineStr">
        <is>
          <t>8 nan dài 2.44m @ 0.217kg/m</t>
        </is>
      </c>
    </row>
    <row r="4">
      <c r="A4" t="inlineStr">
        <is>
          <t>SW-DIFF-091-ACCESSORY</t>
        </is>
      </c>
      <c r="B4" t="inlineStr">
        <is>
          <t>SW-DIFF-091</t>
        </is>
      </c>
      <c r="C4" t="inlineStr">
        <is>
          <t>Phụ kiện lắp ghép / Ke góc cửa gió</t>
        </is>
      </c>
      <c r="D4" t="inlineStr">
        <is>
          <t>PHỤ_KIỆN_CỬA</t>
        </is>
      </c>
      <c r="E4" t="inlineStr">
        <is>
          <t>MAT-DOOR-ACCESSORY</t>
        </is>
      </c>
      <c r="F4" t="inlineStr">
        <is>
          <t>Bộ</t>
        </is>
      </c>
      <c r="G4" s="4" t="n">
        <v>1</v>
      </c>
      <c r="H4" s="2">
        <f>XLOOKUP(B4, '00_TONG_HOP_BAO_GIA'!B:B, '00_TONG_HOP_BAO_GIA'!G:G, 1)</f>
        <v/>
      </c>
      <c r="I4" s="5">
        <f>G4*H4</f>
        <v/>
      </c>
      <c r="J4" s="2">
        <f>XLOOKUP(E4, '06_BANG_GIA_VAT_TU_AP_DUNG'!B:B, '06_BANG_GIA_VAT_TU_AP_DUNG'!C:C, "LỖI_MÃ_VT")</f>
        <v/>
      </c>
      <c r="K4" s="2">
        <f>I4*J4</f>
        <v/>
      </c>
      <c r="L4" t="inlineStr">
        <is>
          <t>4 ke góc chìm và vít ghép khung</t>
        </is>
      </c>
    </row>
    <row r="5">
      <c r="A5" t="inlineStr">
        <is>
          <t>SW-DIFF-091-PAINT</t>
        </is>
      </c>
      <c r="B5" t="inlineStr">
        <is>
          <t>SW-DIFF-091</t>
        </is>
      </c>
      <c r="C5" t="inlineStr">
        <is>
          <t>Sơn tĩnh điện tiêu chuẩn Polyester</t>
        </is>
      </c>
      <c r="D5" t="inlineStr">
        <is>
          <t>SƠN_TĨNH_ĐIỆN</t>
        </is>
      </c>
      <c r="E5" t="inlineStr">
        <is>
          <t>MAT-PAINT-POWDER</t>
        </is>
      </c>
      <c r="F5" t="inlineStr">
        <is>
          <t>m2</t>
        </is>
      </c>
      <c r="G5" s="4" t="n">
        <v>0.135</v>
      </c>
      <c r="H5" s="2">
        <f>XLOOKUP(B5, '00_TONG_HOP_BAO_GIA'!B:B, '00_TONG_HOP_BAO_GIA'!G:G, 1)</f>
        <v/>
      </c>
      <c r="I5" s="5">
        <f>G5*H5</f>
        <v/>
      </c>
      <c r="J5" s="2">
        <f>XLOOKUP(E5, '06_BANG_GIA_VAT_TU_AP_DUNG'!B:B, '06_BANG_GIA_VAT_TU_AP_DUNG'!C:C, "LỖI_MÃ_VT")</f>
        <v/>
      </c>
      <c r="K5" s="2">
        <f>I5*J5</f>
        <v/>
      </c>
      <c r="L5" t="inlineStr">
        <is>
          <t>Diện tích phủ sơn 0.135m2</t>
        </is>
      </c>
    </row>
    <row r="6">
      <c r="A6" t="inlineStr">
        <is>
          <t>SW-DIFF-166-FRAME</t>
        </is>
      </c>
      <c r="B6" t="inlineStr">
        <is>
          <t>SW-DIFF-166</t>
        </is>
      </c>
      <c r="C6" t="inlineStr">
        <is>
          <t>Khung nhôm định hình (BD)</t>
        </is>
      </c>
      <c r="D6" t="inlineStr">
        <is>
          <t>NHÔM_ĐỊNH_HÌNH</t>
        </is>
      </c>
      <c r="E6" t="inlineStr">
        <is>
          <t>MAT-ALU-KHUNG-BD</t>
        </is>
      </c>
      <c r="F6" t="inlineStr">
        <is>
          <t>kg</t>
        </is>
      </c>
      <c r="G6" s="4" t="n">
        <v>0.126</v>
      </c>
      <c r="H6" s="2">
        <f>XLOOKUP(B6, '00_TONG_HOP_BAO_GIA'!B:B, '00_TONG_HOP_BAO_GIA'!G:G, 1)</f>
        <v/>
      </c>
      <c r="I6" s="5">
        <f>G6*H6</f>
        <v/>
      </c>
      <c r="J6" s="2">
        <f>XLOOKUP(E6, '06_BANG_GIA_VAT_TU_AP_DUNG'!B:B, '06_BANG_GIA_VAT_TU_AP_DUNG'!C:C, "LỖI_MÃ_VT")</f>
        <v/>
      </c>
      <c r="K6" s="2">
        <f>I6*J6</f>
        <v/>
      </c>
      <c r="L6" t="inlineStr">
        <is>
          <t>Dài cắt 0.63m @ 0.2kg/m</t>
        </is>
      </c>
    </row>
    <row r="7">
      <c r="A7" t="inlineStr">
        <is>
          <t>SW-DIFF-166-BLADE</t>
        </is>
      </c>
      <c r="B7" t="inlineStr">
        <is>
          <t>SW-DIFF-166</t>
        </is>
      </c>
      <c r="C7" t="inlineStr">
        <is>
          <t>Nan nhôm định hình (BD)</t>
        </is>
      </c>
      <c r="D7" t="inlineStr">
        <is>
          <t>NHÔM_ĐỊNH_HÌNH</t>
        </is>
      </c>
      <c r="E7" t="inlineStr">
        <is>
          <t>MAT-ALU-NAN-BD</t>
        </is>
      </c>
      <c r="F7" t="inlineStr">
        <is>
          <t>kg</t>
        </is>
      </c>
      <c r="G7" s="4" t="n">
        <v>0.04628400000000001</v>
      </c>
      <c r="H7" s="2">
        <f>XLOOKUP(B7, '00_TONG_HOP_BAO_GIA'!B:B, '00_TONG_HOP_BAO_GIA'!G:G, 1)</f>
        <v/>
      </c>
      <c r="I7" s="5">
        <f>G7*H7</f>
        <v/>
      </c>
      <c r="J7" s="2">
        <f>XLOOKUP(E7, '06_BANG_GIA_VAT_TU_AP_DUNG'!B:B, '06_BANG_GIA_VAT_TU_AP_DUNG'!C:C, "LỖI_MÃ_VT")</f>
        <v/>
      </c>
      <c r="K7" s="2">
        <f>I7*J7</f>
        <v/>
      </c>
      <c r="L7" t="inlineStr">
        <is>
          <t>4 nan dài 0.80m @ 0.058kg/m</t>
        </is>
      </c>
    </row>
    <row r="8">
      <c r="A8" t="inlineStr">
        <is>
          <t>SW-DIFF-166-ACCESSORY</t>
        </is>
      </c>
      <c r="B8" t="inlineStr">
        <is>
          <t>SW-DIFF-166</t>
        </is>
      </c>
      <c r="C8" t="inlineStr">
        <is>
          <t>Phụ kiện lắp ghép / Ke góc cửa gió</t>
        </is>
      </c>
      <c r="D8" t="inlineStr">
        <is>
          <t>PHỤ_KIỆN_CỬA</t>
        </is>
      </c>
      <c r="E8" t="inlineStr">
        <is>
          <t>MAT-DOOR-ACCESSORY</t>
        </is>
      </c>
      <c r="F8" t="inlineStr">
        <is>
          <t>Bộ</t>
        </is>
      </c>
      <c r="G8" s="4" t="n">
        <v>1</v>
      </c>
      <c r="H8" s="2">
        <f>XLOOKUP(B8, '00_TONG_HOP_BAO_GIA'!B:B, '00_TONG_HOP_BAO_GIA'!G:G, 1)</f>
        <v/>
      </c>
      <c r="I8" s="5">
        <f>G8*H8</f>
        <v/>
      </c>
      <c r="J8" s="2">
        <f>XLOOKUP(E8, '06_BANG_GIA_VAT_TU_AP_DUNG'!B:B, '06_BANG_GIA_VAT_TU_AP_DUNG'!C:C, "LỖI_MÃ_VT")</f>
        <v/>
      </c>
      <c r="K8" s="2">
        <f>I8*J8</f>
        <v/>
      </c>
      <c r="L8" t="inlineStr">
        <is>
          <t>4 ke góc chìm và vít ghép khung</t>
        </is>
      </c>
    </row>
    <row r="9">
      <c r="A9" t="inlineStr">
        <is>
          <t>SW-DIFF-166-PAINT</t>
        </is>
      </c>
      <c r="B9" t="inlineStr">
        <is>
          <t>SW-DIFF-166</t>
        </is>
      </c>
      <c r="C9" t="inlineStr">
        <is>
          <t>Sơn tĩnh điện tiêu chuẩn Polyester</t>
        </is>
      </c>
      <c r="D9" t="inlineStr">
        <is>
          <t>SƠN_TĨNH_ĐIỆN</t>
        </is>
      </c>
      <c r="E9" t="inlineStr">
        <is>
          <t>MAT-PAINT-POWDER</t>
        </is>
      </c>
      <c r="F9" t="inlineStr">
        <is>
          <t>m2</t>
        </is>
      </c>
      <c r="G9" s="4" t="n">
        <v>0.03</v>
      </c>
      <c r="H9" s="2">
        <f>XLOOKUP(B9, '00_TONG_HOP_BAO_GIA'!B:B, '00_TONG_HOP_BAO_GIA'!G:G, 1)</f>
        <v/>
      </c>
      <c r="I9" s="5">
        <f>G9*H9</f>
        <v/>
      </c>
      <c r="J9" s="2">
        <f>XLOOKUP(E9, '06_BANG_GIA_VAT_TU_AP_DUNG'!B:B, '06_BANG_GIA_VAT_TU_AP_DUNG'!C:C, "LỖI_MÃ_VT")</f>
        <v/>
      </c>
      <c r="K9" s="2">
        <f>I9*J9</f>
        <v/>
      </c>
      <c r="L9" t="inlineStr">
        <is>
          <t>Diện tích phủ sơn 0.030m2</t>
        </is>
      </c>
    </row>
    <row r="10">
      <c r="A10" t="inlineStr">
        <is>
          <t>SW-DIFF-167-FRAME</t>
        </is>
      </c>
      <c r="B10" t="inlineStr">
        <is>
          <t>SW-DIFF-167</t>
        </is>
      </c>
      <c r="C10" t="inlineStr">
        <is>
          <t>Khung nhôm định hình (BD)</t>
        </is>
      </c>
      <c r="D10" t="inlineStr">
        <is>
          <t>NHÔM_ĐỊNH_HÌNH</t>
        </is>
      </c>
      <c r="E10" t="inlineStr">
        <is>
          <t>MAT-ALU-KHUNG-BD</t>
        </is>
      </c>
      <c r="F10" t="inlineStr">
        <is>
          <t>kg</t>
        </is>
      </c>
      <c r="G10" s="4" t="n">
        <v>0.147</v>
      </c>
      <c r="H10" s="2">
        <f>XLOOKUP(B10, '00_TONG_HOP_BAO_GIA'!B:B, '00_TONG_HOP_BAO_GIA'!G:G, 1)</f>
        <v/>
      </c>
      <c r="I10" s="5">
        <f>G10*H10</f>
        <v/>
      </c>
      <c r="J10" s="2">
        <f>XLOOKUP(E10, '06_BANG_GIA_VAT_TU_AP_DUNG'!B:B, '06_BANG_GIA_VAT_TU_AP_DUNG'!C:C, "LỖI_MÃ_VT")</f>
        <v/>
      </c>
      <c r="K10" s="2">
        <f>I10*J10</f>
        <v/>
      </c>
      <c r="L10" t="inlineStr">
        <is>
          <t>Dài cắt 0.73m @ 0.2kg/m</t>
        </is>
      </c>
    </row>
    <row r="11">
      <c r="A11" t="inlineStr">
        <is>
          <t>SW-DIFF-167-BLADE</t>
        </is>
      </c>
      <c r="B11" t="inlineStr">
        <is>
          <t>SW-DIFF-167</t>
        </is>
      </c>
      <c r="C11" t="inlineStr">
        <is>
          <t>Nan nhôm định hình (BD)</t>
        </is>
      </c>
      <c r="D11" t="inlineStr">
        <is>
          <t>NHÔM_ĐỊNH_HÌNH</t>
        </is>
      </c>
      <c r="E11" t="inlineStr">
        <is>
          <t>MAT-ALU-NAN-BD</t>
        </is>
      </c>
      <c r="F11" t="inlineStr">
        <is>
          <t>kg</t>
        </is>
      </c>
      <c r="G11" s="4" t="n">
        <v>0.06942600000000002</v>
      </c>
      <c r="H11" s="2">
        <f>XLOOKUP(B11, '00_TONG_HOP_BAO_GIA'!B:B, '00_TONG_HOP_BAO_GIA'!G:G, 1)</f>
        <v/>
      </c>
      <c r="I11" s="5">
        <f>G11*H11</f>
        <v/>
      </c>
      <c r="J11" s="2">
        <f>XLOOKUP(E11, '06_BANG_GIA_VAT_TU_AP_DUNG'!B:B, '06_BANG_GIA_VAT_TU_AP_DUNG'!C:C, "LỖI_MÃ_VT")</f>
        <v/>
      </c>
      <c r="K11" s="2">
        <f>I11*J11</f>
        <v/>
      </c>
      <c r="L11" t="inlineStr">
        <is>
          <t>6 nan dài 1.20m @ 0.058kg/m</t>
        </is>
      </c>
    </row>
    <row r="12">
      <c r="A12" t="inlineStr">
        <is>
          <t>SW-DIFF-167-ACCESSORY</t>
        </is>
      </c>
      <c r="B12" t="inlineStr">
        <is>
          <t>SW-DIFF-167</t>
        </is>
      </c>
      <c r="C12" t="inlineStr">
        <is>
          <t>Phụ kiện lắp ghép / Ke góc cửa gió</t>
        </is>
      </c>
      <c r="D12" t="inlineStr">
        <is>
          <t>PHỤ_KIỆN_CỬA</t>
        </is>
      </c>
      <c r="E12" t="inlineStr">
        <is>
          <t>MAT-DOOR-ACCESSORY</t>
        </is>
      </c>
      <c r="F12" t="inlineStr">
        <is>
          <t>Bộ</t>
        </is>
      </c>
      <c r="G12" s="4" t="n">
        <v>1</v>
      </c>
      <c r="H12" s="2">
        <f>XLOOKUP(B12, '00_TONG_HOP_BAO_GIA'!B:B, '00_TONG_HOP_BAO_GIA'!G:G, 1)</f>
        <v/>
      </c>
      <c r="I12" s="5">
        <f>G12*H12</f>
        <v/>
      </c>
      <c r="J12" s="2">
        <f>XLOOKUP(E12, '06_BANG_GIA_VAT_TU_AP_DUNG'!B:B, '06_BANG_GIA_VAT_TU_AP_DUNG'!C:C, "LỖI_MÃ_VT")</f>
        <v/>
      </c>
      <c r="K12" s="2">
        <f>I12*J12</f>
        <v/>
      </c>
      <c r="L12" t="inlineStr">
        <is>
          <t>4 ke góc chìm và vít ghép khung</t>
        </is>
      </c>
    </row>
    <row r="13">
      <c r="A13" t="inlineStr">
        <is>
          <t>SW-DIFF-167-PAINT</t>
        </is>
      </c>
      <c r="B13" t="inlineStr">
        <is>
          <t>SW-DIFF-167</t>
        </is>
      </c>
      <c r="C13" t="inlineStr">
        <is>
          <t>Sơn tĩnh điện tiêu chuẩn Polyester</t>
        </is>
      </c>
      <c r="D13" t="inlineStr">
        <is>
          <t>SƠN_TĨNH_ĐIỆN</t>
        </is>
      </c>
      <c r="E13" t="inlineStr">
        <is>
          <t>MAT-PAINT-POWDER</t>
        </is>
      </c>
      <c r="F13" t="inlineStr">
        <is>
          <t>m2</t>
        </is>
      </c>
      <c r="G13" s="4" t="n">
        <v>0.045</v>
      </c>
      <c r="H13" s="2">
        <f>XLOOKUP(B13, '00_TONG_HOP_BAO_GIA'!B:B, '00_TONG_HOP_BAO_GIA'!G:G, 1)</f>
        <v/>
      </c>
      <c r="I13" s="5">
        <f>G13*H13</f>
        <v/>
      </c>
      <c r="J13" s="2">
        <f>XLOOKUP(E13, '06_BANG_GIA_VAT_TU_AP_DUNG'!B:B, '06_BANG_GIA_VAT_TU_AP_DUNG'!C:C, "LỖI_MÃ_VT")</f>
        <v/>
      </c>
      <c r="K13" s="2">
        <f>I13*J13</f>
        <v/>
      </c>
      <c r="L13" t="inlineStr">
        <is>
          <t>Diện tích phủ sơn 0.045m2</t>
        </is>
      </c>
    </row>
    <row r="14">
      <c r="A14" t="inlineStr">
        <is>
          <t>SW-DIFF-168-FRAME</t>
        </is>
      </c>
      <c r="B14" t="inlineStr">
        <is>
          <t>SW-DIFF-168</t>
        </is>
      </c>
      <c r="C14" t="inlineStr">
        <is>
          <t>Khung nhôm định hình (BD)</t>
        </is>
      </c>
      <c r="D14" t="inlineStr">
        <is>
          <t>NHÔM_ĐỊNH_HÌNH</t>
        </is>
      </c>
      <c r="E14" t="inlineStr">
        <is>
          <t>MAT-ALU-KHUNG-BD</t>
        </is>
      </c>
      <c r="F14" t="inlineStr">
        <is>
          <t>kg</t>
        </is>
      </c>
      <c r="G14" s="4" t="n">
        <v>0.168</v>
      </c>
      <c r="H14" s="2">
        <f>XLOOKUP(B14, '00_TONG_HOP_BAO_GIA'!B:B, '00_TONG_HOP_BAO_GIA'!G:G, 1)</f>
        <v/>
      </c>
      <c r="I14" s="5">
        <f>G14*H14</f>
        <v/>
      </c>
      <c r="J14" s="2">
        <f>XLOOKUP(E14, '06_BANG_GIA_VAT_TU_AP_DUNG'!B:B, '06_BANG_GIA_VAT_TU_AP_DUNG'!C:C, "LỖI_MÃ_VT")</f>
        <v/>
      </c>
      <c r="K14" s="2">
        <f>I14*J14</f>
        <v/>
      </c>
      <c r="L14" t="inlineStr">
        <is>
          <t>Dài cắt 0.84m @ 0.2kg/m</t>
        </is>
      </c>
    </row>
    <row r="15">
      <c r="A15" t="inlineStr">
        <is>
          <t>SW-DIFF-168-BLADE</t>
        </is>
      </c>
      <c r="B15" t="inlineStr">
        <is>
          <t>SW-DIFF-168</t>
        </is>
      </c>
      <c r="C15" t="inlineStr">
        <is>
          <t>Nan nhôm định hình (BD)</t>
        </is>
      </c>
      <c r="D15" t="inlineStr">
        <is>
          <t>NHÔM_ĐỊNH_HÌNH</t>
        </is>
      </c>
      <c r="E15" t="inlineStr">
        <is>
          <t>MAT-ALU-NAN-BD</t>
        </is>
      </c>
      <c r="F15" t="inlineStr">
        <is>
          <t>kg</t>
        </is>
      </c>
      <c r="G15" s="4" t="n">
        <v>0.070644</v>
      </c>
      <c r="H15" s="2">
        <f>XLOOKUP(B15, '00_TONG_HOP_BAO_GIA'!B:B, '00_TONG_HOP_BAO_GIA'!G:G, 1)</f>
        <v/>
      </c>
      <c r="I15" s="5">
        <f>G15*H15</f>
        <v/>
      </c>
      <c r="J15" s="2">
        <f>XLOOKUP(E15, '06_BANG_GIA_VAT_TU_AP_DUNG'!B:B, '06_BANG_GIA_VAT_TU_AP_DUNG'!C:C, "LỖI_MÃ_VT")</f>
        <v/>
      </c>
      <c r="K15" s="2">
        <f>I15*J15</f>
        <v/>
      </c>
      <c r="L15" t="inlineStr">
        <is>
          <t>4 nan dài 1.22m @ 0.058kg/m</t>
        </is>
      </c>
    </row>
    <row r="16">
      <c r="A16" t="inlineStr">
        <is>
          <t>SW-DIFF-168-ACCESSORY</t>
        </is>
      </c>
      <c r="B16" t="inlineStr">
        <is>
          <t>SW-DIFF-168</t>
        </is>
      </c>
      <c r="C16" t="inlineStr">
        <is>
          <t>Phụ kiện lắp ghép / Ke góc cửa gió</t>
        </is>
      </c>
      <c r="D16" t="inlineStr">
        <is>
          <t>PHỤ_KIỆN_CỬA</t>
        </is>
      </c>
      <c r="E16" t="inlineStr">
        <is>
          <t>MAT-DOOR-ACCESSORY</t>
        </is>
      </c>
      <c r="F16" t="inlineStr">
        <is>
          <t>Bộ</t>
        </is>
      </c>
      <c r="G16" s="4" t="n">
        <v>1</v>
      </c>
      <c r="H16" s="2">
        <f>XLOOKUP(B16, '00_TONG_HOP_BAO_GIA'!B:B, '00_TONG_HOP_BAO_GIA'!G:G, 1)</f>
        <v/>
      </c>
      <c r="I16" s="5">
        <f>G16*H16</f>
        <v/>
      </c>
      <c r="J16" s="2">
        <f>XLOOKUP(E16, '06_BANG_GIA_VAT_TU_AP_DUNG'!B:B, '06_BANG_GIA_VAT_TU_AP_DUNG'!C:C, "LỖI_MÃ_VT")</f>
        <v/>
      </c>
      <c r="K16" s="2">
        <f>I16*J16</f>
        <v/>
      </c>
      <c r="L16" t="inlineStr">
        <is>
          <t>4 ke góc chìm và vít ghép khung</t>
        </is>
      </c>
    </row>
    <row r="17">
      <c r="A17" t="inlineStr">
        <is>
          <t>SW-DIFF-168-PAINT</t>
        </is>
      </c>
      <c r="B17" t="inlineStr">
        <is>
          <t>SW-DIFF-168</t>
        </is>
      </c>
      <c r="C17" t="inlineStr">
        <is>
          <t>Sơn tĩnh điện tiêu chuẩn Polyester</t>
        </is>
      </c>
      <c r="D17" t="inlineStr">
        <is>
          <t>SƠN_TĨNH_ĐIỆN</t>
        </is>
      </c>
      <c r="E17" t="inlineStr">
        <is>
          <t>MAT-PAINT-POWDER</t>
        </is>
      </c>
      <c r="F17" t="inlineStr">
        <is>
          <t>m2</t>
        </is>
      </c>
      <c r="G17" s="4" t="n">
        <v>0.045</v>
      </c>
      <c r="H17" s="2">
        <f>XLOOKUP(B17, '00_TONG_HOP_BAO_GIA'!B:B, '00_TONG_HOP_BAO_GIA'!G:G, 1)</f>
        <v/>
      </c>
      <c r="I17" s="5">
        <f>G17*H17</f>
        <v/>
      </c>
      <c r="J17" s="2">
        <f>XLOOKUP(E17, '06_BANG_GIA_VAT_TU_AP_DUNG'!B:B, '06_BANG_GIA_VAT_TU_AP_DUNG'!C:C, "LỖI_MÃ_VT")</f>
        <v/>
      </c>
      <c r="K17" s="2">
        <f>I17*J17</f>
        <v/>
      </c>
      <c r="L17" t="inlineStr">
        <is>
          <t>Diện tích phủ sơn 0.045m2</t>
        </is>
      </c>
    </row>
    <row r="18">
      <c r="A18" t="inlineStr">
        <is>
          <t>SW-DIFF-271-FRAME</t>
        </is>
      </c>
      <c r="B18" t="inlineStr">
        <is>
          <t>SW-DIFF-271</t>
        </is>
      </c>
      <c r="C18" t="inlineStr">
        <is>
          <t>Khung nhôm định hình (Z)</t>
        </is>
      </c>
      <c r="D18" t="inlineStr">
        <is>
          <t>NHÔM_ĐỊNH_HÌNH</t>
        </is>
      </c>
      <c r="E18" t="inlineStr">
        <is>
          <t>MAT-ALU-KHUNG-Z-2-LOP</t>
        </is>
      </c>
      <c r="F18" t="inlineStr">
        <is>
          <t>kg</t>
        </is>
      </c>
      <c r="G18" s="4" t="n">
        <v>0.8342250000000001</v>
      </c>
      <c r="H18" s="2">
        <f>XLOOKUP(B18, '00_TONG_HOP_BAO_GIA'!B:B, '00_TONG_HOP_BAO_GIA'!G:G, 1)</f>
        <v/>
      </c>
      <c r="I18" s="5">
        <f>G18*H18</f>
        <v/>
      </c>
      <c r="J18" s="2">
        <f>XLOOKUP(E18, '06_BANG_GIA_VAT_TU_AP_DUNG'!B:B, '06_BANG_GIA_VAT_TU_AP_DUNG'!C:C, "LỖI_MÃ_VT")</f>
        <v/>
      </c>
      <c r="K18" s="2">
        <f>I18*J18</f>
        <v/>
      </c>
      <c r="L18" t="inlineStr">
        <is>
          <t>Dài cắt 3.68m @ 0.227kg/m</t>
        </is>
      </c>
    </row>
    <row r="19">
      <c r="A19" t="inlineStr">
        <is>
          <t>SW-DIFF-271-BLADE</t>
        </is>
      </c>
      <c r="B19" t="inlineStr">
        <is>
          <t>SW-DIFF-271</t>
        </is>
      </c>
      <c r="C19" t="inlineStr">
        <is>
          <t>Nan nhôm định hình (Z)</t>
        </is>
      </c>
      <c r="D19" t="inlineStr">
        <is>
          <t>NHÔM_ĐỊNH_HÌNH</t>
        </is>
      </c>
      <c r="E19" t="inlineStr">
        <is>
          <t>MAT-ALU-NAN-Z-DAY</t>
        </is>
      </c>
      <c r="F19" t="inlineStr">
        <is>
          <t>kg</t>
        </is>
      </c>
      <c r="G19" s="4" t="n">
        <v>2.8504035</v>
      </c>
      <c r="H19" s="2">
        <f>XLOOKUP(B19, '00_TONG_HOP_BAO_GIA'!B:B, '00_TONG_HOP_BAO_GIA'!G:G, 1)</f>
        <v/>
      </c>
      <c r="I19" s="5">
        <f>G19*H19</f>
        <v/>
      </c>
      <c r="J19" s="2">
        <f>XLOOKUP(E19, '06_BANG_GIA_VAT_TU_AP_DUNG'!B:B, '06_BANG_GIA_VAT_TU_AP_DUNG'!C:C, "LỖI_MÃ_VT")</f>
        <v/>
      </c>
      <c r="K19" s="2">
        <f>I19*J19</f>
        <v/>
      </c>
      <c r="L19" t="inlineStr">
        <is>
          <t>9 nan dài 13.14m @ 0.217kg/m</t>
        </is>
      </c>
    </row>
    <row r="20">
      <c r="A20" t="inlineStr">
        <is>
          <t>SW-DIFF-271-ACCESSORY</t>
        </is>
      </c>
      <c r="B20" t="inlineStr">
        <is>
          <t>SW-DIFF-271</t>
        </is>
      </c>
      <c r="C20" t="inlineStr">
        <is>
          <t>Phụ kiện lắp ghép / Ke góc cửa gió</t>
        </is>
      </c>
      <c r="D20" t="inlineStr">
        <is>
          <t>PHỤ_KIỆN_CỬA</t>
        </is>
      </c>
      <c r="E20" t="inlineStr">
        <is>
          <t>MAT-DOOR-ACCESSORY</t>
        </is>
      </c>
      <c r="F20" t="inlineStr">
        <is>
          <t>Bộ</t>
        </is>
      </c>
      <c r="G20" s="4" t="n">
        <v>1</v>
      </c>
      <c r="H20" s="2">
        <f>XLOOKUP(B20, '00_TONG_HOP_BAO_GIA'!B:B, '00_TONG_HOP_BAO_GIA'!G:G, 1)</f>
        <v/>
      </c>
      <c r="I20" s="5">
        <f>G20*H20</f>
        <v/>
      </c>
      <c r="J20" s="2">
        <f>XLOOKUP(E20, '06_BANG_GIA_VAT_TU_AP_DUNG'!B:B, '06_BANG_GIA_VAT_TU_AP_DUNG'!C:C, "LỖI_MÃ_VT")</f>
        <v/>
      </c>
      <c r="K20" s="2">
        <f>I20*J20</f>
        <v/>
      </c>
      <c r="L20" t="inlineStr">
        <is>
          <t>4 ke góc chìm và vít ghép khung</t>
        </is>
      </c>
    </row>
    <row r="21">
      <c r="A21" t="inlineStr">
        <is>
          <t>SW-DIFF-271-PAINT</t>
        </is>
      </c>
      <c r="B21" t="inlineStr">
        <is>
          <t>SW-DIFF-271</t>
        </is>
      </c>
      <c r="C21" t="inlineStr">
        <is>
          <t>Sơn tĩnh điện tiêu chuẩn Polyester</t>
        </is>
      </c>
      <c r="D21" t="inlineStr">
        <is>
          <t>SƠN_TĨNH_ĐIỆN</t>
        </is>
      </c>
      <c r="E21" t="inlineStr">
        <is>
          <t>MAT-PAINT-POWDER</t>
        </is>
      </c>
      <c r="F21" t="inlineStr">
        <is>
          <t>m2</t>
        </is>
      </c>
      <c r="G21" s="4" t="n">
        <v>0.735</v>
      </c>
      <c r="H21" s="2">
        <f>XLOOKUP(B21, '00_TONG_HOP_BAO_GIA'!B:B, '00_TONG_HOP_BAO_GIA'!G:G, 1)</f>
        <v/>
      </c>
      <c r="I21" s="5">
        <f>G21*H21</f>
        <v/>
      </c>
      <c r="J21" s="2">
        <f>XLOOKUP(E21, '06_BANG_GIA_VAT_TU_AP_DUNG'!B:B, '06_BANG_GIA_VAT_TU_AP_DUNG'!C:C, "LỖI_MÃ_VT")</f>
        <v/>
      </c>
      <c r="K21" s="2">
        <f>I21*J21</f>
        <v/>
      </c>
      <c r="L21" t="inlineStr">
        <is>
          <t>Diện tích phủ sơn 0.735m2</t>
        </is>
      </c>
    </row>
    <row r="22">
      <c r="A22" t="inlineStr">
        <is>
          <t>SW-DIFF-272-FRAME</t>
        </is>
      </c>
      <c r="B22" t="inlineStr">
        <is>
          <t>SW-DIFF-272</t>
        </is>
      </c>
      <c r="C22" t="inlineStr">
        <is>
          <t>Khung nhôm định hình (Z)</t>
        </is>
      </c>
      <c r="D22" t="inlineStr">
        <is>
          <t>NHÔM_ĐỊNH_HÌNH</t>
        </is>
      </c>
      <c r="E22" t="inlineStr">
        <is>
          <t>MAT-ALU-KHUNG-Z-2-LOP</t>
        </is>
      </c>
      <c r="F22" t="inlineStr">
        <is>
          <t>kg</t>
        </is>
      </c>
      <c r="G22" s="4" t="n">
        <v>1.04874</v>
      </c>
      <c r="H22" s="2">
        <f>XLOOKUP(B22, '00_TONG_HOP_BAO_GIA'!B:B, '00_TONG_HOP_BAO_GIA'!G:G, 1)</f>
        <v/>
      </c>
      <c r="I22" s="5">
        <f>G22*H22</f>
        <v/>
      </c>
      <c r="J22" s="2">
        <f>XLOOKUP(E22, '06_BANG_GIA_VAT_TU_AP_DUNG'!B:B, '06_BANG_GIA_VAT_TU_AP_DUNG'!C:C, "LỖI_MÃ_VT")</f>
        <v/>
      </c>
      <c r="K22" s="2">
        <f>I22*J22</f>
        <v/>
      </c>
      <c r="L22" t="inlineStr">
        <is>
          <t>Dài cắt 4.62m @ 0.227kg/m</t>
        </is>
      </c>
    </row>
    <row r="23">
      <c r="A23" t="inlineStr">
        <is>
          <t>SW-DIFF-272-BLADE</t>
        </is>
      </c>
      <c r="B23" t="inlineStr">
        <is>
          <t>SW-DIFF-272</t>
        </is>
      </c>
      <c r="C23" t="inlineStr">
        <is>
          <t>Nan nhôm định hình (Z)</t>
        </is>
      </c>
      <c r="D23" t="inlineStr">
        <is>
          <t>NHÔM_ĐỊNH_HÌNH</t>
        </is>
      </c>
      <c r="E23" t="inlineStr">
        <is>
          <t>MAT-ALU-NAN-Z-DAY</t>
        </is>
      </c>
      <c r="F23" t="inlineStr">
        <is>
          <t>kg</t>
        </is>
      </c>
      <c r="G23" s="4" t="n">
        <v>5.434222500000001</v>
      </c>
      <c r="H23" s="2">
        <f>XLOOKUP(B23, '00_TONG_HOP_BAO_GIA'!B:B, '00_TONG_HOP_BAO_GIA'!G:G, 1)</f>
        <v/>
      </c>
      <c r="I23" s="5">
        <f>G23*H23</f>
        <v/>
      </c>
      <c r="J23" s="2">
        <f>XLOOKUP(E23, '06_BANG_GIA_VAT_TU_AP_DUNG'!B:B, '06_BANG_GIA_VAT_TU_AP_DUNG'!C:C, "LỖI_MÃ_VT")</f>
        <v/>
      </c>
      <c r="K23" s="2">
        <f>I23*J23</f>
        <v/>
      </c>
      <c r="L23" t="inlineStr">
        <is>
          <t>15 nan dài 25.04m @ 0.217kg/m</t>
        </is>
      </c>
    </row>
    <row r="24">
      <c r="A24" t="inlineStr">
        <is>
          <t>SW-DIFF-272-ACCESSORY</t>
        </is>
      </c>
      <c r="B24" t="inlineStr">
        <is>
          <t>SW-DIFF-272</t>
        </is>
      </c>
      <c r="C24" t="inlineStr">
        <is>
          <t>Phụ kiện lắp ghép / Ke góc cửa gió</t>
        </is>
      </c>
      <c r="D24" t="inlineStr">
        <is>
          <t>PHỤ_KIỆN_CỬA</t>
        </is>
      </c>
      <c r="E24" t="inlineStr">
        <is>
          <t>MAT-DOOR-ACCESSORY</t>
        </is>
      </c>
      <c r="F24" t="inlineStr">
        <is>
          <t>Bộ</t>
        </is>
      </c>
      <c r="G24" s="4" t="n">
        <v>1</v>
      </c>
      <c r="H24" s="2">
        <f>XLOOKUP(B24, '00_TONG_HOP_BAO_GIA'!B:B, '00_TONG_HOP_BAO_GIA'!G:G, 1)</f>
        <v/>
      </c>
      <c r="I24" s="5">
        <f>G24*H24</f>
        <v/>
      </c>
      <c r="J24" s="2">
        <f>XLOOKUP(E24, '06_BANG_GIA_VAT_TU_AP_DUNG'!B:B, '06_BANG_GIA_VAT_TU_AP_DUNG'!C:C, "LỖI_MÃ_VT")</f>
        <v/>
      </c>
      <c r="K24" s="2">
        <f>I24*J24</f>
        <v/>
      </c>
      <c r="L24" t="inlineStr">
        <is>
          <t>4 ke góc chìm và vít ghép khung</t>
        </is>
      </c>
    </row>
    <row r="25">
      <c r="A25" t="inlineStr">
        <is>
          <t>SW-DIFF-272-PAINT</t>
        </is>
      </c>
      <c r="B25" t="inlineStr">
        <is>
          <t>SW-DIFF-272</t>
        </is>
      </c>
      <c r="C25" t="inlineStr">
        <is>
          <t>Sơn tĩnh điện tiêu chuẩn Polyester</t>
        </is>
      </c>
      <c r="D25" t="inlineStr">
        <is>
          <t>SƠN_TĨNH_ĐIỆN</t>
        </is>
      </c>
      <c r="E25" t="inlineStr">
        <is>
          <t>MAT-PAINT-POWDER</t>
        </is>
      </c>
      <c r="F25" t="inlineStr">
        <is>
          <t>m2</t>
        </is>
      </c>
      <c r="G25" s="4" t="n">
        <v>1.44</v>
      </c>
      <c r="H25" s="2">
        <f>XLOOKUP(B25, '00_TONG_HOP_BAO_GIA'!B:B, '00_TONG_HOP_BAO_GIA'!G:G, 1)</f>
        <v/>
      </c>
      <c r="I25" s="5">
        <f>G25*H25</f>
        <v/>
      </c>
      <c r="J25" s="2">
        <f>XLOOKUP(E25, '06_BANG_GIA_VAT_TU_AP_DUNG'!B:B, '06_BANG_GIA_VAT_TU_AP_DUNG'!C:C, "LỖI_MÃ_VT")</f>
        <v/>
      </c>
      <c r="K25" s="2">
        <f>I25*J25</f>
        <v/>
      </c>
      <c r="L25" t="inlineStr">
        <is>
          <t>Diện tích phủ sơn 1.440m2</t>
        </is>
      </c>
    </row>
    <row r="26">
      <c r="A26" t="inlineStr">
        <is>
          <t>SW-DIFF-296-FRAME</t>
        </is>
      </c>
      <c r="B26" t="inlineStr">
        <is>
          <t>SW-DIFF-296</t>
        </is>
      </c>
      <c r="C26" t="inlineStr">
        <is>
          <t>Khung nhôm định hình (Z)</t>
        </is>
      </c>
      <c r="D26" t="inlineStr">
        <is>
          <t>NHÔM_ĐỊNH_HÌNH</t>
        </is>
      </c>
      <c r="E26" t="inlineStr">
        <is>
          <t>MAT-ALU-KHUNG-Z-2-LOP</t>
        </is>
      </c>
      <c r="F26" t="inlineStr">
        <is>
          <t>kg</t>
        </is>
      </c>
      <c r="G26" s="4" t="n">
        <v>0.7627200000000001</v>
      </c>
      <c r="H26" s="2">
        <f>XLOOKUP(B26, '00_TONG_HOP_BAO_GIA'!B:B, '00_TONG_HOP_BAO_GIA'!G:G, 1)</f>
        <v/>
      </c>
      <c r="I26" s="5">
        <f>G26*H26</f>
        <v/>
      </c>
      <c r="J26" s="2">
        <f>XLOOKUP(E26, '06_BANG_GIA_VAT_TU_AP_DUNG'!B:B, '06_BANG_GIA_VAT_TU_AP_DUNG'!C:C, "LỖI_MÃ_VT")</f>
        <v/>
      </c>
      <c r="K26" s="2">
        <f>I26*J26</f>
        <v/>
      </c>
      <c r="L26" t="inlineStr">
        <is>
          <t>Dài cắt 3.36m @ 0.227kg/m</t>
        </is>
      </c>
    </row>
    <row r="27">
      <c r="A27" t="inlineStr">
        <is>
          <t>SW-DIFF-296-BLADE</t>
        </is>
      </c>
      <c r="B27" t="inlineStr">
        <is>
          <t>SW-DIFF-296</t>
        </is>
      </c>
      <c r="C27" t="inlineStr">
        <is>
          <t>Nan nhôm định hình (Z)</t>
        </is>
      </c>
      <c r="D27" t="inlineStr">
        <is>
          <t>NHÔM_ĐỊNH_HÌNH</t>
        </is>
      </c>
      <c r="E27" t="inlineStr">
        <is>
          <t>MAT-ALU-NAN-Z-DAY</t>
        </is>
      </c>
      <c r="F27" t="inlineStr">
        <is>
          <t>kg</t>
        </is>
      </c>
      <c r="G27" s="4" t="n">
        <v>1.0184895</v>
      </c>
      <c r="H27" s="2">
        <f>XLOOKUP(B27, '00_TONG_HOP_BAO_GIA'!B:B, '00_TONG_HOP_BAO_GIA'!G:G, 1)</f>
        <v/>
      </c>
      <c r="I27" s="5">
        <f>G27*H27</f>
        <v/>
      </c>
      <c r="J27" s="2">
        <f>XLOOKUP(E27, '06_BANG_GIA_VAT_TU_AP_DUNG'!B:B, '06_BANG_GIA_VAT_TU_AP_DUNG'!C:C, "LỖI_MÃ_VT")</f>
        <v/>
      </c>
      <c r="K27" s="2">
        <f>I27*J27</f>
        <v/>
      </c>
      <c r="L27" t="inlineStr">
        <is>
          <t>3 nan dài 4.69m @ 0.217kg/m</t>
        </is>
      </c>
    </row>
    <row r="28">
      <c r="A28" t="inlineStr">
        <is>
          <t>SW-DIFF-296-ACCESSORY</t>
        </is>
      </c>
      <c r="B28" t="inlineStr">
        <is>
          <t>SW-DIFF-296</t>
        </is>
      </c>
      <c r="C28" t="inlineStr">
        <is>
          <t>Phụ kiện lắp ghép / Ke góc cửa gió</t>
        </is>
      </c>
      <c r="D28" t="inlineStr">
        <is>
          <t>PHỤ_KIỆN_CỬA</t>
        </is>
      </c>
      <c r="E28" t="inlineStr">
        <is>
          <t>MAT-DOOR-ACCESSORY</t>
        </is>
      </c>
      <c r="F28" t="inlineStr">
        <is>
          <t>Bộ</t>
        </is>
      </c>
      <c r="G28" s="4" t="n">
        <v>1</v>
      </c>
      <c r="H28" s="2">
        <f>XLOOKUP(B28, '00_TONG_HOP_BAO_GIA'!B:B, '00_TONG_HOP_BAO_GIA'!G:G, 1)</f>
        <v/>
      </c>
      <c r="I28" s="5">
        <f>G28*H28</f>
        <v/>
      </c>
      <c r="J28" s="2">
        <f>XLOOKUP(E28, '06_BANG_GIA_VAT_TU_AP_DUNG'!B:B, '06_BANG_GIA_VAT_TU_AP_DUNG'!C:C, "LỖI_MÃ_VT")</f>
        <v/>
      </c>
      <c r="K28" s="2">
        <f>I28*J28</f>
        <v/>
      </c>
      <c r="L28" t="inlineStr">
        <is>
          <t>4 ke góc chìm và vít ghép khung</t>
        </is>
      </c>
    </row>
    <row r="29">
      <c r="A29" t="inlineStr">
        <is>
          <t>SW-DIFF-296-PAINT</t>
        </is>
      </c>
      <c r="B29" t="inlineStr">
        <is>
          <t>SW-DIFF-296</t>
        </is>
      </c>
      <c r="C29" t="inlineStr">
        <is>
          <t>Sơn tĩnh điện tiêu chuẩn Polyester</t>
        </is>
      </c>
      <c r="D29" t="inlineStr">
        <is>
          <t>SƠN_TĨNH_ĐIỆN</t>
        </is>
      </c>
      <c r="E29" t="inlineStr">
        <is>
          <t>MAT-PAINT-POWDER</t>
        </is>
      </c>
      <c r="F29" t="inlineStr">
        <is>
          <t>m2</t>
        </is>
      </c>
      <c r="G29" s="4" t="n">
        <v>0.225</v>
      </c>
      <c r="H29" s="2">
        <f>XLOOKUP(B29, '00_TONG_HOP_BAO_GIA'!B:B, '00_TONG_HOP_BAO_GIA'!G:G, 1)</f>
        <v/>
      </c>
      <c r="I29" s="5">
        <f>G29*H29</f>
        <v/>
      </c>
      <c r="J29" s="2">
        <f>XLOOKUP(E29, '06_BANG_GIA_VAT_TU_AP_DUNG'!B:B, '06_BANG_GIA_VAT_TU_AP_DUNG'!C:C, "LỖI_MÃ_VT")</f>
        <v/>
      </c>
      <c r="K29" s="2">
        <f>I29*J29</f>
        <v/>
      </c>
      <c r="L29" t="inlineStr">
        <is>
          <t>Diện tích phủ sơn 0.225m2</t>
        </is>
      </c>
    </row>
    <row r="30">
      <c r="A30" t="inlineStr">
        <is>
          <t>SW-DIFF-297-FRAME</t>
        </is>
      </c>
      <c r="B30" t="inlineStr">
        <is>
          <t>SW-DIFF-297</t>
        </is>
      </c>
      <c r="C30" t="inlineStr">
        <is>
          <t>Khung nhôm định hình (Z)</t>
        </is>
      </c>
      <c r="D30" t="inlineStr">
        <is>
          <t>NHÔM_ĐỊNH_HÌNH</t>
        </is>
      </c>
      <c r="E30" t="inlineStr">
        <is>
          <t>MAT-ALU-KHUNG-Z-2-LOP</t>
        </is>
      </c>
      <c r="F30" t="inlineStr">
        <is>
          <t>kg</t>
        </is>
      </c>
      <c r="G30" s="4" t="n">
        <v>1.33476</v>
      </c>
      <c r="H30" s="2">
        <f>XLOOKUP(B30, '00_TONG_HOP_BAO_GIA'!B:B, '00_TONG_HOP_BAO_GIA'!G:G, 1)</f>
        <v/>
      </c>
      <c r="I30" s="5">
        <f>G30*H30</f>
        <v/>
      </c>
      <c r="J30" s="2">
        <f>XLOOKUP(E30, '06_BANG_GIA_VAT_TU_AP_DUNG'!B:B, '06_BANG_GIA_VAT_TU_AP_DUNG'!C:C, "LỖI_MÃ_VT")</f>
        <v/>
      </c>
      <c r="K30" s="2">
        <f>I30*J30</f>
        <v/>
      </c>
      <c r="L30" t="inlineStr">
        <is>
          <t>Dài cắt 5.88m @ 0.227kg/m</t>
        </is>
      </c>
    </row>
    <row r="31">
      <c r="A31" t="inlineStr">
        <is>
          <t>SW-DIFF-297-BLADE</t>
        </is>
      </c>
      <c r="B31" t="inlineStr">
        <is>
          <t>SW-DIFF-297</t>
        </is>
      </c>
      <c r="C31" t="inlineStr">
        <is>
          <t>Nan nhôm định hình (Z)</t>
        </is>
      </c>
      <c r="D31" t="inlineStr">
        <is>
          <t>NHÔM_ĐỊNH_HÌNH</t>
        </is>
      </c>
      <c r="E31" t="inlineStr">
        <is>
          <t>MAT-ALU-NAN-Z-DAY</t>
        </is>
      </c>
      <c r="F31" t="inlineStr">
        <is>
          <t>kg</t>
        </is>
      </c>
      <c r="G31" s="4" t="n">
        <v>8.831466000000001</v>
      </c>
      <c r="H31" s="2">
        <f>XLOOKUP(B31, '00_TONG_HOP_BAO_GIA'!B:B, '00_TONG_HOP_BAO_GIA'!G:G, 1)</f>
        <v/>
      </c>
      <c r="I31" s="5">
        <f>G31*H31</f>
        <v/>
      </c>
      <c r="J31" s="2">
        <f>XLOOKUP(E31, '06_BANG_GIA_VAT_TU_AP_DUNG'!B:B, '06_BANG_GIA_VAT_TU_AP_DUNG'!C:C, "LỖI_MÃ_VT")</f>
        <v/>
      </c>
      <c r="K31" s="2">
        <f>I31*J31</f>
        <v/>
      </c>
      <c r="L31" t="inlineStr">
        <is>
          <t>19 nan dài 40.70m @ 0.217kg/m</t>
        </is>
      </c>
    </row>
    <row r="32">
      <c r="A32" t="inlineStr">
        <is>
          <t>SW-DIFF-297-ACCESSORY</t>
        </is>
      </c>
      <c r="B32" t="inlineStr">
        <is>
          <t>SW-DIFF-297</t>
        </is>
      </c>
      <c r="C32" t="inlineStr">
        <is>
          <t>Phụ kiện lắp ghép / Ke góc cửa gió</t>
        </is>
      </c>
      <c r="D32" t="inlineStr">
        <is>
          <t>PHỤ_KIỆN_CỬA</t>
        </is>
      </c>
      <c r="E32" t="inlineStr">
        <is>
          <t>MAT-DOOR-ACCESSORY</t>
        </is>
      </c>
      <c r="F32" t="inlineStr">
        <is>
          <t>Bộ</t>
        </is>
      </c>
      <c r="G32" s="4" t="n">
        <v>1</v>
      </c>
      <c r="H32" s="2">
        <f>XLOOKUP(B32, '00_TONG_HOP_BAO_GIA'!B:B, '00_TONG_HOP_BAO_GIA'!G:G, 1)</f>
        <v/>
      </c>
      <c r="I32" s="5">
        <f>G32*H32</f>
        <v/>
      </c>
      <c r="J32" s="2">
        <f>XLOOKUP(E32, '06_BANG_GIA_VAT_TU_AP_DUNG'!B:B, '06_BANG_GIA_VAT_TU_AP_DUNG'!C:C, "LỖI_MÃ_VT")</f>
        <v/>
      </c>
      <c r="K32" s="2">
        <f>I32*J32</f>
        <v/>
      </c>
      <c r="L32" t="inlineStr">
        <is>
          <t>4 ke góc chìm và vít ghép khung</t>
        </is>
      </c>
    </row>
    <row r="33">
      <c r="A33" t="inlineStr">
        <is>
          <t>SW-DIFF-297-PAINT</t>
        </is>
      </c>
      <c r="B33" t="inlineStr">
        <is>
          <t>SW-DIFF-297</t>
        </is>
      </c>
      <c r="C33" t="inlineStr">
        <is>
          <t>Sơn tĩnh điện tiêu chuẩn Polyester</t>
        </is>
      </c>
      <c r="D33" t="inlineStr">
        <is>
          <t>SƠN_TĨNH_ĐIỆN</t>
        </is>
      </c>
      <c r="E33" t="inlineStr">
        <is>
          <t>MAT-PAINT-POWDER</t>
        </is>
      </c>
      <c r="F33" t="inlineStr">
        <is>
          <t>m2</t>
        </is>
      </c>
      <c r="G33" s="4" t="n">
        <v>2.30625</v>
      </c>
      <c r="H33" s="2">
        <f>XLOOKUP(B33, '00_TONG_HOP_BAO_GIA'!B:B, '00_TONG_HOP_BAO_GIA'!G:G, 1)</f>
        <v/>
      </c>
      <c r="I33" s="5">
        <f>G33*H33</f>
        <v/>
      </c>
      <c r="J33" s="2">
        <f>XLOOKUP(E33, '06_BANG_GIA_VAT_TU_AP_DUNG'!B:B, '06_BANG_GIA_VAT_TU_AP_DUNG'!C:C, "LỖI_MÃ_VT")</f>
        <v/>
      </c>
      <c r="K33" s="2">
        <f>I33*J33</f>
        <v/>
      </c>
      <c r="L33" t="inlineStr">
        <is>
          <t>Diện tích phủ sơn 2.306m2</t>
        </is>
      </c>
    </row>
    <row r="34">
      <c r="A34" t="inlineStr">
        <is>
          <t>SW-DIFF-383-FRAME</t>
        </is>
      </c>
      <c r="B34" t="inlineStr">
        <is>
          <t>SW-DIFF-383</t>
        </is>
      </c>
      <c r="C34" t="inlineStr">
        <is>
          <t>Khung nhôm định hình (Z)</t>
        </is>
      </c>
      <c r="D34" t="inlineStr">
        <is>
          <t>NHÔM_ĐỊNH_HÌNH</t>
        </is>
      </c>
      <c r="E34" t="inlineStr">
        <is>
          <t>MAT-ALU-KHUNG-Z-2-LOP</t>
        </is>
      </c>
      <c r="F34" t="inlineStr">
        <is>
          <t>kg</t>
        </is>
      </c>
      <c r="G34" s="4" t="n">
        <v>0.28602</v>
      </c>
      <c r="H34" s="2">
        <f>XLOOKUP(B34, '00_TONG_HOP_BAO_GIA'!B:B, '00_TONG_HOP_BAO_GIA'!G:G, 1)</f>
        <v/>
      </c>
      <c r="I34" s="5">
        <f>G34*H34</f>
        <v/>
      </c>
      <c r="J34" s="2">
        <f>XLOOKUP(E34, '06_BANG_GIA_VAT_TU_AP_DUNG'!B:B, '06_BANG_GIA_VAT_TU_AP_DUNG'!C:C, "LỖI_MÃ_VT")</f>
        <v/>
      </c>
      <c r="K34" s="2">
        <f>I34*J34</f>
        <v/>
      </c>
      <c r="L34" t="inlineStr">
        <is>
          <t>Dài cắt 1.26m @ 0.227kg/m</t>
        </is>
      </c>
    </row>
    <row r="35">
      <c r="A35" t="inlineStr">
        <is>
          <t>SW-DIFF-383-BLADE</t>
        </is>
      </c>
      <c r="B35" t="inlineStr">
        <is>
          <t>SW-DIFF-383</t>
        </is>
      </c>
      <c r="C35" t="inlineStr">
        <is>
          <t>Nan nhôm định hình (Z)</t>
        </is>
      </c>
      <c r="D35" t="inlineStr">
        <is>
          <t>NHÔM_ĐỊNH_HÌNH</t>
        </is>
      </c>
      <c r="E35" t="inlineStr">
        <is>
          <t>MAT-ALU-NAN-Z-DAY</t>
        </is>
      </c>
      <c r="F35" t="inlineStr">
        <is>
          <t>kg</t>
        </is>
      </c>
      <c r="G35" s="4" t="n">
        <v>0.528612</v>
      </c>
      <c r="H35" s="2">
        <f>XLOOKUP(B35, '00_TONG_HOP_BAO_GIA'!B:B, '00_TONG_HOP_BAO_GIA'!G:G, 1)</f>
        <v/>
      </c>
      <c r="I35" s="5">
        <f>G35*H35</f>
        <v/>
      </c>
      <c r="J35" s="2">
        <f>XLOOKUP(E35, '06_BANG_GIA_VAT_TU_AP_DUNG'!B:B, '06_BANG_GIA_VAT_TU_AP_DUNG'!C:C, "LỖI_MÃ_VT")</f>
        <v/>
      </c>
      <c r="K35" s="2">
        <f>I35*J35</f>
        <v/>
      </c>
      <c r="L35" t="inlineStr">
        <is>
          <t>8 nan dài 2.44m @ 0.217kg/m</t>
        </is>
      </c>
    </row>
    <row r="36">
      <c r="A36" t="inlineStr">
        <is>
          <t>SW-DIFF-383-ACCESSORY</t>
        </is>
      </c>
      <c r="B36" t="inlineStr">
        <is>
          <t>SW-DIFF-383</t>
        </is>
      </c>
      <c r="C36" t="inlineStr">
        <is>
          <t>Phụ kiện lắp ghép / Ke góc cửa gió</t>
        </is>
      </c>
      <c r="D36" t="inlineStr">
        <is>
          <t>PHỤ_KIỆN_CỬA</t>
        </is>
      </c>
      <c r="E36" t="inlineStr">
        <is>
          <t>MAT-DOOR-ACCESSORY</t>
        </is>
      </c>
      <c r="F36" t="inlineStr">
        <is>
          <t>Bộ</t>
        </is>
      </c>
      <c r="G36" s="4" t="n">
        <v>1</v>
      </c>
      <c r="H36" s="2">
        <f>XLOOKUP(B36, '00_TONG_HOP_BAO_GIA'!B:B, '00_TONG_HOP_BAO_GIA'!G:G, 1)</f>
        <v/>
      </c>
      <c r="I36" s="5">
        <f>G36*H36</f>
        <v/>
      </c>
      <c r="J36" s="2">
        <f>XLOOKUP(E36, '06_BANG_GIA_VAT_TU_AP_DUNG'!B:B, '06_BANG_GIA_VAT_TU_AP_DUNG'!C:C, "LỖI_MÃ_VT")</f>
        <v/>
      </c>
      <c r="K36" s="2">
        <f>I36*J36</f>
        <v/>
      </c>
      <c r="L36" t="inlineStr">
        <is>
          <t>4 ke góc chìm và vít ghép khung</t>
        </is>
      </c>
    </row>
    <row r="37">
      <c r="A37" t="inlineStr">
        <is>
          <t>SW-DIFF-383-PAINT</t>
        </is>
      </c>
      <c r="B37" t="inlineStr">
        <is>
          <t>SW-DIFF-383</t>
        </is>
      </c>
      <c r="C37" t="inlineStr">
        <is>
          <t>Sơn tĩnh điện tiêu chuẩn Polyester</t>
        </is>
      </c>
      <c r="D37" t="inlineStr">
        <is>
          <t>SƠN_TĨNH_ĐIỆN</t>
        </is>
      </c>
      <c r="E37" t="inlineStr">
        <is>
          <t>MAT-PAINT-POWDER</t>
        </is>
      </c>
      <c r="F37" t="inlineStr">
        <is>
          <t>m2</t>
        </is>
      </c>
      <c r="G37" s="4" t="n">
        <v>0.135</v>
      </c>
      <c r="H37" s="2">
        <f>XLOOKUP(B37, '00_TONG_HOP_BAO_GIA'!B:B, '00_TONG_HOP_BAO_GIA'!G:G, 1)</f>
        <v/>
      </c>
      <c r="I37" s="5">
        <f>G37*H37</f>
        <v/>
      </c>
      <c r="J37" s="2">
        <f>XLOOKUP(E37, '06_BANG_GIA_VAT_TU_AP_DUNG'!B:B, '06_BANG_GIA_VAT_TU_AP_DUNG'!C:C, "LỖI_MÃ_VT")</f>
        <v/>
      </c>
      <c r="K37" s="2">
        <f>I37*J37</f>
        <v/>
      </c>
      <c r="L37" t="inlineStr">
        <is>
          <t>Diện tích phủ sơn 0.135m2</t>
        </is>
      </c>
    </row>
    <row r="38">
      <c r="A38" t="inlineStr">
        <is>
          <t>SW-DIFF-458-FRAME</t>
        </is>
      </c>
      <c r="B38" t="inlineStr">
        <is>
          <t>SW-DIFF-458</t>
        </is>
      </c>
      <c r="C38" t="inlineStr">
        <is>
          <t>Khung nhôm định hình (BD)</t>
        </is>
      </c>
      <c r="D38" t="inlineStr">
        <is>
          <t>NHÔM_ĐỊNH_HÌNH</t>
        </is>
      </c>
      <c r="E38" t="inlineStr">
        <is>
          <t>MAT-ALU-KHUNG-BD</t>
        </is>
      </c>
      <c r="F38" t="inlineStr">
        <is>
          <t>kg</t>
        </is>
      </c>
      <c r="G38" s="4" t="n">
        <v>0.126</v>
      </c>
      <c r="H38" s="2">
        <f>XLOOKUP(B38, '00_TONG_HOP_BAO_GIA'!B:B, '00_TONG_HOP_BAO_GIA'!G:G, 1)</f>
        <v/>
      </c>
      <c r="I38" s="5">
        <f>G38*H38</f>
        <v/>
      </c>
      <c r="J38" s="2">
        <f>XLOOKUP(E38, '06_BANG_GIA_VAT_TU_AP_DUNG'!B:B, '06_BANG_GIA_VAT_TU_AP_DUNG'!C:C, "LỖI_MÃ_VT")</f>
        <v/>
      </c>
      <c r="K38" s="2">
        <f>I38*J38</f>
        <v/>
      </c>
      <c r="L38" t="inlineStr">
        <is>
          <t>Dài cắt 0.63m @ 0.2kg/m</t>
        </is>
      </c>
    </row>
    <row r="39">
      <c r="A39" t="inlineStr">
        <is>
          <t>SW-DIFF-458-BLADE</t>
        </is>
      </c>
      <c r="B39" t="inlineStr">
        <is>
          <t>SW-DIFF-458</t>
        </is>
      </c>
      <c r="C39" t="inlineStr">
        <is>
          <t>Nan nhôm định hình (BD)</t>
        </is>
      </c>
      <c r="D39" t="inlineStr">
        <is>
          <t>NHÔM_ĐỊNH_HÌNH</t>
        </is>
      </c>
      <c r="E39" t="inlineStr">
        <is>
          <t>MAT-ALU-NAN-BD</t>
        </is>
      </c>
      <c r="F39" t="inlineStr">
        <is>
          <t>kg</t>
        </is>
      </c>
      <c r="G39" s="4" t="n">
        <v>0.04628400000000001</v>
      </c>
      <c r="H39" s="2">
        <f>XLOOKUP(B39, '00_TONG_HOP_BAO_GIA'!B:B, '00_TONG_HOP_BAO_GIA'!G:G, 1)</f>
        <v/>
      </c>
      <c r="I39" s="5">
        <f>G39*H39</f>
        <v/>
      </c>
      <c r="J39" s="2">
        <f>XLOOKUP(E39, '06_BANG_GIA_VAT_TU_AP_DUNG'!B:B, '06_BANG_GIA_VAT_TU_AP_DUNG'!C:C, "LỖI_MÃ_VT")</f>
        <v/>
      </c>
      <c r="K39" s="2">
        <f>I39*J39</f>
        <v/>
      </c>
      <c r="L39" t="inlineStr">
        <is>
          <t>4 nan dài 0.80m @ 0.058kg/m</t>
        </is>
      </c>
    </row>
    <row r="40">
      <c r="A40" t="inlineStr">
        <is>
          <t>SW-DIFF-458-ACCESSORY</t>
        </is>
      </c>
      <c r="B40" t="inlineStr">
        <is>
          <t>SW-DIFF-458</t>
        </is>
      </c>
      <c r="C40" t="inlineStr">
        <is>
          <t>Phụ kiện lắp ghép / Ke góc cửa gió</t>
        </is>
      </c>
      <c r="D40" t="inlineStr">
        <is>
          <t>PHỤ_KIỆN_CỬA</t>
        </is>
      </c>
      <c r="E40" t="inlineStr">
        <is>
          <t>MAT-DOOR-ACCESSORY</t>
        </is>
      </c>
      <c r="F40" t="inlineStr">
        <is>
          <t>Bộ</t>
        </is>
      </c>
      <c r="G40" s="4" t="n">
        <v>1</v>
      </c>
      <c r="H40" s="2">
        <f>XLOOKUP(B40, '00_TONG_HOP_BAO_GIA'!B:B, '00_TONG_HOP_BAO_GIA'!G:G, 1)</f>
        <v/>
      </c>
      <c r="I40" s="5">
        <f>G40*H40</f>
        <v/>
      </c>
      <c r="J40" s="2">
        <f>XLOOKUP(E40, '06_BANG_GIA_VAT_TU_AP_DUNG'!B:B, '06_BANG_GIA_VAT_TU_AP_DUNG'!C:C, "LỖI_MÃ_VT")</f>
        <v/>
      </c>
      <c r="K40" s="2">
        <f>I40*J40</f>
        <v/>
      </c>
      <c r="L40" t="inlineStr">
        <is>
          <t>4 ke góc chìm và vít ghép khung</t>
        </is>
      </c>
    </row>
    <row r="41">
      <c r="A41" t="inlineStr">
        <is>
          <t>SW-DIFF-458-PAINT</t>
        </is>
      </c>
      <c r="B41" t="inlineStr">
        <is>
          <t>SW-DIFF-458</t>
        </is>
      </c>
      <c r="C41" t="inlineStr">
        <is>
          <t>Sơn tĩnh điện tiêu chuẩn Polyester</t>
        </is>
      </c>
      <c r="D41" t="inlineStr">
        <is>
          <t>SƠN_TĨNH_ĐIỆN</t>
        </is>
      </c>
      <c r="E41" t="inlineStr">
        <is>
          <t>MAT-PAINT-POWDER</t>
        </is>
      </c>
      <c r="F41" t="inlineStr">
        <is>
          <t>m2</t>
        </is>
      </c>
      <c r="G41" s="4" t="n">
        <v>0.03</v>
      </c>
      <c r="H41" s="2">
        <f>XLOOKUP(B41, '00_TONG_HOP_BAO_GIA'!B:B, '00_TONG_HOP_BAO_GIA'!G:G, 1)</f>
        <v/>
      </c>
      <c r="I41" s="5">
        <f>G41*H41</f>
        <v/>
      </c>
      <c r="J41" s="2">
        <f>XLOOKUP(E41, '06_BANG_GIA_VAT_TU_AP_DUNG'!B:B, '06_BANG_GIA_VAT_TU_AP_DUNG'!C:C, "LỖI_MÃ_VT")</f>
        <v/>
      </c>
      <c r="K41" s="2">
        <f>I41*J41</f>
        <v/>
      </c>
      <c r="L41" t="inlineStr">
        <is>
          <t>Diện tích phủ sơn 0.030m2</t>
        </is>
      </c>
    </row>
    <row r="42">
      <c r="A42" t="inlineStr">
        <is>
          <t>SW-DIFF-459-FRAME</t>
        </is>
      </c>
      <c r="B42" t="inlineStr">
        <is>
          <t>SW-DIFF-459</t>
        </is>
      </c>
      <c r="C42" t="inlineStr">
        <is>
          <t>Khung nhôm định hình (BD)</t>
        </is>
      </c>
      <c r="D42" t="inlineStr">
        <is>
          <t>NHÔM_ĐỊNH_HÌNH</t>
        </is>
      </c>
      <c r="E42" t="inlineStr">
        <is>
          <t>MAT-ALU-KHUNG-BD</t>
        </is>
      </c>
      <c r="F42" t="inlineStr">
        <is>
          <t>kg</t>
        </is>
      </c>
      <c r="G42" s="4" t="n">
        <v>0.147</v>
      </c>
      <c r="H42" s="2">
        <f>XLOOKUP(B42, '00_TONG_HOP_BAO_GIA'!B:B, '00_TONG_HOP_BAO_GIA'!G:G, 1)</f>
        <v/>
      </c>
      <c r="I42" s="5">
        <f>G42*H42</f>
        <v/>
      </c>
      <c r="J42" s="2">
        <f>XLOOKUP(E42, '06_BANG_GIA_VAT_TU_AP_DUNG'!B:B, '06_BANG_GIA_VAT_TU_AP_DUNG'!C:C, "LỖI_MÃ_VT")</f>
        <v/>
      </c>
      <c r="K42" s="2">
        <f>I42*J42</f>
        <v/>
      </c>
      <c r="L42" t="inlineStr">
        <is>
          <t>Dài cắt 0.73m @ 0.2kg/m</t>
        </is>
      </c>
    </row>
    <row r="43">
      <c r="A43" t="inlineStr">
        <is>
          <t>SW-DIFF-459-BLADE</t>
        </is>
      </c>
      <c r="B43" t="inlineStr">
        <is>
          <t>SW-DIFF-459</t>
        </is>
      </c>
      <c r="C43" t="inlineStr">
        <is>
          <t>Nan nhôm định hình (BD)</t>
        </is>
      </c>
      <c r="D43" t="inlineStr">
        <is>
          <t>NHÔM_ĐỊNH_HÌNH</t>
        </is>
      </c>
      <c r="E43" t="inlineStr">
        <is>
          <t>MAT-ALU-NAN-BD</t>
        </is>
      </c>
      <c r="F43" t="inlineStr">
        <is>
          <t>kg</t>
        </is>
      </c>
      <c r="G43" s="4" t="n">
        <v>0.06942600000000002</v>
      </c>
      <c r="H43" s="2">
        <f>XLOOKUP(B43, '00_TONG_HOP_BAO_GIA'!B:B, '00_TONG_HOP_BAO_GIA'!G:G, 1)</f>
        <v/>
      </c>
      <c r="I43" s="5">
        <f>G43*H43</f>
        <v/>
      </c>
      <c r="J43" s="2">
        <f>XLOOKUP(E43, '06_BANG_GIA_VAT_TU_AP_DUNG'!B:B, '06_BANG_GIA_VAT_TU_AP_DUNG'!C:C, "LỖI_MÃ_VT")</f>
        <v/>
      </c>
      <c r="K43" s="2">
        <f>I43*J43</f>
        <v/>
      </c>
      <c r="L43" t="inlineStr">
        <is>
          <t>6 nan dài 1.20m @ 0.058kg/m</t>
        </is>
      </c>
    </row>
    <row r="44">
      <c r="A44" t="inlineStr">
        <is>
          <t>SW-DIFF-459-ACCESSORY</t>
        </is>
      </c>
      <c r="B44" t="inlineStr">
        <is>
          <t>SW-DIFF-459</t>
        </is>
      </c>
      <c r="C44" t="inlineStr">
        <is>
          <t>Phụ kiện lắp ghép / Ke góc cửa gió</t>
        </is>
      </c>
      <c r="D44" t="inlineStr">
        <is>
          <t>PHỤ_KIỆN_CỬA</t>
        </is>
      </c>
      <c r="E44" t="inlineStr">
        <is>
          <t>MAT-DOOR-ACCESSORY</t>
        </is>
      </c>
      <c r="F44" t="inlineStr">
        <is>
          <t>Bộ</t>
        </is>
      </c>
      <c r="G44" s="4" t="n">
        <v>1</v>
      </c>
      <c r="H44" s="2">
        <f>XLOOKUP(B44, '00_TONG_HOP_BAO_GIA'!B:B, '00_TONG_HOP_BAO_GIA'!G:G, 1)</f>
        <v/>
      </c>
      <c r="I44" s="5">
        <f>G44*H44</f>
        <v/>
      </c>
      <c r="J44" s="2">
        <f>XLOOKUP(E44, '06_BANG_GIA_VAT_TU_AP_DUNG'!B:B, '06_BANG_GIA_VAT_TU_AP_DUNG'!C:C, "LỖI_MÃ_VT")</f>
        <v/>
      </c>
      <c r="K44" s="2">
        <f>I44*J44</f>
        <v/>
      </c>
      <c r="L44" t="inlineStr">
        <is>
          <t>4 ke góc chìm và vít ghép khung</t>
        </is>
      </c>
    </row>
    <row r="45">
      <c r="A45" t="inlineStr">
        <is>
          <t>SW-DIFF-459-PAINT</t>
        </is>
      </c>
      <c r="B45" t="inlineStr">
        <is>
          <t>SW-DIFF-459</t>
        </is>
      </c>
      <c r="C45" t="inlineStr">
        <is>
          <t>Sơn tĩnh điện tiêu chuẩn Polyester</t>
        </is>
      </c>
      <c r="D45" t="inlineStr">
        <is>
          <t>SƠN_TĨNH_ĐIỆN</t>
        </is>
      </c>
      <c r="E45" t="inlineStr">
        <is>
          <t>MAT-PAINT-POWDER</t>
        </is>
      </c>
      <c r="F45" t="inlineStr">
        <is>
          <t>m2</t>
        </is>
      </c>
      <c r="G45" s="4" t="n">
        <v>0.045</v>
      </c>
      <c r="H45" s="2">
        <f>XLOOKUP(B45, '00_TONG_HOP_BAO_GIA'!B:B, '00_TONG_HOP_BAO_GIA'!G:G, 1)</f>
        <v/>
      </c>
      <c r="I45" s="5">
        <f>G45*H45</f>
        <v/>
      </c>
      <c r="J45" s="2">
        <f>XLOOKUP(E45, '06_BANG_GIA_VAT_TU_AP_DUNG'!B:B, '06_BANG_GIA_VAT_TU_AP_DUNG'!C:C, "LỖI_MÃ_VT")</f>
        <v/>
      </c>
      <c r="K45" s="2">
        <f>I45*J45</f>
        <v/>
      </c>
      <c r="L45" t="inlineStr">
        <is>
          <t>Diện tích phủ sơn 0.045m2</t>
        </is>
      </c>
    </row>
    <row r="46">
      <c r="A46" t="inlineStr">
        <is>
          <t>SW-DIFF-460-FRAME</t>
        </is>
      </c>
      <c r="B46" t="inlineStr">
        <is>
          <t>SW-DIFF-460</t>
        </is>
      </c>
      <c r="C46" t="inlineStr">
        <is>
          <t>Khung nhôm định hình (BD)</t>
        </is>
      </c>
      <c r="D46" t="inlineStr">
        <is>
          <t>NHÔM_ĐỊNH_HÌNH</t>
        </is>
      </c>
      <c r="E46" t="inlineStr">
        <is>
          <t>MAT-ALU-KHUNG-BD</t>
        </is>
      </c>
      <c r="F46" t="inlineStr">
        <is>
          <t>kg</t>
        </is>
      </c>
      <c r="G46" s="4" t="n">
        <v>0.168</v>
      </c>
      <c r="H46" s="2">
        <f>XLOOKUP(B46, '00_TONG_HOP_BAO_GIA'!B:B, '00_TONG_HOP_BAO_GIA'!G:G, 1)</f>
        <v/>
      </c>
      <c r="I46" s="5">
        <f>G46*H46</f>
        <v/>
      </c>
      <c r="J46" s="2">
        <f>XLOOKUP(E46, '06_BANG_GIA_VAT_TU_AP_DUNG'!B:B, '06_BANG_GIA_VAT_TU_AP_DUNG'!C:C, "LỖI_MÃ_VT")</f>
        <v/>
      </c>
      <c r="K46" s="2">
        <f>I46*J46</f>
        <v/>
      </c>
      <c r="L46" t="inlineStr">
        <is>
          <t>Dài cắt 0.84m @ 0.2kg/m</t>
        </is>
      </c>
    </row>
    <row r="47">
      <c r="A47" t="inlineStr">
        <is>
          <t>SW-DIFF-460-BLADE</t>
        </is>
      </c>
      <c r="B47" t="inlineStr">
        <is>
          <t>SW-DIFF-460</t>
        </is>
      </c>
      <c r="C47" t="inlineStr">
        <is>
          <t>Nan nhôm định hình (BD)</t>
        </is>
      </c>
      <c r="D47" t="inlineStr">
        <is>
          <t>NHÔM_ĐỊNH_HÌNH</t>
        </is>
      </c>
      <c r="E47" t="inlineStr">
        <is>
          <t>MAT-ALU-NAN-BD</t>
        </is>
      </c>
      <c r="F47" t="inlineStr">
        <is>
          <t>kg</t>
        </is>
      </c>
      <c r="G47" s="4" t="n">
        <v>0.070644</v>
      </c>
      <c r="H47" s="2">
        <f>XLOOKUP(B47, '00_TONG_HOP_BAO_GIA'!B:B, '00_TONG_HOP_BAO_GIA'!G:G, 1)</f>
        <v/>
      </c>
      <c r="I47" s="5">
        <f>G47*H47</f>
        <v/>
      </c>
      <c r="J47" s="2">
        <f>XLOOKUP(E47, '06_BANG_GIA_VAT_TU_AP_DUNG'!B:B, '06_BANG_GIA_VAT_TU_AP_DUNG'!C:C, "LỖI_MÃ_VT")</f>
        <v/>
      </c>
      <c r="K47" s="2">
        <f>I47*J47</f>
        <v/>
      </c>
      <c r="L47" t="inlineStr">
        <is>
          <t>4 nan dài 1.22m @ 0.058kg/m</t>
        </is>
      </c>
    </row>
    <row r="48">
      <c r="A48" t="inlineStr">
        <is>
          <t>SW-DIFF-460-ACCESSORY</t>
        </is>
      </c>
      <c r="B48" t="inlineStr">
        <is>
          <t>SW-DIFF-460</t>
        </is>
      </c>
      <c r="C48" t="inlineStr">
        <is>
          <t>Phụ kiện lắp ghép / Ke góc cửa gió</t>
        </is>
      </c>
      <c r="D48" t="inlineStr">
        <is>
          <t>PHỤ_KIỆN_CỬA</t>
        </is>
      </c>
      <c r="E48" t="inlineStr">
        <is>
          <t>MAT-DOOR-ACCESSORY</t>
        </is>
      </c>
      <c r="F48" t="inlineStr">
        <is>
          <t>Bộ</t>
        </is>
      </c>
      <c r="G48" s="4" t="n">
        <v>1</v>
      </c>
      <c r="H48" s="2">
        <f>XLOOKUP(B48, '00_TONG_HOP_BAO_GIA'!B:B, '00_TONG_HOP_BAO_GIA'!G:G, 1)</f>
        <v/>
      </c>
      <c r="I48" s="5">
        <f>G48*H48</f>
        <v/>
      </c>
      <c r="J48" s="2">
        <f>XLOOKUP(E48, '06_BANG_GIA_VAT_TU_AP_DUNG'!B:B, '06_BANG_GIA_VAT_TU_AP_DUNG'!C:C, "LỖI_MÃ_VT")</f>
        <v/>
      </c>
      <c r="K48" s="2">
        <f>I48*J48</f>
        <v/>
      </c>
      <c r="L48" t="inlineStr">
        <is>
          <t>4 ke góc chìm và vít ghép khung</t>
        </is>
      </c>
    </row>
    <row r="49">
      <c r="A49" t="inlineStr">
        <is>
          <t>SW-DIFF-460-PAINT</t>
        </is>
      </c>
      <c r="B49" t="inlineStr">
        <is>
          <t>SW-DIFF-460</t>
        </is>
      </c>
      <c r="C49" t="inlineStr">
        <is>
          <t>Sơn tĩnh điện tiêu chuẩn Polyester</t>
        </is>
      </c>
      <c r="D49" t="inlineStr">
        <is>
          <t>SƠN_TĨNH_ĐIỆN</t>
        </is>
      </c>
      <c r="E49" t="inlineStr">
        <is>
          <t>MAT-PAINT-POWDER</t>
        </is>
      </c>
      <c r="F49" t="inlineStr">
        <is>
          <t>m2</t>
        </is>
      </c>
      <c r="G49" s="4" t="n">
        <v>0.045</v>
      </c>
      <c r="H49" s="2">
        <f>XLOOKUP(B49, '00_TONG_HOP_BAO_GIA'!B:B, '00_TONG_HOP_BAO_GIA'!G:G, 1)</f>
        <v/>
      </c>
      <c r="I49" s="5">
        <f>G49*H49</f>
        <v/>
      </c>
      <c r="J49" s="2">
        <f>XLOOKUP(E49, '06_BANG_GIA_VAT_TU_AP_DUNG'!B:B, '06_BANG_GIA_VAT_TU_AP_DUNG'!C:C, "LỖI_MÃ_VT")</f>
        <v/>
      </c>
      <c r="K49" s="2">
        <f>I49*J49</f>
        <v/>
      </c>
      <c r="L49" t="inlineStr">
        <is>
          <t>Diện tích phủ sơn 0.045m2</t>
        </is>
      </c>
    </row>
    <row r="50">
      <c r="A50" t="inlineStr">
        <is>
          <t>SW-DIFF-563-FRAME</t>
        </is>
      </c>
      <c r="B50" t="inlineStr">
        <is>
          <t>SW-DIFF-563</t>
        </is>
      </c>
      <c r="C50" t="inlineStr">
        <is>
          <t>Khung nhôm định hình (Z)</t>
        </is>
      </c>
      <c r="D50" t="inlineStr">
        <is>
          <t>NHÔM_ĐỊNH_HÌNH</t>
        </is>
      </c>
      <c r="E50" t="inlineStr">
        <is>
          <t>MAT-ALU-KHUNG-Z-2-LOP</t>
        </is>
      </c>
      <c r="F50" t="inlineStr">
        <is>
          <t>kg</t>
        </is>
      </c>
      <c r="G50" s="4" t="n">
        <v>0.8342250000000001</v>
      </c>
      <c r="H50" s="2">
        <f>XLOOKUP(B50, '00_TONG_HOP_BAO_GIA'!B:B, '00_TONG_HOP_BAO_GIA'!G:G, 1)</f>
        <v/>
      </c>
      <c r="I50" s="5">
        <f>G50*H50</f>
        <v/>
      </c>
      <c r="J50" s="2">
        <f>XLOOKUP(E50, '06_BANG_GIA_VAT_TU_AP_DUNG'!B:B, '06_BANG_GIA_VAT_TU_AP_DUNG'!C:C, "LỖI_MÃ_VT")</f>
        <v/>
      </c>
      <c r="K50" s="2">
        <f>I50*J50</f>
        <v/>
      </c>
      <c r="L50" t="inlineStr">
        <is>
          <t>Dài cắt 3.68m @ 0.227kg/m</t>
        </is>
      </c>
    </row>
    <row r="51">
      <c r="A51" t="inlineStr">
        <is>
          <t>SW-DIFF-563-BLADE</t>
        </is>
      </c>
      <c r="B51" t="inlineStr">
        <is>
          <t>SW-DIFF-563</t>
        </is>
      </c>
      <c r="C51" t="inlineStr">
        <is>
          <t>Nan nhôm định hình (Z)</t>
        </is>
      </c>
      <c r="D51" t="inlineStr">
        <is>
          <t>NHÔM_ĐỊNH_HÌNH</t>
        </is>
      </c>
      <c r="E51" t="inlineStr">
        <is>
          <t>MAT-ALU-NAN-Z-DAY</t>
        </is>
      </c>
      <c r="F51" t="inlineStr">
        <is>
          <t>kg</t>
        </is>
      </c>
      <c r="G51" s="4" t="n">
        <v>2.8504035</v>
      </c>
      <c r="H51" s="2">
        <f>XLOOKUP(B51, '00_TONG_HOP_BAO_GIA'!B:B, '00_TONG_HOP_BAO_GIA'!G:G, 1)</f>
        <v/>
      </c>
      <c r="I51" s="5">
        <f>G51*H51</f>
        <v/>
      </c>
      <c r="J51" s="2">
        <f>XLOOKUP(E51, '06_BANG_GIA_VAT_TU_AP_DUNG'!B:B, '06_BANG_GIA_VAT_TU_AP_DUNG'!C:C, "LỖI_MÃ_VT")</f>
        <v/>
      </c>
      <c r="K51" s="2">
        <f>I51*J51</f>
        <v/>
      </c>
      <c r="L51" t="inlineStr">
        <is>
          <t>9 nan dài 13.14m @ 0.217kg/m</t>
        </is>
      </c>
    </row>
    <row r="52">
      <c r="A52" t="inlineStr">
        <is>
          <t>SW-DIFF-563-ACCESSORY</t>
        </is>
      </c>
      <c r="B52" t="inlineStr">
        <is>
          <t>SW-DIFF-563</t>
        </is>
      </c>
      <c r="C52" t="inlineStr">
        <is>
          <t>Phụ kiện lắp ghép / Ke góc cửa gió</t>
        </is>
      </c>
      <c r="D52" t="inlineStr">
        <is>
          <t>PHỤ_KIỆN_CỬA</t>
        </is>
      </c>
      <c r="E52" t="inlineStr">
        <is>
          <t>MAT-DOOR-ACCESSORY</t>
        </is>
      </c>
      <c r="F52" t="inlineStr">
        <is>
          <t>Bộ</t>
        </is>
      </c>
      <c r="G52" s="4" t="n">
        <v>1</v>
      </c>
      <c r="H52" s="2">
        <f>XLOOKUP(B52, '00_TONG_HOP_BAO_GIA'!B:B, '00_TONG_HOP_BAO_GIA'!G:G, 1)</f>
        <v/>
      </c>
      <c r="I52" s="5">
        <f>G52*H52</f>
        <v/>
      </c>
      <c r="J52" s="2">
        <f>XLOOKUP(E52, '06_BANG_GIA_VAT_TU_AP_DUNG'!B:B, '06_BANG_GIA_VAT_TU_AP_DUNG'!C:C, "LỖI_MÃ_VT")</f>
        <v/>
      </c>
      <c r="K52" s="2">
        <f>I52*J52</f>
        <v/>
      </c>
      <c r="L52" t="inlineStr">
        <is>
          <t>4 ke góc chìm và vít ghép khung</t>
        </is>
      </c>
    </row>
    <row r="53">
      <c r="A53" t="inlineStr">
        <is>
          <t>SW-DIFF-563-PAINT</t>
        </is>
      </c>
      <c r="B53" t="inlineStr">
        <is>
          <t>SW-DIFF-563</t>
        </is>
      </c>
      <c r="C53" t="inlineStr">
        <is>
          <t>Sơn tĩnh điện tiêu chuẩn Polyester</t>
        </is>
      </c>
      <c r="D53" t="inlineStr">
        <is>
          <t>SƠN_TĨNH_ĐIỆN</t>
        </is>
      </c>
      <c r="E53" t="inlineStr">
        <is>
          <t>MAT-PAINT-POWDER</t>
        </is>
      </c>
      <c r="F53" t="inlineStr">
        <is>
          <t>m2</t>
        </is>
      </c>
      <c r="G53" s="4" t="n">
        <v>0.735</v>
      </c>
      <c r="H53" s="2">
        <f>XLOOKUP(B53, '00_TONG_HOP_BAO_GIA'!B:B, '00_TONG_HOP_BAO_GIA'!G:G, 1)</f>
        <v/>
      </c>
      <c r="I53" s="5">
        <f>G53*H53</f>
        <v/>
      </c>
      <c r="J53" s="2">
        <f>XLOOKUP(E53, '06_BANG_GIA_VAT_TU_AP_DUNG'!B:B, '06_BANG_GIA_VAT_TU_AP_DUNG'!C:C, "LỖI_MÃ_VT")</f>
        <v/>
      </c>
      <c r="K53" s="2">
        <f>I53*J53</f>
        <v/>
      </c>
      <c r="L53" t="inlineStr">
        <is>
          <t>Diện tích phủ sơn 0.735m2</t>
        </is>
      </c>
    </row>
    <row r="54">
      <c r="A54" t="inlineStr">
        <is>
          <t>SW-DIFF-564-FRAME</t>
        </is>
      </c>
      <c r="B54" t="inlineStr">
        <is>
          <t>SW-DIFF-564</t>
        </is>
      </c>
      <c r="C54" t="inlineStr">
        <is>
          <t>Khung nhôm định hình (Z)</t>
        </is>
      </c>
      <c r="D54" t="inlineStr">
        <is>
          <t>NHÔM_ĐỊNH_HÌNH</t>
        </is>
      </c>
      <c r="E54" t="inlineStr">
        <is>
          <t>MAT-ALU-KHUNG-Z-2-LOP</t>
        </is>
      </c>
      <c r="F54" t="inlineStr">
        <is>
          <t>kg</t>
        </is>
      </c>
      <c r="G54" s="4" t="n">
        <v>1.04874</v>
      </c>
      <c r="H54" s="2">
        <f>XLOOKUP(B54, '00_TONG_HOP_BAO_GIA'!B:B, '00_TONG_HOP_BAO_GIA'!G:G, 1)</f>
        <v/>
      </c>
      <c r="I54" s="5">
        <f>G54*H54</f>
        <v/>
      </c>
      <c r="J54" s="2">
        <f>XLOOKUP(E54, '06_BANG_GIA_VAT_TU_AP_DUNG'!B:B, '06_BANG_GIA_VAT_TU_AP_DUNG'!C:C, "LỖI_MÃ_VT")</f>
        <v/>
      </c>
      <c r="K54" s="2">
        <f>I54*J54</f>
        <v/>
      </c>
      <c r="L54" t="inlineStr">
        <is>
          <t>Dài cắt 4.62m @ 0.227kg/m</t>
        </is>
      </c>
    </row>
    <row r="55">
      <c r="A55" t="inlineStr">
        <is>
          <t>SW-DIFF-564-BLADE</t>
        </is>
      </c>
      <c r="B55" t="inlineStr">
        <is>
          <t>SW-DIFF-564</t>
        </is>
      </c>
      <c r="C55" t="inlineStr">
        <is>
          <t>Nan nhôm định hình (Z)</t>
        </is>
      </c>
      <c r="D55" t="inlineStr">
        <is>
          <t>NHÔM_ĐỊNH_HÌNH</t>
        </is>
      </c>
      <c r="E55" t="inlineStr">
        <is>
          <t>MAT-ALU-NAN-Z-DAY</t>
        </is>
      </c>
      <c r="F55" t="inlineStr">
        <is>
          <t>kg</t>
        </is>
      </c>
      <c r="G55" s="4" t="n">
        <v>5.434222500000001</v>
      </c>
      <c r="H55" s="2">
        <f>XLOOKUP(B55, '00_TONG_HOP_BAO_GIA'!B:B, '00_TONG_HOP_BAO_GIA'!G:G, 1)</f>
        <v/>
      </c>
      <c r="I55" s="5">
        <f>G55*H55</f>
        <v/>
      </c>
      <c r="J55" s="2">
        <f>XLOOKUP(E55, '06_BANG_GIA_VAT_TU_AP_DUNG'!B:B, '06_BANG_GIA_VAT_TU_AP_DUNG'!C:C, "LỖI_MÃ_VT")</f>
        <v/>
      </c>
      <c r="K55" s="2">
        <f>I55*J55</f>
        <v/>
      </c>
      <c r="L55" t="inlineStr">
        <is>
          <t>15 nan dài 25.04m @ 0.217kg/m</t>
        </is>
      </c>
    </row>
    <row r="56">
      <c r="A56" t="inlineStr">
        <is>
          <t>SW-DIFF-564-ACCESSORY</t>
        </is>
      </c>
      <c r="B56" t="inlineStr">
        <is>
          <t>SW-DIFF-564</t>
        </is>
      </c>
      <c r="C56" t="inlineStr">
        <is>
          <t>Phụ kiện lắp ghép / Ke góc cửa gió</t>
        </is>
      </c>
      <c r="D56" t="inlineStr">
        <is>
          <t>PHỤ_KIỆN_CỬA</t>
        </is>
      </c>
      <c r="E56" t="inlineStr">
        <is>
          <t>MAT-DOOR-ACCESSORY</t>
        </is>
      </c>
      <c r="F56" t="inlineStr">
        <is>
          <t>Bộ</t>
        </is>
      </c>
      <c r="G56" s="4" t="n">
        <v>1</v>
      </c>
      <c r="H56" s="2">
        <f>XLOOKUP(B56, '00_TONG_HOP_BAO_GIA'!B:B, '00_TONG_HOP_BAO_GIA'!G:G, 1)</f>
        <v/>
      </c>
      <c r="I56" s="5">
        <f>G56*H56</f>
        <v/>
      </c>
      <c r="J56" s="2">
        <f>XLOOKUP(E56, '06_BANG_GIA_VAT_TU_AP_DUNG'!B:B, '06_BANG_GIA_VAT_TU_AP_DUNG'!C:C, "LỖI_MÃ_VT")</f>
        <v/>
      </c>
      <c r="K56" s="2">
        <f>I56*J56</f>
        <v/>
      </c>
      <c r="L56" t="inlineStr">
        <is>
          <t>4 ke góc chìm và vít ghép khung</t>
        </is>
      </c>
    </row>
    <row r="57">
      <c r="A57" t="inlineStr">
        <is>
          <t>SW-DIFF-564-PAINT</t>
        </is>
      </c>
      <c r="B57" t="inlineStr">
        <is>
          <t>SW-DIFF-564</t>
        </is>
      </c>
      <c r="C57" t="inlineStr">
        <is>
          <t>Sơn tĩnh điện tiêu chuẩn Polyester</t>
        </is>
      </c>
      <c r="D57" t="inlineStr">
        <is>
          <t>SƠN_TĨNH_ĐIỆN</t>
        </is>
      </c>
      <c r="E57" t="inlineStr">
        <is>
          <t>MAT-PAINT-POWDER</t>
        </is>
      </c>
      <c r="F57" t="inlineStr">
        <is>
          <t>m2</t>
        </is>
      </c>
      <c r="G57" s="4" t="n">
        <v>1.44</v>
      </c>
      <c r="H57" s="2">
        <f>XLOOKUP(B57, '00_TONG_HOP_BAO_GIA'!B:B, '00_TONG_HOP_BAO_GIA'!G:G, 1)</f>
        <v/>
      </c>
      <c r="I57" s="5">
        <f>G57*H57</f>
        <v/>
      </c>
      <c r="J57" s="2">
        <f>XLOOKUP(E57, '06_BANG_GIA_VAT_TU_AP_DUNG'!B:B, '06_BANG_GIA_VAT_TU_AP_DUNG'!C:C, "LỖI_MÃ_VT")</f>
        <v/>
      </c>
      <c r="K57" s="2">
        <f>I57*J57</f>
        <v/>
      </c>
      <c r="L57" t="inlineStr">
        <is>
          <t>Diện tích phủ sơn 1.440m2</t>
        </is>
      </c>
    </row>
    <row r="58">
      <c r="A58" t="inlineStr">
        <is>
          <t>SW-DIFF-588-FRAME</t>
        </is>
      </c>
      <c r="B58" t="inlineStr">
        <is>
          <t>SW-DIFF-588</t>
        </is>
      </c>
      <c r="C58" t="inlineStr">
        <is>
          <t>Khung nhôm định hình (Z)</t>
        </is>
      </c>
      <c r="D58" t="inlineStr">
        <is>
          <t>NHÔM_ĐỊNH_HÌNH</t>
        </is>
      </c>
      <c r="E58" t="inlineStr">
        <is>
          <t>MAT-ALU-KHUNG-Z-2-LOP</t>
        </is>
      </c>
      <c r="F58" t="inlineStr">
        <is>
          <t>kg</t>
        </is>
      </c>
      <c r="G58" s="4" t="n">
        <v>0.7627200000000001</v>
      </c>
      <c r="H58" s="2">
        <f>XLOOKUP(B58, '00_TONG_HOP_BAO_GIA'!B:B, '00_TONG_HOP_BAO_GIA'!G:G, 1)</f>
        <v/>
      </c>
      <c r="I58" s="5">
        <f>G58*H58</f>
        <v/>
      </c>
      <c r="J58" s="2">
        <f>XLOOKUP(E58, '06_BANG_GIA_VAT_TU_AP_DUNG'!B:B, '06_BANG_GIA_VAT_TU_AP_DUNG'!C:C, "LỖI_MÃ_VT")</f>
        <v/>
      </c>
      <c r="K58" s="2">
        <f>I58*J58</f>
        <v/>
      </c>
      <c r="L58" t="inlineStr">
        <is>
          <t>Dài cắt 3.36m @ 0.227kg/m</t>
        </is>
      </c>
    </row>
    <row r="59">
      <c r="A59" t="inlineStr">
        <is>
          <t>SW-DIFF-588-BLADE</t>
        </is>
      </c>
      <c r="B59" t="inlineStr">
        <is>
          <t>SW-DIFF-588</t>
        </is>
      </c>
      <c r="C59" t="inlineStr">
        <is>
          <t>Nan nhôm định hình (Z)</t>
        </is>
      </c>
      <c r="D59" t="inlineStr">
        <is>
          <t>NHÔM_ĐỊNH_HÌNH</t>
        </is>
      </c>
      <c r="E59" t="inlineStr">
        <is>
          <t>MAT-ALU-NAN-Z-DAY</t>
        </is>
      </c>
      <c r="F59" t="inlineStr">
        <is>
          <t>kg</t>
        </is>
      </c>
      <c r="G59" s="4" t="n">
        <v>1.0184895</v>
      </c>
      <c r="H59" s="2">
        <f>XLOOKUP(B59, '00_TONG_HOP_BAO_GIA'!B:B, '00_TONG_HOP_BAO_GIA'!G:G, 1)</f>
        <v/>
      </c>
      <c r="I59" s="5">
        <f>G59*H59</f>
        <v/>
      </c>
      <c r="J59" s="2">
        <f>XLOOKUP(E59, '06_BANG_GIA_VAT_TU_AP_DUNG'!B:B, '06_BANG_GIA_VAT_TU_AP_DUNG'!C:C, "LỖI_MÃ_VT")</f>
        <v/>
      </c>
      <c r="K59" s="2">
        <f>I59*J59</f>
        <v/>
      </c>
      <c r="L59" t="inlineStr">
        <is>
          <t>3 nan dài 4.69m @ 0.217kg/m</t>
        </is>
      </c>
    </row>
    <row r="60">
      <c r="A60" t="inlineStr">
        <is>
          <t>SW-DIFF-588-ACCESSORY</t>
        </is>
      </c>
      <c r="B60" t="inlineStr">
        <is>
          <t>SW-DIFF-588</t>
        </is>
      </c>
      <c r="C60" t="inlineStr">
        <is>
          <t>Phụ kiện lắp ghép / Ke góc cửa gió</t>
        </is>
      </c>
      <c r="D60" t="inlineStr">
        <is>
          <t>PHỤ_KIỆN_CỬA</t>
        </is>
      </c>
      <c r="E60" t="inlineStr">
        <is>
          <t>MAT-DOOR-ACCESSORY</t>
        </is>
      </c>
      <c r="F60" t="inlineStr">
        <is>
          <t>Bộ</t>
        </is>
      </c>
      <c r="G60" s="4" t="n">
        <v>1</v>
      </c>
      <c r="H60" s="2">
        <f>XLOOKUP(B60, '00_TONG_HOP_BAO_GIA'!B:B, '00_TONG_HOP_BAO_GIA'!G:G, 1)</f>
        <v/>
      </c>
      <c r="I60" s="5">
        <f>G60*H60</f>
        <v/>
      </c>
      <c r="J60" s="2">
        <f>XLOOKUP(E60, '06_BANG_GIA_VAT_TU_AP_DUNG'!B:B, '06_BANG_GIA_VAT_TU_AP_DUNG'!C:C, "LỖI_MÃ_VT")</f>
        <v/>
      </c>
      <c r="K60" s="2">
        <f>I60*J60</f>
        <v/>
      </c>
      <c r="L60" t="inlineStr">
        <is>
          <t>4 ke góc chìm và vít ghép khung</t>
        </is>
      </c>
    </row>
    <row r="61">
      <c r="A61" t="inlineStr">
        <is>
          <t>SW-DIFF-588-PAINT</t>
        </is>
      </c>
      <c r="B61" t="inlineStr">
        <is>
          <t>SW-DIFF-588</t>
        </is>
      </c>
      <c r="C61" t="inlineStr">
        <is>
          <t>Sơn tĩnh điện tiêu chuẩn Polyester</t>
        </is>
      </c>
      <c r="D61" t="inlineStr">
        <is>
          <t>SƠN_TĨNH_ĐIỆN</t>
        </is>
      </c>
      <c r="E61" t="inlineStr">
        <is>
          <t>MAT-PAINT-POWDER</t>
        </is>
      </c>
      <c r="F61" t="inlineStr">
        <is>
          <t>m2</t>
        </is>
      </c>
      <c r="G61" s="4" t="n">
        <v>0.225</v>
      </c>
      <c r="H61" s="2">
        <f>XLOOKUP(B61, '00_TONG_HOP_BAO_GIA'!B:B, '00_TONG_HOP_BAO_GIA'!G:G, 1)</f>
        <v/>
      </c>
      <c r="I61" s="5">
        <f>G61*H61</f>
        <v/>
      </c>
      <c r="J61" s="2">
        <f>XLOOKUP(E61, '06_BANG_GIA_VAT_TU_AP_DUNG'!B:B, '06_BANG_GIA_VAT_TU_AP_DUNG'!C:C, "LỖI_MÃ_VT")</f>
        <v/>
      </c>
      <c r="K61" s="2">
        <f>I61*J61</f>
        <v/>
      </c>
      <c r="L61" t="inlineStr">
        <is>
          <t>Diện tích phủ sơn 0.225m2</t>
        </is>
      </c>
    </row>
    <row r="62">
      <c r="A62" t="inlineStr">
        <is>
          <t>SW-DIFF-589-FRAME</t>
        </is>
      </c>
      <c r="B62" t="inlineStr">
        <is>
          <t>SW-DIFF-589</t>
        </is>
      </c>
      <c r="C62" t="inlineStr">
        <is>
          <t>Khung nhôm định hình (Z)</t>
        </is>
      </c>
      <c r="D62" t="inlineStr">
        <is>
          <t>NHÔM_ĐỊNH_HÌNH</t>
        </is>
      </c>
      <c r="E62" t="inlineStr">
        <is>
          <t>MAT-ALU-KHUNG-Z-2-LOP</t>
        </is>
      </c>
      <c r="F62" t="inlineStr">
        <is>
          <t>kg</t>
        </is>
      </c>
      <c r="G62" s="4" t="n">
        <v>1.33476</v>
      </c>
      <c r="H62" s="2">
        <f>XLOOKUP(B62, '00_TONG_HOP_BAO_GIA'!B:B, '00_TONG_HOP_BAO_GIA'!G:G, 1)</f>
        <v/>
      </c>
      <c r="I62" s="5">
        <f>G62*H62</f>
        <v/>
      </c>
      <c r="J62" s="2">
        <f>XLOOKUP(E62, '06_BANG_GIA_VAT_TU_AP_DUNG'!B:B, '06_BANG_GIA_VAT_TU_AP_DUNG'!C:C, "LỖI_MÃ_VT")</f>
        <v/>
      </c>
      <c r="K62" s="2">
        <f>I62*J62</f>
        <v/>
      </c>
      <c r="L62" t="inlineStr">
        <is>
          <t>Dài cắt 5.88m @ 0.227kg/m</t>
        </is>
      </c>
    </row>
    <row r="63">
      <c r="A63" t="inlineStr">
        <is>
          <t>SW-DIFF-589-BLADE</t>
        </is>
      </c>
      <c r="B63" t="inlineStr">
        <is>
          <t>SW-DIFF-589</t>
        </is>
      </c>
      <c r="C63" t="inlineStr">
        <is>
          <t>Nan nhôm định hình (Z)</t>
        </is>
      </c>
      <c r="D63" t="inlineStr">
        <is>
          <t>NHÔM_ĐỊNH_HÌNH</t>
        </is>
      </c>
      <c r="E63" t="inlineStr">
        <is>
          <t>MAT-ALU-NAN-Z-DAY</t>
        </is>
      </c>
      <c r="F63" t="inlineStr">
        <is>
          <t>kg</t>
        </is>
      </c>
      <c r="G63" s="4" t="n">
        <v>8.831466000000001</v>
      </c>
      <c r="H63" s="2">
        <f>XLOOKUP(B63, '00_TONG_HOP_BAO_GIA'!B:B, '00_TONG_HOP_BAO_GIA'!G:G, 1)</f>
        <v/>
      </c>
      <c r="I63" s="5">
        <f>G63*H63</f>
        <v/>
      </c>
      <c r="J63" s="2">
        <f>XLOOKUP(E63, '06_BANG_GIA_VAT_TU_AP_DUNG'!B:B, '06_BANG_GIA_VAT_TU_AP_DUNG'!C:C, "LỖI_MÃ_VT")</f>
        <v/>
      </c>
      <c r="K63" s="2">
        <f>I63*J63</f>
        <v/>
      </c>
      <c r="L63" t="inlineStr">
        <is>
          <t>19 nan dài 40.70m @ 0.217kg/m</t>
        </is>
      </c>
    </row>
    <row r="64">
      <c r="A64" t="inlineStr">
        <is>
          <t>SW-DIFF-589-ACCESSORY</t>
        </is>
      </c>
      <c r="B64" t="inlineStr">
        <is>
          <t>SW-DIFF-589</t>
        </is>
      </c>
      <c r="C64" t="inlineStr">
        <is>
          <t>Phụ kiện lắp ghép / Ke góc cửa gió</t>
        </is>
      </c>
      <c r="D64" t="inlineStr">
        <is>
          <t>PHỤ_KIỆN_CỬA</t>
        </is>
      </c>
      <c r="E64" t="inlineStr">
        <is>
          <t>MAT-DOOR-ACCESSORY</t>
        </is>
      </c>
      <c r="F64" t="inlineStr">
        <is>
          <t>Bộ</t>
        </is>
      </c>
      <c r="G64" s="4" t="n">
        <v>1</v>
      </c>
      <c r="H64" s="2">
        <f>XLOOKUP(B64, '00_TONG_HOP_BAO_GIA'!B:B, '00_TONG_HOP_BAO_GIA'!G:G, 1)</f>
        <v/>
      </c>
      <c r="I64" s="5">
        <f>G64*H64</f>
        <v/>
      </c>
      <c r="J64" s="2">
        <f>XLOOKUP(E64, '06_BANG_GIA_VAT_TU_AP_DUNG'!B:B, '06_BANG_GIA_VAT_TU_AP_DUNG'!C:C, "LỖI_MÃ_VT")</f>
        <v/>
      </c>
      <c r="K64" s="2">
        <f>I64*J64</f>
        <v/>
      </c>
      <c r="L64" t="inlineStr">
        <is>
          <t>4 ke góc chìm và vít ghép khung</t>
        </is>
      </c>
    </row>
    <row r="65">
      <c r="A65" t="inlineStr">
        <is>
          <t>SW-DIFF-589-PAINT</t>
        </is>
      </c>
      <c r="B65" t="inlineStr">
        <is>
          <t>SW-DIFF-589</t>
        </is>
      </c>
      <c r="C65" t="inlineStr">
        <is>
          <t>Sơn tĩnh điện tiêu chuẩn Polyester</t>
        </is>
      </c>
      <c r="D65" t="inlineStr">
        <is>
          <t>SƠN_TĨNH_ĐIỆN</t>
        </is>
      </c>
      <c r="E65" t="inlineStr">
        <is>
          <t>MAT-PAINT-POWDER</t>
        </is>
      </c>
      <c r="F65" t="inlineStr">
        <is>
          <t>m2</t>
        </is>
      </c>
      <c r="G65" s="4" t="n">
        <v>2.30625</v>
      </c>
      <c r="H65" s="2">
        <f>XLOOKUP(B65, '00_TONG_HOP_BAO_GIA'!B:B, '00_TONG_HOP_BAO_GIA'!G:G, 1)</f>
        <v/>
      </c>
      <c r="I65" s="5">
        <f>G65*H65</f>
        <v/>
      </c>
      <c r="J65" s="2">
        <f>XLOOKUP(E65, '06_BANG_GIA_VAT_TU_AP_DUNG'!B:B, '06_BANG_GIA_VAT_TU_AP_DUNG'!C:C, "LỖI_MÃ_VT")</f>
        <v/>
      </c>
      <c r="K65" s="2">
        <f>I65*J65</f>
        <v/>
      </c>
      <c r="L65" t="inlineStr">
        <is>
          <t>Diện tích phủ sơn 2.306m2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0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SUB_KEY</t>
        </is>
      </c>
      <c r="B1" s="1" t="inlineStr">
        <is>
          <t>PARENT_ITEM_ID</t>
        </is>
      </c>
      <c r="C1" s="1" t="inlineStr">
        <is>
          <t>TÊN CẤU KIỆN</t>
        </is>
      </c>
      <c r="D1" s="1" t="inlineStr">
        <is>
          <t>PHÂN LOẠI</t>
        </is>
      </c>
      <c r="E1" s="1" t="inlineStr">
        <is>
          <t>MÃ VẬT TƯ (MAT_ID)</t>
        </is>
      </c>
      <c r="F1" s="1" t="inlineStr">
        <is>
          <t>ĐVT</t>
        </is>
      </c>
      <c r="G1" s="1" t="inlineStr">
        <is>
          <t>ĐỊNH MỨC / 1 SP</t>
        </is>
      </c>
      <c r="H1" s="1" t="inlineStr">
        <is>
          <t>SL DỰ ÁN</t>
        </is>
      </c>
      <c r="I1" s="1" t="inlineStr">
        <is>
          <t>TỔNG NHU CẦU</t>
        </is>
      </c>
      <c r="J1" s="1" t="inlineStr">
        <is>
          <t>ĐƠN GIÁ GỐC</t>
        </is>
      </c>
      <c r="K1" s="1" t="inlineStr">
        <is>
          <t>THÀNH TIỀN (VNĐ)</t>
        </is>
      </c>
      <c r="L1" s="1" t="inlineStr">
        <is>
          <t>GHI CHÚ KỸ THUẬT</t>
        </is>
      </c>
    </row>
    <row r="2">
      <c r="A2" t="inlineStr">
        <is>
          <t>SW-DAMPER-022-BODY</t>
        </is>
      </c>
      <c r="B2" t="inlineStr">
        <is>
          <t>SW-DAMPER-022</t>
        </is>
      </c>
      <c r="C2" t="inlineStr">
        <is>
          <t>Thân vỏ van VCD bích TDF (0.75mm)</t>
        </is>
      </c>
      <c r="D2" t="inlineStr">
        <is>
          <t>TÔN_CUỘN_MẠ_KẼM</t>
        </is>
      </c>
      <c r="E2" t="inlineStr">
        <is>
          <t>MAT-STEEL-PN-0.75</t>
        </is>
      </c>
      <c r="F2" t="inlineStr">
        <is>
          <t>kg</t>
        </is>
      </c>
      <c r="G2" s="4" t="n">
        <v>0.761607</v>
      </c>
      <c r="H2" s="2">
        <f>XLOOKUP(B2, '00_TONG_HOP_BAO_GIA'!B:B, '00_TONG_HOP_BAO_GIA'!G:G, 1)</f>
        <v/>
      </c>
      <c r="I2" s="5">
        <f>G2*H2</f>
        <v/>
      </c>
      <c r="J2" s="2">
        <f>XLOOKUP(E2, '06_BANG_GIA_VAT_TU_AP_DUNG'!B:B, '06_BANG_GIA_VAT_TU_AP_DUNG'!C:C, "LỖI_MÃ_VT")</f>
        <v/>
      </c>
      <c r="K2" s="2">
        <f>I2*J2</f>
        <v/>
      </c>
      <c r="L2" t="inlineStr">
        <is>
          <t>Kích thước vỏ 100.0x100.0x210mm</t>
        </is>
      </c>
    </row>
    <row r="3">
      <c r="A3" t="inlineStr">
        <is>
          <t>SW-DAMPER-022-BLADE</t>
        </is>
      </c>
      <c r="B3" t="inlineStr">
        <is>
          <t>SW-DAMPER-022</t>
        </is>
      </c>
      <c r="C3" t="inlineStr">
        <is>
          <t>Lá cánh van (1 cánh overlap)</t>
        </is>
      </c>
      <c r="D3" t="inlineStr">
        <is>
          <t>TÔN_CUỘN_MẠ_KẼM</t>
        </is>
      </c>
      <c r="E3" t="inlineStr">
        <is>
          <t>MAT-STEEL-PN-0.75</t>
        </is>
      </c>
      <c r="F3" t="inlineStr">
        <is>
          <t>kg</t>
        </is>
      </c>
      <c r="G3" s="4" t="n">
        <v>0.07630199999999999</v>
      </c>
      <c r="H3" s="2">
        <f>XLOOKUP(B3, '00_TONG_HOP_BAO_GIA'!B:B, '00_TONG_HOP_BAO_GIA'!G:G, 1)</f>
        <v/>
      </c>
      <c r="I3" s="5">
        <f>G3*H3</f>
        <v/>
      </c>
      <c r="J3" s="2">
        <f>XLOOKUP(E3, '06_BANG_GIA_VAT_TU_AP_DUNG'!B:B, '06_BANG_GIA_VAT_TU_AP_DUNG'!C:C, "LỖI_MÃ_VT")</f>
        <v/>
      </c>
      <c r="K3" s="2">
        <f>I3*J3</f>
        <v/>
      </c>
      <c r="L3" t="inlineStr">
        <is>
          <t>1 cánh cao 120mm</t>
        </is>
      </c>
    </row>
    <row r="4">
      <c r="A4" t="inlineStr">
        <is>
          <t>SW-DAMPER-022-AXLE</t>
        </is>
      </c>
      <c r="B4" t="inlineStr">
        <is>
          <t>SW-DAMPER-022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4" t="n">
        <v>0.16</v>
      </c>
      <c r="H4" s="2">
        <f>XLOOKUP(B4, '00_TONG_HOP_BAO_GIA'!B:B, '00_TONG_HOP_BAO_GIA'!G:G, 1)</f>
        <v/>
      </c>
      <c r="I4" s="5">
        <f>G4*H4</f>
        <v/>
      </c>
      <c r="J4" s="2">
        <f>XLOOKUP(E4, '06_BANG_GIA_VAT_TU_AP_DUNG'!B:B, '06_BANG_GIA_VAT_TU_AP_DUNG'!C:C, "LỖI_MÃ_VT")</f>
        <v/>
      </c>
      <c r="K4" s="2">
        <f>I4*J4</f>
        <v/>
      </c>
      <c r="L4" t="inlineStr">
        <is>
          <t>1 trục dài 160mm</t>
        </is>
      </c>
    </row>
    <row r="5">
      <c r="A5" t="inlineStr">
        <is>
          <t>SW-DAMPER-022-BEARING</t>
        </is>
      </c>
      <c r="B5" t="inlineStr">
        <is>
          <t>SW-DAMPER-022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4" t="n">
        <v>1</v>
      </c>
      <c r="H5" s="2">
        <f>XLOOKUP(B5, '00_TONG_HOP_BAO_GIA'!B:B, '00_TONG_HOP_BAO_GIA'!G:G, 1)</f>
        <v/>
      </c>
      <c r="I5" s="5">
        <f>G5*H5</f>
        <v/>
      </c>
      <c r="J5" s="2">
        <f>XLOOKUP(E5, '06_BANG_GIA_VAT_TU_AP_DUNG'!B:B, '06_BANG_GIA_VAT_TU_AP_DUNG'!C:C, "LỖI_MÃ_VT")</f>
        <v/>
      </c>
      <c r="K5" s="2">
        <f>I5*J5</f>
        <v/>
      </c>
      <c r="L5" t="inlineStr">
        <is>
          <t>1 đôi bạc đỡ 2 bên thân</t>
        </is>
      </c>
    </row>
    <row r="6">
      <c r="A6" t="inlineStr">
        <is>
          <t>SW-DAMPER-022-HANDLE</t>
        </is>
      </c>
      <c r="B6" t="inlineStr">
        <is>
          <t>SW-DAMPER-022</t>
        </is>
      </c>
      <c r="C6" t="inlineStr">
        <is>
          <t>Tay gạt nhỏ</t>
        </is>
      </c>
      <c r="D6" t="inlineStr">
        <is>
          <t>PHỤ_KIỆN_VAN</t>
        </is>
      </c>
      <c r="E6" t="inlineStr">
        <is>
          <t>MAT-DAMPER-TAY-GAT-NHO</t>
        </is>
      </c>
      <c r="F6" t="inlineStr">
        <is>
          <t>Bộ</t>
        </is>
      </c>
      <c r="G6" s="4" t="n">
        <v>1</v>
      </c>
      <c r="H6" s="2">
        <f>XLOOKUP(B6, '00_TONG_HOP_BAO_GIA'!B:B, '00_TONG_HOP_BAO_GIA'!G:G, 1)</f>
        <v/>
      </c>
      <c r="I6" s="5">
        <f>G6*H6</f>
        <v/>
      </c>
      <c r="J6" s="2">
        <f>XLOOKUP(E6, '06_BANG_GIA_VAT_TU_AP_DUNG'!B:B, '06_BANG_GIA_VAT_TU_AP_DUNG'!C:C, "LỖI_MÃ_VT")</f>
        <v/>
      </c>
      <c r="K6" s="2">
        <f>I6*J6</f>
        <v/>
      </c>
      <c r="L6" t="inlineStr">
        <is>
          <t>Tay gạt khóa vị trí nan (S=0.01m2)</t>
        </is>
      </c>
    </row>
    <row r="7">
      <c r="A7" t="inlineStr">
        <is>
          <t>SW-DAMPER-023-BODY</t>
        </is>
      </c>
      <c r="B7" t="inlineStr">
        <is>
          <t>SW-DAMPER-023</t>
        </is>
      </c>
      <c r="C7" t="inlineStr">
        <is>
          <t>Thân vỏ van VCD bích TDF (0.75mm)</t>
        </is>
      </c>
      <c r="D7" t="inlineStr">
        <is>
          <t>TÔN_CUỘN_MẠ_KẼM</t>
        </is>
      </c>
      <c r="E7" t="inlineStr">
        <is>
          <t>MAT-STEEL-PN-0.75</t>
        </is>
      </c>
      <c r="F7" t="inlineStr">
        <is>
          <t>kg</t>
        </is>
      </c>
      <c r="G7" s="4" t="n">
        <v>0.9346995000000001</v>
      </c>
      <c r="H7" s="2">
        <f>XLOOKUP(B7, '00_TONG_HOP_BAO_GIA'!B:B, '00_TONG_HOP_BAO_GIA'!G:G, 1)</f>
        <v/>
      </c>
      <c r="I7" s="5">
        <f>G7*H7</f>
        <v/>
      </c>
      <c r="J7" s="2">
        <f>XLOOKUP(E7, '06_BANG_GIA_VAT_TU_AP_DUNG'!B:B, '06_BANG_GIA_VAT_TU_AP_DUNG'!C:C, "LỖI_MÃ_VT")</f>
        <v/>
      </c>
      <c r="K7" s="2">
        <f>I7*J7</f>
        <v/>
      </c>
      <c r="L7" t="inlineStr">
        <is>
          <t>Kích thước vỏ 150.0x100.0x210mm</t>
        </is>
      </c>
    </row>
    <row r="8">
      <c r="A8" t="inlineStr">
        <is>
          <t>SW-DAMPER-023-BLADE</t>
        </is>
      </c>
      <c r="B8" t="inlineStr">
        <is>
          <t>SW-DAMPER-023</t>
        </is>
      </c>
      <c r="C8" t="inlineStr">
        <is>
          <t>Lá cánh van (1 cánh overlap)</t>
        </is>
      </c>
      <c r="D8" t="inlineStr">
        <is>
          <t>TÔN_CUỘN_MẠ_KẼM</t>
        </is>
      </c>
      <c r="E8" t="inlineStr">
        <is>
          <t>MAT-STEEL-PN-0.75</t>
        </is>
      </c>
      <c r="F8" t="inlineStr">
        <is>
          <t>kg</t>
        </is>
      </c>
      <c r="G8" s="4" t="n">
        <v>0.114453</v>
      </c>
      <c r="H8" s="2">
        <f>XLOOKUP(B8, '00_TONG_HOP_BAO_GIA'!B:B, '00_TONG_HOP_BAO_GIA'!G:G, 1)</f>
        <v/>
      </c>
      <c r="I8" s="5">
        <f>G8*H8</f>
        <v/>
      </c>
      <c r="J8" s="2">
        <f>XLOOKUP(E8, '06_BANG_GIA_VAT_TU_AP_DUNG'!B:B, '06_BANG_GIA_VAT_TU_AP_DUNG'!C:C, "LỖI_MÃ_VT")</f>
        <v/>
      </c>
      <c r="K8" s="2">
        <f>I8*J8</f>
        <v/>
      </c>
      <c r="L8" t="inlineStr">
        <is>
          <t>1 cánh cao 120mm</t>
        </is>
      </c>
    </row>
    <row r="9">
      <c r="A9" t="inlineStr">
        <is>
          <t>SW-DAMPER-023-AXLE</t>
        </is>
      </c>
      <c r="B9" t="inlineStr">
        <is>
          <t>SW-DAMPER-023</t>
        </is>
      </c>
      <c r="C9" t="inlineStr">
        <is>
          <t>Trục Sus 201 D10</t>
        </is>
      </c>
      <c r="D9" t="inlineStr">
        <is>
          <t>PHỤ_KIỆN_VAN</t>
        </is>
      </c>
      <c r="E9" t="inlineStr">
        <is>
          <t>MAT-DAMPER-TRUC-SUS-201-D10</t>
        </is>
      </c>
      <c r="F9" t="inlineStr">
        <is>
          <t>m</t>
        </is>
      </c>
      <c r="G9" s="4" t="n">
        <v>0.21</v>
      </c>
      <c r="H9" s="2">
        <f>XLOOKUP(B9, '00_TONG_HOP_BAO_GIA'!B:B, '00_TONG_HOP_BAO_GIA'!G:G, 1)</f>
        <v/>
      </c>
      <c r="I9" s="5">
        <f>G9*H9</f>
        <v/>
      </c>
      <c r="J9" s="2">
        <f>XLOOKUP(E9, '06_BANG_GIA_VAT_TU_AP_DUNG'!B:B, '06_BANG_GIA_VAT_TU_AP_DUNG'!C:C, "LỖI_MÃ_VT")</f>
        <v/>
      </c>
      <c r="K9" s="2">
        <f>I9*J9</f>
        <v/>
      </c>
      <c r="L9" t="inlineStr">
        <is>
          <t>1 trục dài 210mm</t>
        </is>
      </c>
    </row>
    <row r="10">
      <c r="A10" t="inlineStr">
        <is>
          <t>SW-DAMPER-023-BEARING</t>
        </is>
      </c>
      <c r="B10" t="inlineStr">
        <is>
          <t>SW-DAMPER-023</t>
        </is>
      </c>
      <c r="C10" t="inlineStr">
        <is>
          <t>Bạc đồng D10</t>
        </is>
      </c>
      <c r="D10" t="inlineStr">
        <is>
          <t>PHỤ_KIỆN_VAN</t>
        </is>
      </c>
      <c r="E10" t="inlineStr">
        <is>
          <t>MAT-DAMPER-BAC-DONG-D10</t>
        </is>
      </c>
      <c r="F10" t="inlineStr">
        <is>
          <t>Đôi</t>
        </is>
      </c>
      <c r="G10" s="4" t="n">
        <v>1</v>
      </c>
      <c r="H10" s="2">
        <f>XLOOKUP(B10, '00_TONG_HOP_BAO_GIA'!B:B, '00_TONG_HOP_BAO_GIA'!G:G, 1)</f>
        <v/>
      </c>
      <c r="I10" s="5">
        <f>G10*H10</f>
        <v/>
      </c>
      <c r="J10" s="2">
        <f>XLOOKUP(E10, '06_BANG_GIA_VAT_TU_AP_DUNG'!B:B, '06_BANG_GIA_VAT_TU_AP_DUNG'!C:C, "LỖI_MÃ_VT")</f>
        <v/>
      </c>
      <c r="K10" s="2">
        <f>I10*J10</f>
        <v/>
      </c>
      <c r="L10" t="inlineStr">
        <is>
          <t>1 đôi bạc đỡ 2 bên thân</t>
        </is>
      </c>
    </row>
    <row r="11">
      <c r="A11" t="inlineStr">
        <is>
          <t>SW-DAMPER-023-HANDLE</t>
        </is>
      </c>
      <c r="B11" t="inlineStr">
        <is>
          <t>SW-DAMPER-023</t>
        </is>
      </c>
      <c r="C11" t="inlineStr">
        <is>
          <t>Tay gạt nhỏ</t>
        </is>
      </c>
      <c r="D11" t="inlineStr">
        <is>
          <t>PHỤ_KIỆN_VAN</t>
        </is>
      </c>
      <c r="E11" t="inlineStr">
        <is>
          <t>MAT-DAMPER-TAY-GAT-NHO</t>
        </is>
      </c>
      <c r="F11" t="inlineStr">
        <is>
          <t>Bộ</t>
        </is>
      </c>
      <c r="G11" s="4" t="n">
        <v>1</v>
      </c>
      <c r="H11" s="2">
        <f>XLOOKUP(B11, '00_TONG_HOP_BAO_GIA'!B:B, '00_TONG_HOP_BAO_GIA'!G:G, 1)</f>
        <v/>
      </c>
      <c r="I11" s="5">
        <f>G11*H11</f>
        <v/>
      </c>
      <c r="J11" s="2">
        <f>XLOOKUP(E11, '06_BANG_GIA_VAT_TU_AP_DUNG'!B:B, '06_BANG_GIA_VAT_TU_AP_DUNG'!C:C, "LỖI_MÃ_VT")</f>
        <v/>
      </c>
      <c r="K11" s="2">
        <f>I11*J11</f>
        <v/>
      </c>
      <c r="L11" t="inlineStr">
        <is>
          <t>Tay gạt khóa vị trí nan (S=0.01m2)</t>
        </is>
      </c>
    </row>
    <row r="12">
      <c r="A12" t="inlineStr">
        <is>
          <t>SW-DAMPER-024-BODY</t>
        </is>
      </c>
      <c r="B12" t="inlineStr">
        <is>
          <t>SW-DAMPER-024</t>
        </is>
      </c>
      <c r="C12" t="inlineStr">
        <is>
          <t>Thân vỏ van VCD bích TDF (0.75mm)</t>
        </is>
      </c>
      <c r="D12" t="inlineStr">
        <is>
          <t>TÔN_CUỘN_MẠ_KẼM</t>
        </is>
      </c>
      <c r="E12" t="inlineStr">
        <is>
          <t>MAT-STEEL-PN-0.75</t>
        </is>
      </c>
      <c r="F12" t="inlineStr">
        <is>
          <t>kg</t>
        </is>
      </c>
      <c r="G12" s="4" t="n">
        <v>1.107792</v>
      </c>
      <c r="H12" s="2">
        <f>XLOOKUP(B12, '00_TONG_HOP_BAO_GIA'!B:B, '00_TONG_HOP_BAO_GIA'!G:G, 1)</f>
        <v/>
      </c>
      <c r="I12" s="5">
        <f>G12*H12</f>
        <v/>
      </c>
      <c r="J12" s="2">
        <f>XLOOKUP(E12, '06_BANG_GIA_VAT_TU_AP_DUNG'!B:B, '06_BANG_GIA_VAT_TU_AP_DUNG'!C:C, "LỖI_MÃ_VT")</f>
        <v/>
      </c>
      <c r="K12" s="2">
        <f>I12*J12</f>
        <v/>
      </c>
      <c r="L12" t="inlineStr">
        <is>
          <t>Kích thước vỏ 150.0x150.0x210mm</t>
        </is>
      </c>
    </row>
    <row r="13">
      <c r="A13" t="inlineStr">
        <is>
          <t>SW-DAMPER-024-BLADE</t>
        </is>
      </c>
      <c r="B13" t="inlineStr">
        <is>
          <t>SW-DAMPER-024</t>
        </is>
      </c>
      <c r="C13" t="inlineStr">
        <is>
          <t>Lá cánh van (1 cánh overlap)</t>
        </is>
      </c>
      <c r="D13" t="inlineStr">
        <is>
          <t>TÔN_CUỘN_MẠ_KẼM</t>
        </is>
      </c>
      <c r="E13" t="inlineStr">
        <is>
          <t>MAT-STEEL-PN-0.75</t>
        </is>
      </c>
      <c r="F13" t="inlineStr">
        <is>
          <t>kg</t>
        </is>
      </c>
      <c r="G13" s="4" t="n">
        <v>0.16214175</v>
      </c>
      <c r="H13" s="2">
        <f>XLOOKUP(B13, '00_TONG_HOP_BAO_GIA'!B:B, '00_TONG_HOP_BAO_GIA'!G:G, 1)</f>
        <v/>
      </c>
      <c r="I13" s="5">
        <f>G13*H13</f>
        <v/>
      </c>
      <c r="J13" s="2">
        <f>XLOOKUP(E13, '06_BANG_GIA_VAT_TU_AP_DUNG'!B:B, '06_BANG_GIA_VAT_TU_AP_DUNG'!C:C, "LỖI_MÃ_VT")</f>
        <v/>
      </c>
      <c r="K13" s="2">
        <f>I13*J13</f>
        <v/>
      </c>
      <c r="L13" t="inlineStr">
        <is>
          <t>1 cánh cao 170mm</t>
        </is>
      </c>
    </row>
    <row r="14">
      <c r="A14" t="inlineStr">
        <is>
          <t>SW-DAMPER-024-AXLE</t>
        </is>
      </c>
      <c r="B14" t="inlineStr">
        <is>
          <t>SW-DAMPER-024</t>
        </is>
      </c>
      <c r="C14" t="inlineStr">
        <is>
          <t>Trục Sus 201 D10</t>
        </is>
      </c>
      <c r="D14" t="inlineStr">
        <is>
          <t>PHỤ_KIỆN_VAN</t>
        </is>
      </c>
      <c r="E14" t="inlineStr">
        <is>
          <t>MAT-DAMPER-TRUC-SUS-201-D10</t>
        </is>
      </c>
      <c r="F14" t="inlineStr">
        <is>
          <t>m</t>
        </is>
      </c>
      <c r="G14" s="4" t="n">
        <v>0.21</v>
      </c>
      <c r="H14" s="2">
        <f>XLOOKUP(B14, '00_TONG_HOP_BAO_GIA'!B:B, '00_TONG_HOP_BAO_GIA'!G:G, 1)</f>
        <v/>
      </c>
      <c r="I14" s="5">
        <f>G14*H14</f>
        <v/>
      </c>
      <c r="J14" s="2">
        <f>XLOOKUP(E14, '06_BANG_GIA_VAT_TU_AP_DUNG'!B:B, '06_BANG_GIA_VAT_TU_AP_DUNG'!C:C, "LỖI_MÃ_VT")</f>
        <v/>
      </c>
      <c r="K14" s="2">
        <f>I14*J14</f>
        <v/>
      </c>
      <c r="L14" t="inlineStr">
        <is>
          <t>1 trục dài 210mm</t>
        </is>
      </c>
    </row>
    <row r="15">
      <c r="A15" t="inlineStr">
        <is>
          <t>SW-DAMPER-024-BEARING</t>
        </is>
      </c>
      <c r="B15" t="inlineStr">
        <is>
          <t>SW-DAMPER-024</t>
        </is>
      </c>
      <c r="C15" t="inlineStr">
        <is>
          <t>Bạc đồng D10</t>
        </is>
      </c>
      <c r="D15" t="inlineStr">
        <is>
          <t>PHỤ_KIỆN_VAN</t>
        </is>
      </c>
      <c r="E15" t="inlineStr">
        <is>
          <t>MAT-DAMPER-BAC-DONG-D10</t>
        </is>
      </c>
      <c r="F15" t="inlineStr">
        <is>
          <t>Đôi</t>
        </is>
      </c>
      <c r="G15" s="4" t="n">
        <v>1</v>
      </c>
      <c r="H15" s="2">
        <f>XLOOKUP(B15, '00_TONG_HOP_BAO_GIA'!B:B, '00_TONG_HOP_BAO_GIA'!G:G, 1)</f>
        <v/>
      </c>
      <c r="I15" s="5">
        <f>G15*H15</f>
        <v/>
      </c>
      <c r="J15" s="2">
        <f>XLOOKUP(E15, '06_BANG_GIA_VAT_TU_AP_DUNG'!B:B, '06_BANG_GIA_VAT_TU_AP_DUNG'!C:C, "LỖI_MÃ_VT")</f>
        <v/>
      </c>
      <c r="K15" s="2">
        <f>I15*J15</f>
        <v/>
      </c>
      <c r="L15" t="inlineStr">
        <is>
          <t>1 đôi bạc đỡ 2 bên thân</t>
        </is>
      </c>
    </row>
    <row r="16">
      <c r="A16" t="inlineStr">
        <is>
          <t>SW-DAMPER-024-HANDLE</t>
        </is>
      </c>
      <c r="B16" t="inlineStr">
        <is>
          <t>SW-DAMPER-024</t>
        </is>
      </c>
      <c r="C16" t="inlineStr">
        <is>
          <t>Tay gạt nhỏ</t>
        </is>
      </c>
      <c r="D16" t="inlineStr">
        <is>
          <t>PHỤ_KIỆN_VAN</t>
        </is>
      </c>
      <c r="E16" t="inlineStr">
        <is>
          <t>MAT-DAMPER-TAY-GAT-NHO</t>
        </is>
      </c>
      <c r="F16" t="inlineStr">
        <is>
          <t>Bộ</t>
        </is>
      </c>
      <c r="G16" s="4" t="n">
        <v>1</v>
      </c>
      <c r="H16" s="2">
        <f>XLOOKUP(B16, '00_TONG_HOP_BAO_GIA'!B:B, '00_TONG_HOP_BAO_GIA'!G:G, 1)</f>
        <v/>
      </c>
      <c r="I16" s="5">
        <f>G16*H16</f>
        <v/>
      </c>
      <c r="J16" s="2">
        <f>XLOOKUP(E16, '06_BANG_GIA_VAT_TU_AP_DUNG'!B:B, '06_BANG_GIA_VAT_TU_AP_DUNG'!C:C, "LỖI_MÃ_VT")</f>
        <v/>
      </c>
      <c r="K16" s="2">
        <f>I16*J16</f>
        <v/>
      </c>
      <c r="L16" t="inlineStr">
        <is>
          <t>Tay gạt khóa vị trí nan (S=0.02m2)</t>
        </is>
      </c>
    </row>
    <row r="17">
      <c r="A17" t="inlineStr">
        <is>
          <t>SW-DAMPER-025-BODY</t>
        </is>
      </c>
      <c r="B17" t="inlineStr">
        <is>
          <t>SW-DAMPER-025</t>
        </is>
      </c>
      <c r="C17" t="inlineStr">
        <is>
          <t>Thân vỏ van VCD bích TDF (0.75mm)</t>
        </is>
      </c>
      <c r="D17" t="inlineStr">
        <is>
          <t>TÔN_CUỘN_MẠ_KẼM</t>
        </is>
      </c>
      <c r="E17" t="inlineStr">
        <is>
          <t>MAT-STEEL-PN-0.75</t>
        </is>
      </c>
      <c r="F17" t="inlineStr">
        <is>
          <t>kg</t>
        </is>
      </c>
      <c r="G17" s="4" t="n">
        <v>1.2808845</v>
      </c>
      <c r="H17" s="2">
        <f>XLOOKUP(B17, '00_TONG_HOP_BAO_GIA'!B:B, '00_TONG_HOP_BAO_GIA'!G:G, 1)</f>
        <v/>
      </c>
      <c r="I17" s="5">
        <f>G17*H17</f>
        <v/>
      </c>
      <c r="J17" s="2">
        <f>XLOOKUP(E17, '06_BANG_GIA_VAT_TU_AP_DUNG'!B:B, '06_BANG_GIA_VAT_TU_AP_DUNG'!C:C, "LỖI_MÃ_VT")</f>
        <v/>
      </c>
      <c r="K17" s="2">
        <f>I17*J17</f>
        <v/>
      </c>
      <c r="L17" t="inlineStr">
        <is>
          <t>Kích thước vỏ 200.0x150.0x210mm</t>
        </is>
      </c>
    </row>
    <row r="18">
      <c r="A18" t="inlineStr">
        <is>
          <t>SW-DAMPER-025-BLADE</t>
        </is>
      </c>
      <c r="B18" t="inlineStr">
        <is>
          <t>SW-DAMPER-025</t>
        </is>
      </c>
      <c r="C18" t="inlineStr">
        <is>
          <t>Lá cánh van (1 cánh overlap)</t>
        </is>
      </c>
      <c r="D18" t="inlineStr">
        <is>
          <t>TÔN_CUỘN_MẠ_KẼM</t>
        </is>
      </c>
      <c r="E18" t="inlineStr">
        <is>
          <t>MAT-STEEL-PN-0.75</t>
        </is>
      </c>
      <c r="F18" t="inlineStr">
        <is>
          <t>kg</t>
        </is>
      </c>
      <c r="G18" s="4" t="n">
        <v>0.216189</v>
      </c>
      <c r="H18" s="2">
        <f>XLOOKUP(B18, '00_TONG_HOP_BAO_GIA'!B:B, '00_TONG_HOP_BAO_GIA'!G:G, 1)</f>
        <v/>
      </c>
      <c r="I18" s="5">
        <f>G18*H18</f>
        <v/>
      </c>
      <c r="J18" s="2">
        <f>XLOOKUP(E18, '06_BANG_GIA_VAT_TU_AP_DUNG'!B:B, '06_BANG_GIA_VAT_TU_AP_DUNG'!C:C, "LỖI_MÃ_VT")</f>
        <v/>
      </c>
      <c r="K18" s="2">
        <f>I18*J18</f>
        <v/>
      </c>
      <c r="L18" t="inlineStr">
        <is>
          <t>1 cánh cao 170mm</t>
        </is>
      </c>
    </row>
    <row r="19">
      <c r="A19" t="inlineStr">
        <is>
          <t>SW-DAMPER-025-AXLE</t>
        </is>
      </c>
      <c r="B19" t="inlineStr">
        <is>
          <t>SW-DAMPER-025</t>
        </is>
      </c>
      <c r="C19" t="inlineStr">
        <is>
          <t>Trục Sus 201 D10</t>
        </is>
      </c>
      <c r="D19" t="inlineStr">
        <is>
          <t>PHỤ_KIỆN_VAN</t>
        </is>
      </c>
      <c r="E19" t="inlineStr">
        <is>
          <t>MAT-DAMPER-TRUC-SUS-201-D10</t>
        </is>
      </c>
      <c r="F19" t="inlineStr">
        <is>
          <t>m</t>
        </is>
      </c>
      <c r="G19" s="4" t="n">
        <v>0.26</v>
      </c>
      <c r="H19" s="2">
        <f>XLOOKUP(B19, '00_TONG_HOP_BAO_GIA'!B:B, '00_TONG_HOP_BAO_GIA'!G:G, 1)</f>
        <v/>
      </c>
      <c r="I19" s="5">
        <f>G19*H19</f>
        <v/>
      </c>
      <c r="J19" s="2">
        <f>XLOOKUP(E19, '06_BANG_GIA_VAT_TU_AP_DUNG'!B:B, '06_BANG_GIA_VAT_TU_AP_DUNG'!C:C, "LỖI_MÃ_VT")</f>
        <v/>
      </c>
      <c r="K19" s="2">
        <f>I19*J19</f>
        <v/>
      </c>
      <c r="L19" t="inlineStr">
        <is>
          <t>1 trục dài 260mm</t>
        </is>
      </c>
    </row>
    <row r="20">
      <c r="A20" t="inlineStr">
        <is>
          <t>SW-DAMPER-025-BEARING</t>
        </is>
      </c>
      <c r="B20" t="inlineStr">
        <is>
          <t>SW-DAMPER-025</t>
        </is>
      </c>
      <c r="C20" t="inlineStr">
        <is>
          <t>Bạc đồng D10</t>
        </is>
      </c>
      <c r="D20" t="inlineStr">
        <is>
          <t>PHỤ_KIỆN_VAN</t>
        </is>
      </c>
      <c r="E20" t="inlineStr">
        <is>
          <t>MAT-DAMPER-BAC-DONG-D10</t>
        </is>
      </c>
      <c r="F20" t="inlineStr">
        <is>
          <t>Đôi</t>
        </is>
      </c>
      <c r="G20" s="4" t="n">
        <v>1</v>
      </c>
      <c r="H20" s="2">
        <f>XLOOKUP(B20, '00_TONG_HOP_BAO_GIA'!B:B, '00_TONG_HOP_BAO_GIA'!G:G, 1)</f>
        <v/>
      </c>
      <c r="I20" s="5">
        <f>G20*H20</f>
        <v/>
      </c>
      <c r="J20" s="2">
        <f>XLOOKUP(E20, '06_BANG_GIA_VAT_TU_AP_DUNG'!B:B, '06_BANG_GIA_VAT_TU_AP_DUNG'!C:C, "LỖI_MÃ_VT")</f>
        <v/>
      </c>
      <c r="K20" s="2">
        <f>I20*J20</f>
        <v/>
      </c>
      <c r="L20" t="inlineStr">
        <is>
          <t>1 đôi bạc đỡ 2 bên thân</t>
        </is>
      </c>
    </row>
    <row r="21">
      <c r="A21" t="inlineStr">
        <is>
          <t>SW-DAMPER-025-HANDLE</t>
        </is>
      </c>
      <c r="B21" t="inlineStr">
        <is>
          <t>SW-DAMPER-025</t>
        </is>
      </c>
      <c r="C21" t="inlineStr">
        <is>
          <t>Tay gạt nhỏ</t>
        </is>
      </c>
      <c r="D21" t="inlineStr">
        <is>
          <t>PHỤ_KIỆN_VAN</t>
        </is>
      </c>
      <c r="E21" t="inlineStr">
        <is>
          <t>MAT-DAMPER-TAY-GAT-NHO</t>
        </is>
      </c>
      <c r="F21" t="inlineStr">
        <is>
          <t>Bộ</t>
        </is>
      </c>
      <c r="G21" s="4" t="n">
        <v>1</v>
      </c>
      <c r="H21" s="2">
        <f>XLOOKUP(B21, '00_TONG_HOP_BAO_GIA'!B:B, '00_TONG_HOP_BAO_GIA'!G:G, 1)</f>
        <v/>
      </c>
      <c r="I21" s="5">
        <f>G21*H21</f>
        <v/>
      </c>
      <c r="J21" s="2">
        <f>XLOOKUP(E21, '06_BANG_GIA_VAT_TU_AP_DUNG'!B:B, '06_BANG_GIA_VAT_TU_AP_DUNG'!C:C, "LỖI_MÃ_VT")</f>
        <v/>
      </c>
      <c r="K21" s="2">
        <f>I21*J21</f>
        <v/>
      </c>
      <c r="L21" t="inlineStr">
        <is>
          <t>Tay gạt khóa vị trí nan (S=0.03m2)</t>
        </is>
      </c>
    </row>
    <row r="22">
      <c r="A22" t="inlineStr">
        <is>
          <t>SW-DAMPER-026-BODY</t>
        </is>
      </c>
      <c r="B22" t="inlineStr">
        <is>
          <t>SW-DAMPER-026</t>
        </is>
      </c>
      <c r="C22" t="inlineStr">
        <is>
          <t>Thân vỏ van VCD bích TDF (0.75mm)</t>
        </is>
      </c>
      <c r="D22" t="inlineStr">
        <is>
          <t>TÔN_CUỘN_MẠ_KẼM</t>
        </is>
      </c>
      <c r="E22" t="inlineStr">
        <is>
          <t>MAT-STEEL-PN-0.75</t>
        </is>
      </c>
      <c r="F22" t="inlineStr">
        <is>
          <t>kg</t>
        </is>
      </c>
      <c r="G22" s="4" t="n">
        <v>1.9732545</v>
      </c>
      <c r="H22" s="2">
        <f>XLOOKUP(B22, '00_TONG_HOP_BAO_GIA'!B:B, '00_TONG_HOP_BAO_GIA'!G:G, 1)</f>
        <v/>
      </c>
      <c r="I22" s="5">
        <f>G22*H22</f>
        <v/>
      </c>
      <c r="J22" s="2">
        <f>XLOOKUP(E22, '06_BANG_GIA_VAT_TU_AP_DUNG'!B:B, '06_BANG_GIA_VAT_TU_AP_DUNG'!C:C, "LỖI_MÃ_VT")</f>
        <v/>
      </c>
      <c r="K22" s="2">
        <f>I22*J22</f>
        <v/>
      </c>
      <c r="L22" t="inlineStr">
        <is>
          <t>Kích thước vỏ 300.0x250.0x210mm</t>
        </is>
      </c>
    </row>
    <row r="23">
      <c r="A23" t="inlineStr">
        <is>
          <t>SW-DAMPER-026-BLADE</t>
        </is>
      </c>
      <c r="B23" t="inlineStr">
        <is>
          <t>SW-DAMPER-026</t>
        </is>
      </c>
      <c r="C23" t="inlineStr">
        <is>
          <t>Lá cánh van (2 cánh overlap)</t>
        </is>
      </c>
      <c r="D23" t="inlineStr">
        <is>
          <t>TÔN_CUỘN_MẠ_KẼM</t>
        </is>
      </c>
      <c r="E23" t="inlineStr">
        <is>
          <t>MAT-STEEL-PN-0.75</t>
        </is>
      </c>
      <c r="F23" t="inlineStr">
        <is>
          <t>kg</t>
        </is>
      </c>
      <c r="G23" s="4" t="n">
        <v>0.5531894999999999</v>
      </c>
      <c r="H23" s="2">
        <f>XLOOKUP(B23, '00_TONG_HOP_BAO_GIA'!B:B, '00_TONG_HOP_BAO_GIA'!G:G, 1)</f>
        <v/>
      </c>
      <c r="I23" s="5">
        <f>G23*H23</f>
        <v/>
      </c>
      <c r="J23" s="2">
        <f>XLOOKUP(E23, '06_BANG_GIA_VAT_TU_AP_DUNG'!B:B, '06_BANG_GIA_VAT_TU_AP_DUNG'!C:C, "LỖI_MÃ_VT")</f>
        <v/>
      </c>
      <c r="K23" s="2">
        <f>I23*J23</f>
        <v/>
      </c>
      <c r="L23" t="inlineStr">
        <is>
          <t>2 cánh cao 145mm</t>
        </is>
      </c>
    </row>
    <row r="24">
      <c r="A24" t="inlineStr">
        <is>
          <t>SW-DAMPER-026-AXLE</t>
        </is>
      </c>
      <c r="B24" t="inlineStr">
        <is>
          <t>SW-DAMPER-026</t>
        </is>
      </c>
      <c r="C24" t="inlineStr">
        <is>
          <t>Trục Sus 201 D10</t>
        </is>
      </c>
      <c r="D24" t="inlineStr">
        <is>
          <t>PHỤ_KIỆN_VAN</t>
        </is>
      </c>
      <c r="E24" t="inlineStr">
        <is>
          <t>MAT-DAMPER-TRUC-SUS-201-D10</t>
        </is>
      </c>
      <c r="F24" t="inlineStr">
        <is>
          <t>m</t>
        </is>
      </c>
      <c r="G24" s="4" t="n">
        <v>0.72</v>
      </c>
      <c r="H24" s="2">
        <f>XLOOKUP(B24, '00_TONG_HOP_BAO_GIA'!B:B, '00_TONG_HOP_BAO_GIA'!G:G, 1)</f>
        <v/>
      </c>
      <c r="I24" s="5">
        <f>G24*H24</f>
        <v/>
      </c>
      <c r="J24" s="2">
        <f>XLOOKUP(E24, '06_BANG_GIA_VAT_TU_AP_DUNG'!B:B, '06_BANG_GIA_VAT_TU_AP_DUNG'!C:C, "LỖI_MÃ_VT")</f>
        <v/>
      </c>
      <c r="K24" s="2">
        <f>I24*J24</f>
        <v/>
      </c>
      <c r="L24" t="inlineStr">
        <is>
          <t>2 trục dài 360mm</t>
        </is>
      </c>
    </row>
    <row r="25">
      <c r="A25" t="inlineStr">
        <is>
          <t>SW-DAMPER-026-BEARING</t>
        </is>
      </c>
      <c r="B25" t="inlineStr">
        <is>
          <t>SW-DAMPER-026</t>
        </is>
      </c>
      <c r="C25" t="inlineStr">
        <is>
          <t>Bạc đồng D10</t>
        </is>
      </c>
      <c r="D25" t="inlineStr">
        <is>
          <t>PHỤ_KIỆN_VAN</t>
        </is>
      </c>
      <c r="E25" t="inlineStr">
        <is>
          <t>MAT-DAMPER-BAC-DONG-D10</t>
        </is>
      </c>
      <c r="F25" t="inlineStr">
        <is>
          <t>Đôi</t>
        </is>
      </c>
      <c r="G25" s="4" t="n">
        <v>2</v>
      </c>
      <c r="H25" s="2">
        <f>XLOOKUP(B25, '00_TONG_HOP_BAO_GIA'!B:B, '00_TONG_HOP_BAO_GIA'!G:G, 1)</f>
        <v/>
      </c>
      <c r="I25" s="5">
        <f>G25*H25</f>
        <v/>
      </c>
      <c r="J25" s="2">
        <f>XLOOKUP(E25, '06_BANG_GIA_VAT_TU_AP_DUNG'!B:B, '06_BANG_GIA_VAT_TU_AP_DUNG'!C:C, "LỖI_MÃ_VT")</f>
        <v/>
      </c>
      <c r="K25" s="2">
        <f>I25*J25</f>
        <v/>
      </c>
      <c r="L25" t="inlineStr">
        <is>
          <t>2 đôi bạc đỡ 2 bên thân</t>
        </is>
      </c>
    </row>
    <row r="26">
      <c r="A26" t="inlineStr">
        <is>
          <t>SW-DAMPER-026-GEAR</t>
        </is>
      </c>
      <c r="B26" t="inlineStr">
        <is>
          <t>SW-DAMPER-026</t>
        </is>
      </c>
      <c r="C26" t="inlineStr">
        <is>
          <t>Bánh răng van nhôm</t>
        </is>
      </c>
      <c r="D26" t="inlineStr">
        <is>
          <t>PHỤ_KIỆN_VAN</t>
        </is>
      </c>
      <c r="E26" t="inlineStr">
        <is>
          <t>MAT-DAMPER-BANH-RANG-VAN-NHOM</t>
        </is>
      </c>
      <c r="F26" t="inlineStr">
        <is>
          <t>Bộ</t>
        </is>
      </c>
      <c r="G26" s="4" t="n">
        <v>1</v>
      </c>
      <c r="H26" s="2">
        <f>XLOOKUP(B26, '00_TONG_HOP_BAO_GIA'!B:B, '00_TONG_HOP_BAO_GIA'!G:G, 1)</f>
        <v/>
      </c>
      <c r="I26" s="5">
        <f>G26*H26</f>
        <v/>
      </c>
      <c r="J26" s="2">
        <f>XLOOKUP(E26, '06_BANG_GIA_VAT_TU_AP_DUNG'!B:B, '06_BANG_GIA_VAT_TU_AP_DUNG'!C:C, "LỖI_MÃ_VT")</f>
        <v/>
      </c>
      <c r="K26" s="2">
        <f>I26*J26</f>
        <v/>
      </c>
      <c r="L26" t="inlineStr">
        <is>
          <t>Cơ cấu liên động bánh răng van</t>
        </is>
      </c>
    </row>
    <row r="27">
      <c r="A27" t="inlineStr">
        <is>
          <t>SW-DAMPER-026-HANDLE</t>
        </is>
      </c>
      <c r="B27" t="inlineStr">
        <is>
          <t>SW-DAMPER-026</t>
        </is>
      </c>
      <c r="C27" t="inlineStr">
        <is>
          <t>Tay gạt nhỏ</t>
        </is>
      </c>
      <c r="D27" t="inlineStr">
        <is>
          <t>PHỤ_KIỆN_VAN</t>
        </is>
      </c>
      <c r="E27" t="inlineStr">
        <is>
          <t>MAT-DAMPER-TAY-GAT-NHO</t>
        </is>
      </c>
      <c r="F27" t="inlineStr">
        <is>
          <t>Bộ</t>
        </is>
      </c>
      <c r="G27" s="4" t="n">
        <v>1</v>
      </c>
      <c r="H27" s="2">
        <f>XLOOKUP(B27, '00_TONG_HOP_BAO_GIA'!B:B, '00_TONG_HOP_BAO_GIA'!G:G, 1)</f>
        <v/>
      </c>
      <c r="I27" s="5">
        <f>G27*H27</f>
        <v/>
      </c>
      <c r="J27" s="2">
        <f>XLOOKUP(E27, '06_BANG_GIA_VAT_TU_AP_DUNG'!B:B, '06_BANG_GIA_VAT_TU_AP_DUNG'!C:C, "LỖI_MÃ_VT")</f>
        <v/>
      </c>
      <c r="K27" s="2">
        <f>I27*J27</f>
        <v/>
      </c>
      <c r="L27" t="inlineStr">
        <is>
          <t>Tay gạt khóa vị trí nan (S=0.07m2)</t>
        </is>
      </c>
    </row>
    <row r="28">
      <c r="A28" t="inlineStr">
        <is>
          <t>SW-DAMPER-027-BODY</t>
        </is>
      </c>
      <c r="B28" t="inlineStr">
        <is>
          <t>SW-DAMPER-027</t>
        </is>
      </c>
      <c r="C28" t="inlineStr">
        <is>
          <t>Thân vỏ van VCD bích TDF (0.75mm)</t>
        </is>
      </c>
      <c r="D28" t="inlineStr">
        <is>
          <t>TÔN_CUỘN_MẠ_KẼM</t>
        </is>
      </c>
      <c r="E28" t="inlineStr">
        <is>
          <t>MAT-STEEL-PN-0.75</t>
        </is>
      </c>
      <c r="F28" t="inlineStr">
        <is>
          <t>kg</t>
        </is>
      </c>
      <c r="G28" s="4" t="n">
        <v>2.146347</v>
      </c>
      <c r="H28" s="2">
        <f>XLOOKUP(B28, '00_TONG_HOP_BAO_GIA'!B:B, '00_TONG_HOP_BAO_GIA'!G:G, 1)</f>
        <v/>
      </c>
      <c r="I28" s="5">
        <f>G28*H28</f>
        <v/>
      </c>
      <c r="J28" s="2">
        <f>XLOOKUP(E28, '06_BANG_GIA_VAT_TU_AP_DUNG'!B:B, '06_BANG_GIA_VAT_TU_AP_DUNG'!C:C, "LỖI_MÃ_VT")</f>
        <v/>
      </c>
      <c r="K28" s="2">
        <f>I28*J28</f>
        <v/>
      </c>
      <c r="L28" t="inlineStr">
        <is>
          <t>Kích thước vỏ 350.0x250.0x210mm</t>
        </is>
      </c>
    </row>
    <row r="29">
      <c r="A29" t="inlineStr">
        <is>
          <t>SW-DAMPER-027-BLADE</t>
        </is>
      </c>
      <c r="B29" t="inlineStr">
        <is>
          <t>SW-DAMPER-027</t>
        </is>
      </c>
      <c r="C29" t="inlineStr">
        <is>
          <t>Lá cánh van (2 cánh overlap)</t>
        </is>
      </c>
      <c r="D29" t="inlineStr">
        <is>
          <t>TÔN_CUỘN_MẠ_KẼM</t>
        </is>
      </c>
      <c r="E29" t="inlineStr">
        <is>
          <t>MAT-STEEL-PN-0.75</t>
        </is>
      </c>
      <c r="F29" t="inlineStr">
        <is>
          <t>kg</t>
        </is>
      </c>
      <c r="G29" s="4" t="n">
        <v>0.6453877499999999</v>
      </c>
      <c r="H29" s="2">
        <f>XLOOKUP(B29, '00_TONG_HOP_BAO_GIA'!B:B, '00_TONG_HOP_BAO_GIA'!G:G, 1)</f>
        <v/>
      </c>
      <c r="I29" s="5">
        <f>G29*H29</f>
        <v/>
      </c>
      <c r="J29" s="2">
        <f>XLOOKUP(E29, '06_BANG_GIA_VAT_TU_AP_DUNG'!B:B, '06_BANG_GIA_VAT_TU_AP_DUNG'!C:C, "LỖI_MÃ_VT")</f>
        <v/>
      </c>
      <c r="K29" s="2">
        <f>I29*J29</f>
        <v/>
      </c>
      <c r="L29" t="inlineStr">
        <is>
          <t>2 cánh cao 145mm</t>
        </is>
      </c>
    </row>
    <row r="30">
      <c r="A30" t="inlineStr">
        <is>
          <t>SW-DAMPER-027-AXLE</t>
        </is>
      </c>
      <c r="B30" t="inlineStr">
        <is>
          <t>SW-DAMPER-027</t>
        </is>
      </c>
      <c r="C30" t="inlineStr">
        <is>
          <t>Trục Sus 201 D10</t>
        </is>
      </c>
      <c r="D30" t="inlineStr">
        <is>
          <t>PHỤ_KIỆN_VAN</t>
        </is>
      </c>
      <c r="E30" t="inlineStr">
        <is>
          <t>MAT-DAMPER-TRUC-SUS-201-D10</t>
        </is>
      </c>
      <c r="F30" t="inlineStr">
        <is>
          <t>m</t>
        </is>
      </c>
      <c r="G30" s="4" t="n">
        <v>0.82</v>
      </c>
      <c r="H30" s="2">
        <f>XLOOKUP(B30, '00_TONG_HOP_BAO_GIA'!B:B, '00_TONG_HOP_BAO_GIA'!G:G, 1)</f>
        <v/>
      </c>
      <c r="I30" s="5">
        <f>G30*H30</f>
        <v/>
      </c>
      <c r="J30" s="2">
        <f>XLOOKUP(E30, '06_BANG_GIA_VAT_TU_AP_DUNG'!B:B, '06_BANG_GIA_VAT_TU_AP_DUNG'!C:C, "LỖI_MÃ_VT")</f>
        <v/>
      </c>
      <c r="K30" s="2">
        <f>I30*J30</f>
        <v/>
      </c>
      <c r="L30" t="inlineStr">
        <is>
          <t>2 trục dài 410mm</t>
        </is>
      </c>
    </row>
    <row r="31">
      <c r="A31" t="inlineStr">
        <is>
          <t>SW-DAMPER-027-BEARING</t>
        </is>
      </c>
      <c r="B31" t="inlineStr">
        <is>
          <t>SW-DAMPER-027</t>
        </is>
      </c>
      <c r="C31" t="inlineStr">
        <is>
          <t>Bạc đồng D10</t>
        </is>
      </c>
      <c r="D31" t="inlineStr">
        <is>
          <t>PHỤ_KIỆN_VAN</t>
        </is>
      </c>
      <c r="E31" t="inlineStr">
        <is>
          <t>MAT-DAMPER-BAC-DONG-D10</t>
        </is>
      </c>
      <c r="F31" t="inlineStr">
        <is>
          <t>Đôi</t>
        </is>
      </c>
      <c r="G31" s="4" t="n">
        <v>2</v>
      </c>
      <c r="H31" s="2">
        <f>XLOOKUP(B31, '00_TONG_HOP_BAO_GIA'!B:B, '00_TONG_HOP_BAO_GIA'!G:G, 1)</f>
        <v/>
      </c>
      <c r="I31" s="5">
        <f>G31*H31</f>
        <v/>
      </c>
      <c r="J31" s="2">
        <f>XLOOKUP(E31, '06_BANG_GIA_VAT_TU_AP_DUNG'!B:B, '06_BANG_GIA_VAT_TU_AP_DUNG'!C:C, "LỖI_MÃ_VT")</f>
        <v/>
      </c>
      <c r="K31" s="2">
        <f>I31*J31</f>
        <v/>
      </c>
      <c r="L31" t="inlineStr">
        <is>
          <t>2 đôi bạc đỡ 2 bên thân</t>
        </is>
      </c>
    </row>
    <row r="32">
      <c r="A32" t="inlineStr">
        <is>
          <t>SW-DAMPER-027-GEAR</t>
        </is>
      </c>
      <c r="B32" t="inlineStr">
        <is>
          <t>SW-DAMPER-027</t>
        </is>
      </c>
      <c r="C32" t="inlineStr">
        <is>
          <t>Bánh răng van nhôm</t>
        </is>
      </c>
      <c r="D32" t="inlineStr">
        <is>
          <t>PHỤ_KIỆN_VAN</t>
        </is>
      </c>
      <c r="E32" t="inlineStr">
        <is>
          <t>MAT-DAMPER-BANH-RANG-VAN-NHOM</t>
        </is>
      </c>
      <c r="F32" t="inlineStr">
        <is>
          <t>Bộ</t>
        </is>
      </c>
      <c r="G32" s="4" t="n">
        <v>1</v>
      </c>
      <c r="H32" s="2">
        <f>XLOOKUP(B32, '00_TONG_HOP_BAO_GIA'!B:B, '00_TONG_HOP_BAO_GIA'!G:G, 1)</f>
        <v/>
      </c>
      <c r="I32" s="5">
        <f>G32*H32</f>
        <v/>
      </c>
      <c r="J32" s="2">
        <f>XLOOKUP(E32, '06_BANG_GIA_VAT_TU_AP_DUNG'!B:B, '06_BANG_GIA_VAT_TU_AP_DUNG'!C:C, "LỖI_MÃ_VT")</f>
        <v/>
      </c>
      <c r="K32" s="2">
        <f>I32*J32</f>
        <v/>
      </c>
      <c r="L32" t="inlineStr">
        <is>
          <t>Cơ cấu liên động bánh răng van</t>
        </is>
      </c>
    </row>
    <row r="33">
      <c r="A33" t="inlineStr">
        <is>
          <t>SW-DAMPER-027-HANDLE</t>
        </is>
      </c>
      <c r="B33" t="inlineStr">
        <is>
          <t>SW-DAMPER-027</t>
        </is>
      </c>
      <c r="C33" t="inlineStr">
        <is>
          <t>Tay gạt nhỏ</t>
        </is>
      </c>
      <c r="D33" t="inlineStr">
        <is>
          <t>PHỤ_KIỆN_VAN</t>
        </is>
      </c>
      <c r="E33" t="inlineStr">
        <is>
          <t>MAT-DAMPER-TAY-GAT-NHO</t>
        </is>
      </c>
      <c r="F33" t="inlineStr">
        <is>
          <t>Bộ</t>
        </is>
      </c>
      <c r="G33" s="4" t="n">
        <v>1</v>
      </c>
      <c r="H33" s="2">
        <f>XLOOKUP(B33, '00_TONG_HOP_BAO_GIA'!B:B, '00_TONG_HOP_BAO_GIA'!G:G, 1)</f>
        <v/>
      </c>
      <c r="I33" s="5">
        <f>G33*H33</f>
        <v/>
      </c>
      <c r="J33" s="2">
        <f>XLOOKUP(E33, '06_BANG_GIA_VAT_TU_AP_DUNG'!B:B, '06_BANG_GIA_VAT_TU_AP_DUNG'!C:C, "LỖI_MÃ_VT")</f>
        <v/>
      </c>
      <c r="K33" s="2">
        <f>I33*J33</f>
        <v/>
      </c>
      <c r="L33" t="inlineStr">
        <is>
          <t>Tay gạt khóa vị trí nan (S=0.09m2)</t>
        </is>
      </c>
    </row>
    <row r="34">
      <c r="A34" t="inlineStr">
        <is>
          <t>SW-DAMPER-028-BODY</t>
        </is>
      </c>
      <c r="B34" t="inlineStr">
        <is>
          <t>SW-DAMPER-028</t>
        </is>
      </c>
      <c r="C34" t="inlineStr">
        <is>
          <t>Thân vỏ van VCD bích TDF (0.75mm)</t>
        </is>
      </c>
      <c r="D34" t="inlineStr">
        <is>
          <t>TÔN_CUỘN_MẠ_KẼM</t>
        </is>
      </c>
      <c r="E34" t="inlineStr">
        <is>
          <t>MAT-STEEL-PN-0.75</t>
        </is>
      </c>
      <c r="F34" t="inlineStr">
        <is>
          <t>kg</t>
        </is>
      </c>
      <c r="G34" s="4" t="n">
        <v>2.146347</v>
      </c>
      <c r="H34" s="2">
        <f>XLOOKUP(B34, '00_TONG_HOP_BAO_GIA'!B:B, '00_TONG_HOP_BAO_GIA'!G:G, 1)</f>
        <v/>
      </c>
      <c r="I34" s="5">
        <f>G34*H34</f>
        <v/>
      </c>
      <c r="J34" s="2">
        <f>XLOOKUP(E34, '06_BANG_GIA_VAT_TU_AP_DUNG'!B:B, '06_BANG_GIA_VAT_TU_AP_DUNG'!C:C, "LỖI_MÃ_VT")</f>
        <v/>
      </c>
      <c r="K34" s="2">
        <f>I34*J34</f>
        <v/>
      </c>
      <c r="L34" t="inlineStr">
        <is>
          <t>Kích thước vỏ 400.0x200.0x210mm</t>
        </is>
      </c>
    </row>
    <row r="35">
      <c r="A35" t="inlineStr">
        <is>
          <t>SW-DAMPER-028-BLADE</t>
        </is>
      </c>
      <c r="B35" t="inlineStr">
        <is>
          <t>SW-DAMPER-028</t>
        </is>
      </c>
      <c r="C35" t="inlineStr">
        <is>
          <t>Lá cánh van (2 cánh overlap)</t>
        </is>
      </c>
      <c r="D35" t="inlineStr">
        <is>
          <t>TÔN_CUỘN_MẠ_KẼM</t>
        </is>
      </c>
      <c r="E35" t="inlineStr">
        <is>
          <t>MAT-STEEL-PN-0.75</t>
        </is>
      </c>
      <c r="F35" t="inlineStr">
        <is>
          <t>kg</t>
        </is>
      </c>
      <c r="G35" s="4" t="n">
        <v>0.610416</v>
      </c>
      <c r="H35" s="2">
        <f>XLOOKUP(B35, '00_TONG_HOP_BAO_GIA'!B:B, '00_TONG_HOP_BAO_GIA'!G:G, 1)</f>
        <v/>
      </c>
      <c r="I35" s="5">
        <f>G35*H35</f>
        <v/>
      </c>
      <c r="J35" s="2">
        <f>XLOOKUP(E35, '06_BANG_GIA_VAT_TU_AP_DUNG'!B:B, '06_BANG_GIA_VAT_TU_AP_DUNG'!C:C, "LỖI_MÃ_VT")</f>
        <v/>
      </c>
      <c r="K35" s="2">
        <f>I35*J35</f>
        <v/>
      </c>
      <c r="L35" t="inlineStr">
        <is>
          <t>2 cánh cao 120mm</t>
        </is>
      </c>
    </row>
    <row r="36">
      <c r="A36" t="inlineStr">
        <is>
          <t>SW-DAMPER-028-AXLE</t>
        </is>
      </c>
      <c r="B36" t="inlineStr">
        <is>
          <t>SW-DAMPER-028</t>
        </is>
      </c>
      <c r="C36" t="inlineStr">
        <is>
          <t>Trục Sus 201 D10</t>
        </is>
      </c>
      <c r="D36" t="inlineStr">
        <is>
          <t>PHỤ_KIỆN_VAN</t>
        </is>
      </c>
      <c r="E36" t="inlineStr">
        <is>
          <t>MAT-DAMPER-TRUC-SUS-201-D10</t>
        </is>
      </c>
      <c r="F36" t="inlineStr">
        <is>
          <t>m</t>
        </is>
      </c>
      <c r="G36" s="4" t="n">
        <v>0.92</v>
      </c>
      <c r="H36" s="2">
        <f>XLOOKUP(B36, '00_TONG_HOP_BAO_GIA'!B:B, '00_TONG_HOP_BAO_GIA'!G:G, 1)</f>
        <v/>
      </c>
      <c r="I36" s="5">
        <f>G36*H36</f>
        <v/>
      </c>
      <c r="J36" s="2">
        <f>XLOOKUP(E36, '06_BANG_GIA_VAT_TU_AP_DUNG'!B:B, '06_BANG_GIA_VAT_TU_AP_DUNG'!C:C, "LỖI_MÃ_VT")</f>
        <v/>
      </c>
      <c r="K36" s="2">
        <f>I36*J36</f>
        <v/>
      </c>
      <c r="L36" t="inlineStr">
        <is>
          <t>2 trục dài 460mm</t>
        </is>
      </c>
    </row>
    <row r="37">
      <c r="A37" t="inlineStr">
        <is>
          <t>SW-DAMPER-028-BEARING</t>
        </is>
      </c>
      <c r="B37" t="inlineStr">
        <is>
          <t>SW-DAMPER-028</t>
        </is>
      </c>
      <c r="C37" t="inlineStr">
        <is>
          <t>Bạc đồng D10</t>
        </is>
      </c>
      <c r="D37" t="inlineStr">
        <is>
          <t>PHỤ_KIỆN_VAN</t>
        </is>
      </c>
      <c r="E37" t="inlineStr">
        <is>
          <t>MAT-DAMPER-BAC-DONG-D10</t>
        </is>
      </c>
      <c r="F37" t="inlineStr">
        <is>
          <t>Đôi</t>
        </is>
      </c>
      <c r="G37" s="4" t="n">
        <v>2</v>
      </c>
      <c r="H37" s="2">
        <f>XLOOKUP(B37, '00_TONG_HOP_BAO_GIA'!B:B, '00_TONG_HOP_BAO_GIA'!G:G, 1)</f>
        <v/>
      </c>
      <c r="I37" s="5">
        <f>G37*H37</f>
        <v/>
      </c>
      <c r="J37" s="2">
        <f>XLOOKUP(E37, '06_BANG_GIA_VAT_TU_AP_DUNG'!B:B, '06_BANG_GIA_VAT_TU_AP_DUNG'!C:C, "LỖI_MÃ_VT")</f>
        <v/>
      </c>
      <c r="K37" s="2">
        <f>I37*J37</f>
        <v/>
      </c>
      <c r="L37" t="inlineStr">
        <is>
          <t>2 đôi bạc đỡ 2 bên thân</t>
        </is>
      </c>
    </row>
    <row r="38">
      <c r="A38" t="inlineStr">
        <is>
          <t>SW-DAMPER-028-GEAR</t>
        </is>
      </c>
      <c r="B38" t="inlineStr">
        <is>
          <t>SW-DAMPER-028</t>
        </is>
      </c>
      <c r="C38" t="inlineStr">
        <is>
          <t>Bánh răng van nhôm</t>
        </is>
      </c>
      <c r="D38" t="inlineStr">
        <is>
          <t>PHỤ_KIỆN_VAN</t>
        </is>
      </c>
      <c r="E38" t="inlineStr">
        <is>
          <t>MAT-DAMPER-BANH-RANG-VAN-NHOM</t>
        </is>
      </c>
      <c r="F38" t="inlineStr">
        <is>
          <t>Bộ</t>
        </is>
      </c>
      <c r="G38" s="4" t="n">
        <v>1</v>
      </c>
      <c r="H38" s="2">
        <f>XLOOKUP(B38, '00_TONG_HOP_BAO_GIA'!B:B, '00_TONG_HOP_BAO_GIA'!G:G, 1)</f>
        <v/>
      </c>
      <c r="I38" s="5">
        <f>G38*H38</f>
        <v/>
      </c>
      <c r="J38" s="2">
        <f>XLOOKUP(E38, '06_BANG_GIA_VAT_TU_AP_DUNG'!B:B, '06_BANG_GIA_VAT_TU_AP_DUNG'!C:C, "LỖI_MÃ_VT")</f>
        <v/>
      </c>
      <c r="K38" s="2">
        <f>I38*J38</f>
        <v/>
      </c>
      <c r="L38" t="inlineStr">
        <is>
          <t>Cơ cấu liên động bánh răng van</t>
        </is>
      </c>
    </row>
    <row r="39">
      <c r="A39" t="inlineStr">
        <is>
          <t>SW-DAMPER-028-HANDLE</t>
        </is>
      </c>
      <c r="B39" t="inlineStr">
        <is>
          <t>SW-DAMPER-028</t>
        </is>
      </c>
      <c r="C39" t="inlineStr">
        <is>
          <t>Tay gạt nhỏ</t>
        </is>
      </c>
      <c r="D39" t="inlineStr">
        <is>
          <t>PHỤ_KIỆN_VAN</t>
        </is>
      </c>
      <c r="E39" t="inlineStr">
        <is>
          <t>MAT-DAMPER-TAY-GAT-NHO</t>
        </is>
      </c>
      <c r="F39" t="inlineStr">
        <is>
          <t>Bộ</t>
        </is>
      </c>
      <c r="G39" s="4" t="n">
        <v>1</v>
      </c>
      <c r="H39" s="2">
        <f>XLOOKUP(B39, '00_TONG_HOP_BAO_GIA'!B:B, '00_TONG_HOP_BAO_GIA'!G:G, 1)</f>
        <v/>
      </c>
      <c r="I39" s="5">
        <f>G39*H39</f>
        <v/>
      </c>
      <c r="J39" s="2">
        <f>XLOOKUP(E39, '06_BANG_GIA_VAT_TU_AP_DUNG'!B:B, '06_BANG_GIA_VAT_TU_AP_DUNG'!C:C, "LỖI_MÃ_VT")</f>
        <v/>
      </c>
      <c r="K39" s="2">
        <f>I39*J39</f>
        <v/>
      </c>
      <c r="L39" t="inlineStr">
        <is>
          <t>Tay gạt khóa vị trí nan (S=0.08m2)</t>
        </is>
      </c>
    </row>
    <row r="40">
      <c r="A40" t="inlineStr">
        <is>
          <t>SW-DAMPER-029-BODY</t>
        </is>
      </c>
      <c r="B40" t="inlineStr">
        <is>
          <t>SW-DAMPER-029</t>
        </is>
      </c>
      <c r="C40" t="inlineStr">
        <is>
          <t>Thân vỏ van VCD bích TDF (0.75mm)</t>
        </is>
      </c>
      <c r="D40" t="inlineStr">
        <is>
          <t>TÔN_CUỘN_MẠ_KẼM</t>
        </is>
      </c>
      <c r="E40" t="inlineStr">
        <is>
          <t>MAT-STEEL-PN-0.75</t>
        </is>
      </c>
      <c r="F40" t="inlineStr">
        <is>
          <t>kg</t>
        </is>
      </c>
      <c r="G40" s="4" t="n">
        <v>2.3194395</v>
      </c>
      <c r="H40" s="2">
        <f>XLOOKUP(B40, '00_TONG_HOP_BAO_GIA'!B:B, '00_TONG_HOP_BAO_GIA'!G:G, 1)</f>
        <v/>
      </c>
      <c r="I40" s="5">
        <f>G40*H40</f>
        <v/>
      </c>
      <c r="J40" s="2">
        <f>XLOOKUP(E40, '06_BANG_GIA_VAT_TU_AP_DUNG'!B:B, '06_BANG_GIA_VAT_TU_AP_DUNG'!C:C, "LỖI_MÃ_VT")</f>
        <v/>
      </c>
      <c r="K40" s="2">
        <f>I40*J40</f>
        <v/>
      </c>
      <c r="L40" t="inlineStr">
        <is>
          <t>Kích thước vỏ 400.0x250.0x210mm</t>
        </is>
      </c>
    </row>
    <row r="41">
      <c r="A41" t="inlineStr">
        <is>
          <t>SW-DAMPER-029-BLADE</t>
        </is>
      </c>
      <c r="B41" t="inlineStr">
        <is>
          <t>SW-DAMPER-029</t>
        </is>
      </c>
      <c r="C41" t="inlineStr">
        <is>
          <t>Lá cánh van (2 cánh overlap)</t>
        </is>
      </c>
      <c r="D41" t="inlineStr">
        <is>
          <t>TÔN_CUỘN_MẠ_KẼM</t>
        </is>
      </c>
      <c r="E41" t="inlineStr">
        <is>
          <t>MAT-STEEL-PN-0.75</t>
        </is>
      </c>
      <c r="F41" t="inlineStr">
        <is>
          <t>kg</t>
        </is>
      </c>
      <c r="G41" s="4" t="n">
        <v>0.737586</v>
      </c>
      <c r="H41" s="2">
        <f>XLOOKUP(B41, '00_TONG_HOP_BAO_GIA'!B:B, '00_TONG_HOP_BAO_GIA'!G:G, 1)</f>
        <v/>
      </c>
      <c r="I41" s="5">
        <f>G41*H41</f>
        <v/>
      </c>
      <c r="J41" s="2">
        <f>XLOOKUP(E41, '06_BANG_GIA_VAT_TU_AP_DUNG'!B:B, '06_BANG_GIA_VAT_TU_AP_DUNG'!C:C, "LỖI_MÃ_VT")</f>
        <v/>
      </c>
      <c r="K41" s="2">
        <f>I41*J41</f>
        <v/>
      </c>
      <c r="L41" t="inlineStr">
        <is>
          <t>2 cánh cao 145mm</t>
        </is>
      </c>
    </row>
    <row r="42">
      <c r="A42" t="inlineStr">
        <is>
          <t>SW-DAMPER-029-AXLE</t>
        </is>
      </c>
      <c r="B42" t="inlineStr">
        <is>
          <t>SW-DAMPER-029</t>
        </is>
      </c>
      <c r="C42" t="inlineStr">
        <is>
          <t>Trục Sus 201 D10</t>
        </is>
      </c>
      <c r="D42" t="inlineStr">
        <is>
          <t>PHỤ_KIỆN_VAN</t>
        </is>
      </c>
      <c r="E42" t="inlineStr">
        <is>
          <t>MAT-DAMPER-TRUC-SUS-201-D10</t>
        </is>
      </c>
      <c r="F42" t="inlineStr">
        <is>
          <t>m</t>
        </is>
      </c>
      <c r="G42" s="4" t="n">
        <v>0.92</v>
      </c>
      <c r="H42" s="2">
        <f>XLOOKUP(B42, '00_TONG_HOP_BAO_GIA'!B:B, '00_TONG_HOP_BAO_GIA'!G:G, 1)</f>
        <v/>
      </c>
      <c r="I42" s="5">
        <f>G42*H42</f>
        <v/>
      </c>
      <c r="J42" s="2">
        <f>XLOOKUP(E42, '06_BANG_GIA_VAT_TU_AP_DUNG'!B:B, '06_BANG_GIA_VAT_TU_AP_DUNG'!C:C, "LỖI_MÃ_VT")</f>
        <v/>
      </c>
      <c r="K42" s="2">
        <f>I42*J42</f>
        <v/>
      </c>
      <c r="L42" t="inlineStr">
        <is>
          <t>2 trục dài 460mm</t>
        </is>
      </c>
    </row>
    <row r="43">
      <c r="A43" t="inlineStr">
        <is>
          <t>SW-DAMPER-029-BEARING</t>
        </is>
      </c>
      <c r="B43" t="inlineStr">
        <is>
          <t>SW-DAMPER-029</t>
        </is>
      </c>
      <c r="C43" t="inlineStr">
        <is>
          <t>Bạc đồng D10</t>
        </is>
      </c>
      <c r="D43" t="inlineStr">
        <is>
          <t>PHỤ_KIỆN_VAN</t>
        </is>
      </c>
      <c r="E43" t="inlineStr">
        <is>
          <t>MAT-DAMPER-BAC-DONG-D10</t>
        </is>
      </c>
      <c r="F43" t="inlineStr">
        <is>
          <t>Đôi</t>
        </is>
      </c>
      <c r="G43" s="4" t="n">
        <v>2</v>
      </c>
      <c r="H43" s="2">
        <f>XLOOKUP(B43, '00_TONG_HOP_BAO_GIA'!B:B, '00_TONG_HOP_BAO_GIA'!G:G, 1)</f>
        <v/>
      </c>
      <c r="I43" s="5">
        <f>G43*H43</f>
        <v/>
      </c>
      <c r="J43" s="2">
        <f>XLOOKUP(E43, '06_BANG_GIA_VAT_TU_AP_DUNG'!B:B, '06_BANG_GIA_VAT_TU_AP_DUNG'!C:C, "LỖI_MÃ_VT")</f>
        <v/>
      </c>
      <c r="K43" s="2">
        <f>I43*J43</f>
        <v/>
      </c>
      <c r="L43" t="inlineStr">
        <is>
          <t>2 đôi bạc đỡ 2 bên thân</t>
        </is>
      </c>
    </row>
    <row r="44">
      <c r="A44" t="inlineStr">
        <is>
          <t>SW-DAMPER-029-GEAR</t>
        </is>
      </c>
      <c r="B44" t="inlineStr">
        <is>
          <t>SW-DAMPER-029</t>
        </is>
      </c>
      <c r="C44" t="inlineStr">
        <is>
          <t>Bánh răng van nhôm</t>
        </is>
      </c>
      <c r="D44" t="inlineStr">
        <is>
          <t>PHỤ_KIỆN_VAN</t>
        </is>
      </c>
      <c r="E44" t="inlineStr">
        <is>
          <t>MAT-DAMPER-BANH-RANG-VAN-NHOM</t>
        </is>
      </c>
      <c r="F44" t="inlineStr">
        <is>
          <t>Bộ</t>
        </is>
      </c>
      <c r="G44" s="4" t="n">
        <v>1</v>
      </c>
      <c r="H44" s="2">
        <f>XLOOKUP(B44, '00_TONG_HOP_BAO_GIA'!B:B, '00_TONG_HOP_BAO_GIA'!G:G, 1)</f>
        <v/>
      </c>
      <c r="I44" s="5">
        <f>G44*H44</f>
        <v/>
      </c>
      <c r="J44" s="2">
        <f>XLOOKUP(E44, '06_BANG_GIA_VAT_TU_AP_DUNG'!B:B, '06_BANG_GIA_VAT_TU_AP_DUNG'!C:C, "LỖI_MÃ_VT")</f>
        <v/>
      </c>
      <c r="K44" s="2">
        <f>I44*J44</f>
        <v/>
      </c>
      <c r="L44" t="inlineStr">
        <is>
          <t>Cơ cấu liên động bánh răng van</t>
        </is>
      </c>
    </row>
    <row r="45">
      <c r="A45" t="inlineStr">
        <is>
          <t>SW-DAMPER-029-HANDLE</t>
        </is>
      </c>
      <c r="B45" t="inlineStr">
        <is>
          <t>SW-DAMPER-029</t>
        </is>
      </c>
      <c r="C45" t="inlineStr">
        <is>
          <t>Tay gạt nhỏ</t>
        </is>
      </c>
      <c r="D45" t="inlineStr">
        <is>
          <t>PHỤ_KIỆN_VAN</t>
        </is>
      </c>
      <c r="E45" t="inlineStr">
        <is>
          <t>MAT-DAMPER-TAY-GAT-NHO</t>
        </is>
      </c>
      <c r="F45" t="inlineStr">
        <is>
          <t>Bộ</t>
        </is>
      </c>
      <c r="G45" s="4" t="n">
        <v>1</v>
      </c>
      <c r="H45" s="2">
        <f>XLOOKUP(B45, '00_TONG_HOP_BAO_GIA'!B:B, '00_TONG_HOP_BAO_GIA'!G:G, 1)</f>
        <v/>
      </c>
      <c r="I45" s="5">
        <f>G45*H45</f>
        <v/>
      </c>
      <c r="J45" s="2">
        <f>XLOOKUP(E45, '06_BANG_GIA_VAT_TU_AP_DUNG'!B:B, '06_BANG_GIA_VAT_TU_AP_DUNG'!C:C, "LỖI_MÃ_VT")</f>
        <v/>
      </c>
      <c r="K45" s="2">
        <f>I45*J45</f>
        <v/>
      </c>
      <c r="L45" t="inlineStr">
        <is>
          <t>Tay gạt khóa vị trí nan (S=0.10m2)</t>
        </is>
      </c>
    </row>
    <row r="46">
      <c r="A46" t="inlineStr">
        <is>
          <t>SW-DAMPER-030-BODY</t>
        </is>
      </c>
      <c r="B46" t="inlineStr">
        <is>
          <t>SW-DAMPER-030</t>
        </is>
      </c>
      <c r="C46" t="inlineStr">
        <is>
          <t>Thân vỏ van VCD bích TDF (0.75mm)</t>
        </is>
      </c>
      <c r="D46" t="inlineStr">
        <is>
          <t>TÔN_CUỘN_MẠ_KẼM</t>
        </is>
      </c>
      <c r="E46" t="inlineStr">
        <is>
          <t>MAT-STEEL-PN-0.75</t>
        </is>
      </c>
      <c r="F46" t="inlineStr">
        <is>
          <t>kg</t>
        </is>
      </c>
      <c r="G46" s="4" t="n">
        <v>2.492532</v>
      </c>
      <c r="H46" s="2">
        <f>XLOOKUP(B46, '00_TONG_HOP_BAO_GIA'!B:B, '00_TONG_HOP_BAO_GIA'!G:G, 1)</f>
        <v/>
      </c>
      <c r="I46" s="5">
        <f>G46*H46</f>
        <v/>
      </c>
      <c r="J46" s="2">
        <f>XLOOKUP(E46, '06_BANG_GIA_VAT_TU_AP_DUNG'!B:B, '06_BANG_GIA_VAT_TU_AP_DUNG'!C:C, "LỖI_MÃ_VT")</f>
        <v/>
      </c>
      <c r="K46" s="2">
        <f>I46*J46</f>
        <v/>
      </c>
      <c r="L46" t="inlineStr">
        <is>
          <t>Kích thước vỏ 400.0x300.0x210mm</t>
        </is>
      </c>
    </row>
    <row r="47">
      <c r="A47" t="inlineStr">
        <is>
          <t>SW-DAMPER-030-BLADE</t>
        </is>
      </c>
      <c r="B47" t="inlineStr">
        <is>
          <t>SW-DAMPER-030</t>
        </is>
      </c>
      <c r="C47" t="inlineStr">
        <is>
          <t>Lá cánh van (2 cánh overlap)</t>
        </is>
      </c>
      <c r="D47" t="inlineStr">
        <is>
          <t>TÔN_CUỘN_MẠ_KẼM</t>
        </is>
      </c>
      <c r="E47" t="inlineStr">
        <is>
          <t>MAT-STEEL-PN-0.75</t>
        </is>
      </c>
      <c r="F47" t="inlineStr">
        <is>
          <t>kg</t>
        </is>
      </c>
      <c r="G47" s="4" t="n">
        <v>0.864756</v>
      </c>
      <c r="H47" s="2">
        <f>XLOOKUP(B47, '00_TONG_HOP_BAO_GIA'!B:B, '00_TONG_HOP_BAO_GIA'!G:G, 1)</f>
        <v/>
      </c>
      <c r="I47" s="5">
        <f>G47*H47</f>
        <v/>
      </c>
      <c r="J47" s="2">
        <f>XLOOKUP(E47, '06_BANG_GIA_VAT_TU_AP_DUNG'!B:B, '06_BANG_GIA_VAT_TU_AP_DUNG'!C:C, "LỖI_MÃ_VT")</f>
        <v/>
      </c>
      <c r="K47" s="2">
        <f>I47*J47</f>
        <v/>
      </c>
      <c r="L47" t="inlineStr">
        <is>
          <t>2 cánh cao 170mm</t>
        </is>
      </c>
    </row>
    <row r="48">
      <c r="A48" t="inlineStr">
        <is>
          <t>SW-DAMPER-030-AXLE</t>
        </is>
      </c>
      <c r="B48" t="inlineStr">
        <is>
          <t>SW-DAMPER-030</t>
        </is>
      </c>
      <c r="C48" t="inlineStr">
        <is>
          <t>Trục Sus 201 D10</t>
        </is>
      </c>
      <c r="D48" t="inlineStr">
        <is>
          <t>PHỤ_KIỆN_VAN</t>
        </is>
      </c>
      <c r="E48" t="inlineStr">
        <is>
          <t>MAT-DAMPER-TRUC-SUS-201-D10</t>
        </is>
      </c>
      <c r="F48" t="inlineStr">
        <is>
          <t>m</t>
        </is>
      </c>
      <c r="G48" s="4" t="n">
        <v>0.92</v>
      </c>
      <c r="H48" s="2">
        <f>XLOOKUP(B48, '00_TONG_HOP_BAO_GIA'!B:B, '00_TONG_HOP_BAO_GIA'!G:G, 1)</f>
        <v/>
      </c>
      <c r="I48" s="5">
        <f>G48*H48</f>
        <v/>
      </c>
      <c r="J48" s="2">
        <f>XLOOKUP(E48, '06_BANG_GIA_VAT_TU_AP_DUNG'!B:B, '06_BANG_GIA_VAT_TU_AP_DUNG'!C:C, "LỖI_MÃ_VT")</f>
        <v/>
      </c>
      <c r="K48" s="2">
        <f>I48*J48</f>
        <v/>
      </c>
      <c r="L48" t="inlineStr">
        <is>
          <t>2 trục dài 460mm</t>
        </is>
      </c>
    </row>
    <row r="49">
      <c r="A49" t="inlineStr">
        <is>
          <t>SW-DAMPER-030-BEARING</t>
        </is>
      </c>
      <c r="B49" t="inlineStr">
        <is>
          <t>SW-DAMPER-030</t>
        </is>
      </c>
      <c r="C49" t="inlineStr">
        <is>
          <t>Bạc đồng D10</t>
        </is>
      </c>
      <c r="D49" t="inlineStr">
        <is>
          <t>PHỤ_KIỆN_VAN</t>
        </is>
      </c>
      <c r="E49" t="inlineStr">
        <is>
          <t>MAT-DAMPER-BAC-DONG-D10</t>
        </is>
      </c>
      <c r="F49" t="inlineStr">
        <is>
          <t>Đôi</t>
        </is>
      </c>
      <c r="G49" s="4" t="n">
        <v>2</v>
      </c>
      <c r="H49" s="2">
        <f>XLOOKUP(B49, '00_TONG_HOP_BAO_GIA'!B:B, '00_TONG_HOP_BAO_GIA'!G:G, 1)</f>
        <v/>
      </c>
      <c r="I49" s="5">
        <f>G49*H49</f>
        <v/>
      </c>
      <c r="J49" s="2">
        <f>XLOOKUP(E49, '06_BANG_GIA_VAT_TU_AP_DUNG'!B:B, '06_BANG_GIA_VAT_TU_AP_DUNG'!C:C, "LỖI_MÃ_VT")</f>
        <v/>
      </c>
      <c r="K49" s="2">
        <f>I49*J49</f>
        <v/>
      </c>
      <c r="L49" t="inlineStr">
        <is>
          <t>2 đôi bạc đỡ 2 bên thân</t>
        </is>
      </c>
    </row>
    <row r="50">
      <c r="A50" t="inlineStr">
        <is>
          <t>SW-DAMPER-030-GEAR</t>
        </is>
      </c>
      <c r="B50" t="inlineStr">
        <is>
          <t>SW-DAMPER-030</t>
        </is>
      </c>
      <c r="C50" t="inlineStr">
        <is>
          <t>Bánh răng van nhôm</t>
        </is>
      </c>
      <c r="D50" t="inlineStr">
        <is>
          <t>PHỤ_KIỆN_VAN</t>
        </is>
      </c>
      <c r="E50" t="inlineStr">
        <is>
          <t>MAT-DAMPER-BANH-RANG-VAN-NHOM</t>
        </is>
      </c>
      <c r="F50" t="inlineStr">
        <is>
          <t>Bộ</t>
        </is>
      </c>
      <c r="G50" s="4" t="n">
        <v>1</v>
      </c>
      <c r="H50" s="2">
        <f>XLOOKUP(B50, '00_TONG_HOP_BAO_GIA'!B:B, '00_TONG_HOP_BAO_GIA'!G:G, 1)</f>
        <v/>
      </c>
      <c r="I50" s="5">
        <f>G50*H50</f>
        <v/>
      </c>
      <c r="J50" s="2">
        <f>XLOOKUP(E50, '06_BANG_GIA_VAT_TU_AP_DUNG'!B:B, '06_BANG_GIA_VAT_TU_AP_DUNG'!C:C, "LỖI_MÃ_VT")</f>
        <v/>
      </c>
      <c r="K50" s="2">
        <f>I50*J50</f>
        <v/>
      </c>
      <c r="L50" t="inlineStr">
        <is>
          <t>Cơ cấu liên động bánh răng van</t>
        </is>
      </c>
    </row>
    <row r="51">
      <c r="A51" t="inlineStr">
        <is>
          <t>SW-DAMPER-030-HANDLE</t>
        </is>
      </c>
      <c r="B51" t="inlineStr">
        <is>
          <t>SW-DAMPER-030</t>
        </is>
      </c>
      <c r="C51" t="inlineStr">
        <is>
          <t>Tay gạt nhỏ</t>
        </is>
      </c>
      <c r="D51" t="inlineStr">
        <is>
          <t>PHỤ_KIỆN_VAN</t>
        </is>
      </c>
      <c r="E51" t="inlineStr">
        <is>
          <t>MAT-DAMPER-TAY-GAT-NHO</t>
        </is>
      </c>
      <c r="F51" t="inlineStr">
        <is>
          <t>Bộ</t>
        </is>
      </c>
      <c r="G51" s="4" t="n">
        <v>1</v>
      </c>
      <c r="H51" s="2">
        <f>XLOOKUP(B51, '00_TONG_HOP_BAO_GIA'!B:B, '00_TONG_HOP_BAO_GIA'!G:G, 1)</f>
        <v/>
      </c>
      <c r="I51" s="5">
        <f>G51*H51</f>
        <v/>
      </c>
      <c r="J51" s="2">
        <f>XLOOKUP(E51, '06_BANG_GIA_VAT_TU_AP_DUNG'!B:B, '06_BANG_GIA_VAT_TU_AP_DUNG'!C:C, "LỖI_MÃ_VT")</f>
        <v/>
      </c>
      <c r="K51" s="2">
        <f>I51*J51</f>
        <v/>
      </c>
      <c r="L51" t="inlineStr">
        <is>
          <t>Tay gạt khóa vị trí nan (S=0.12m2)</t>
        </is>
      </c>
    </row>
    <row r="52">
      <c r="A52" t="inlineStr">
        <is>
          <t>SW-DAMPER-031-BODY</t>
        </is>
      </c>
      <c r="B52" t="inlineStr">
        <is>
          <t>SW-DAMPER-031</t>
        </is>
      </c>
      <c r="C52" t="inlineStr">
        <is>
          <t>Thân vỏ van VCD bích TDF (0.75mm)</t>
        </is>
      </c>
      <c r="D52" t="inlineStr">
        <is>
          <t>TÔN_CUỘN_MẠ_KẼM</t>
        </is>
      </c>
      <c r="E52" t="inlineStr">
        <is>
          <t>MAT-STEEL-PN-0.75</t>
        </is>
      </c>
      <c r="F52" t="inlineStr">
        <is>
          <t>kg</t>
        </is>
      </c>
      <c r="G52" s="4" t="n">
        <v>2.492532</v>
      </c>
      <c r="H52" s="2">
        <f>XLOOKUP(B52, '00_TONG_HOP_BAO_GIA'!B:B, '00_TONG_HOP_BAO_GIA'!G:G, 1)</f>
        <v/>
      </c>
      <c r="I52" s="5">
        <f>G52*H52</f>
        <v/>
      </c>
      <c r="J52" s="2">
        <f>XLOOKUP(E52, '06_BANG_GIA_VAT_TU_AP_DUNG'!B:B, '06_BANG_GIA_VAT_TU_AP_DUNG'!C:C, "LỖI_MÃ_VT")</f>
        <v/>
      </c>
      <c r="K52" s="2">
        <f>I52*J52</f>
        <v/>
      </c>
      <c r="L52" t="inlineStr">
        <is>
          <t>Kích thước vỏ 450.0x250.0x210mm</t>
        </is>
      </c>
    </row>
    <row r="53">
      <c r="A53" t="inlineStr">
        <is>
          <t>SW-DAMPER-031-BLADE</t>
        </is>
      </c>
      <c r="B53" t="inlineStr">
        <is>
          <t>SW-DAMPER-031</t>
        </is>
      </c>
      <c r="C53" t="inlineStr">
        <is>
          <t>Lá cánh van (2 cánh overlap)</t>
        </is>
      </c>
      <c r="D53" t="inlineStr">
        <is>
          <t>TÔN_CUỘN_MẠ_KẼM</t>
        </is>
      </c>
      <c r="E53" t="inlineStr">
        <is>
          <t>MAT-STEEL-PN-0.75</t>
        </is>
      </c>
      <c r="F53" t="inlineStr">
        <is>
          <t>kg</t>
        </is>
      </c>
      <c r="G53" s="4" t="n">
        <v>0.82978425</v>
      </c>
      <c r="H53" s="2">
        <f>XLOOKUP(B53, '00_TONG_HOP_BAO_GIA'!B:B, '00_TONG_HOP_BAO_GIA'!G:G, 1)</f>
        <v/>
      </c>
      <c r="I53" s="5">
        <f>G53*H53</f>
        <v/>
      </c>
      <c r="J53" s="2">
        <f>XLOOKUP(E53, '06_BANG_GIA_VAT_TU_AP_DUNG'!B:B, '06_BANG_GIA_VAT_TU_AP_DUNG'!C:C, "LỖI_MÃ_VT")</f>
        <v/>
      </c>
      <c r="K53" s="2">
        <f>I53*J53</f>
        <v/>
      </c>
      <c r="L53" t="inlineStr">
        <is>
          <t>2 cánh cao 145mm</t>
        </is>
      </c>
    </row>
    <row r="54">
      <c r="A54" t="inlineStr">
        <is>
          <t>SW-DAMPER-031-AXLE</t>
        </is>
      </c>
      <c r="B54" t="inlineStr">
        <is>
          <t>SW-DAMPER-031</t>
        </is>
      </c>
      <c r="C54" t="inlineStr">
        <is>
          <t>Trục Sus 201 D10</t>
        </is>
      </c>
      <c r="D54" t="inlineStr">
        <is>
          <t>PHỤ_KIỆN_VAN</t>
        </is>
      </c>
      <c r="E54" t="inlineStr">
        <is>
          <t>MAT-DAMPER-TRUC-SUS-201-D10</t>
        </is>
      </c>
      <c r="F54" t="inlineStr">
        <is>
          <t>m</t>
        </is>
      </c>
      <c r="G54" s="4" t="n">
        <v>1.02</v>
      </c>
      <c r="H54" s="2">
        <f>XLOOKUP(B54, '00_TONG_HOP_BAO_GIA'!B:B, '00_TONG_HOP_BAO_GIA'!G:G, 1)</f>
        <v/>
      </c>
      <c r="I54" s="5">
        <f>G54*H54</f>
        <v/>
      </c>
      <c r="J54" s="2">
        <f>XLOOKUP(E54, '06_BANG_GIA_VAT_TU_AP_DUNG'!B:B, '06_BANG_GIA_VAT_TU_AP_DUNG'!C:C, "LỖI_MÃ_VT")</f>
        <v/>
      </c>
      <c r="K54" s="2">
        <f>I54*J54</f>
        <v/>
      </c>
      <c r="L54" t="inlineStr">
        <is>
          <t>2 trục dài 510mm</t>
        </is>
      </c>
    </row>
    <row r="55">
      <c r="A55" t="inlineStr">
        <is>
          <t>SW-DAMPER-031-BEARING</t>
        </is>
      </c>
      <c r="B55" t="inlineStr">
        <is>
          <t>SW-DAMPER-031</t>
        </is>
      </c>
      <c r="C55" t="inlineStr">
        <is>
          <t>Bạc đồng D10</t>
        </is>
      </c>
      <c r="D55" t="inlineStr">
        <is>
          <t>PHỤ_KIỆN_VAN</t>
        </is>
      </c>
      <c r="E55" t="inlineStr">
        <is>
          <t>MAT-DAMPER-BAC-DONG-D10</t>
        </is>
      </c>
      <c r="F55" t="inlineStr">
        <is>
          <t>Đôi</t>
        </is>
      </c>
      <c r="G55" s="4" t="n">
        <v>2</v>
      </c>
      <c r="H55" s="2">
        <f>XLOOKUP(B55, '00_TONG_HOP_BAO_GIA'!B:B, '00_TONG_HOP_BAO_GIA'!G:G, 1)</f>
        <v/>
      </c>
      <c r="I55" s="5">
        <f>G55*H55</f>
        <v/>
      </c>
      <c r="J55" s="2">
        <f>XLOOKUP(E55, '06_BANG_GIA_VAT_TU_AP_DUNG'!B:B, '06_BANG_GIA_VAT_TU_AP_DUNG'!C:C, "LỖI_MÃ_VT")</f>
        <v/>
      </c>
      <c r="K55" s="2">
        <f>I55*J55</f>
        <v/>
      </c>
      <c r="L55" t="inlineStr">
        <is>
          <t>2 đôi bạc đỡ 2 bên thân</t>
        </is>
      </c>
    </row>
    <row r="56">
      <c r="A56" t="inlineStr">
        <is>
          <t>SW-DAMPER-031-GEAR</t>
        </is>
      </c>
      <c r="B56" t="inlineStr">
        <is>
          <t>SW-DAMPER-031</t>
        </is>
      </c>
      <c r="C56" t="inlineStr">
        <is>
          <t>Bánh răng van nhôm</t>
        </is>
      </c>
      <c r="D56" t="inlineStr">
        <is>
          <t>PHỤ_KIỆN_VAN</t>
        </is>
      </c>
      <c r="E56" t="inlineStr">
        <is>
          <t>MAT-DAMPER-BANH-RANG-VAN-NHOM</t>
        </is>
      </c>
      <c r="F56" t="inlineStr">
        <is>
          <t>Bộ</t>
        </is>
      </c>
      <c r="G56" s="4" t="n">
        <v>1</v>
      </c>
      <c r="H56" s="2">
        <f>XLOOKUP(B56, '00_TONG_HOP_BAO_GIA'!B:B, '00_TONG_HOP_BAO_GIA'!G:G, 1)</f>
        <v/>
      </c>
      <c r="I56" s="5">
        <f>G56*H56</f>
        <v/>
      </c>
      <c r="J56" s="2">
        <f>XLOOKUP(E56, '06_BANG_GIA_VAT_TU_AP_DUNG'!B:B, '06_BANG_GIA_VAT_TU_AP_DUNG'!C:C, "LỖI_MÃ_VT")</f>
        <v/>
      </c>
      <c r="K56" s="2">
        <f>I56*J56</f>
        <v/>
      </c>
      <c r="L56" t="inlineStr">
        <is>
          <t>Cơ cấu liên động bánh răng van</t>
        </is>
      </c>
    </row>
    <row r="57">
      <c r="A57" t="inlineStr">
        <is>
          <t>SW-DAMPER-031-HANDLE</t>
        </is>
      </c>
      <c r="B57" t="inlineStr">
        <is>
          <t>SW-DAMPER-031</t>
        </is>
      </c>
      <c r="C57" t="inlineStr">
        <is>
          <t>Tay gạt nhỏ</t>
        </is>
      </c>
      <c r="D57" t="inlineStr">
        <is>
          <t>PHỤ_KIỆN_VAN</t>
        </is>
      </c>
      <c r="E57" t="inlineStr">
        <is>
          <t>MAT-DAMPER-TAY-GAT-NHO</t>
        </is>
      </c>
      <c r="F57" t="inlineStr">
        <is>
          <t>Bộ</t>
        </is>
      </c>
      <c r="G57" s="4" t="n">
        <v>1</v>
      </c>
      <c r="H57" s="2">
        <f>XLOOKUP(B57, '00_TONG_HOP_BAO_GIA'!B:B, '00_TONG_HOP_BAO_GIA'!G:G, 1)</f>
        <v/>
      </c>
      <c r="I57" s="5">
        <f>G57*H57</f>
        <v/>
      </c>
      <c r="J57" s="2">
        <f>XLOOKUP(E57, '06_BANG_GIA_VAT_TU_AP_DUNG'!B:B, '06_BANG_GIA_VAT_TU_AP_DUNG'!C:C, "LỖI_MÃ_VT")</f>
        <v/>
      </c>
      <c r="K57" s="2">
        <f>I57*J57</f>
        <v/>
      </c>
      <c r="L57" t="inlineStr">
        <is>
          <t>Tay gạt khóa vị trí nan (S=0.11m2)</t>
        </is>
      </c>
    </row>
    <row r="58">
      <c r="A58" t="inlineStr">
        <is>
          <t>SW-DAMPER-032-BODY</t>
        </is>
      </c>
      <c r="B58" t="inlineStr">
        <is>
          <t>SW-DAMPER-032</t>
        </is>
      </c>
      <c r="C58" t="inlineStr">
        <is>
          <t>Thân vỏ van VCD bích TDF (0.75mm)</t>
        </is>
      </c>
      <c r="D58" t="inlineStr">
        <is>
          <t>TÔN_CUỘN_MẠ_KẼM</t>
        </is>
      </c>
      <c r="E58" t="inlineStr">
        <is>
          <t>MAT-STEEL-PN-0.75</t>
        </is>
      </c>
      <c r="F58" t="inlineStr">
        <is>
          <t>kg</t>
        </is>
      </c>
      <c r="G58" s="4" t="n">
        <v>2.838717</v>
      </c>
      <c r="H58" s="2">
        <f>XLOOKUP(B58, '00_TONG_HOP_BAO_GIA'!B:B, '00_TONG_HOP_BAO_GIA'!G:G, 1)</f>
        <v/>
      </c>
      <c r="I58" s="5">
        <f>G58*H58</f>
        <v/>
      </c>
      <c r="J58" s="2">
        <f>XLOOKUP(E58, '06_BANG_GIA_VAT_TU_AP_DUNG'!B:B, '06_BANG_GIA_VAT_TU_AP_DUNG'!C:C, "LỖI_MÃ_VT")</f>
        <v/>
      </c>
      <c r="K58" s="2">
        <f>I58*J58</f>
        <v/>
      </c>
      <c r="L58" t="inlineStr">
        <is>
          <t>Kích thước vỏ 500.0x300.0x210mm</t>
        </is>
      </c>
    </row>
    <row r="59">
      <c r="A59" t="inlineStr">
        <is>
          <t>SW-DAMPER-032-BLADE</t>
        </is>
      </c>
      <c r="B59" t="inlineStr">
        <is>
          <t>SW-DAMPER-032</t>
        </is>
      </c>
      <c r="C59" t="inlineStr">
        <is>
          <t>Lá cánh van (2 cánh overlap)</t>
        </is>
      </c>
      <c r="D59" t="inlineStr">
        <is>
          <t>TÔN_CUỘN_MẠ_KẼM</t>
        </is>
      </c>
      <c r="E59" t="inlineStr">
        <is>
          <t>MAT-STEEL-PN-0.75</t>
        </is>
      </c>
      <c r="F59" t="inlineStr">
        <is>
          <t>kg</t>
        </is>
      </c>
      <c r="G59" s="4" t="n">
        <v>1.080945</v>
      </c>
      <c r="H59" s="2">
        <f>XLOOKUP(B59, '00_TONG_HOP_BAO_GIA'!B:B, '00_TONG_HOP_BAO_GIA'!G:G, 1)</f>
        <v/>
      </c>
      <c r="I59" s="5">
        <f>G59*H59</f>
        <v/>
      </c>
      <c r="J59" s="2">
        <f>XLOOKUP(E59, '06_BANG_GIA_VAT_TU_AP_DUNG'!B:B, '06_BANG_GIA_VAT_TU_AP_DUNG'!C:C, "LỖI_MÃ_VT")</f>
        <v/>
      </c>
      <c r="K59" s="2">
        <f>I59*J59</f>
        <v/>
      </c>
      <c r="L59" t="inlineStr">
        <is>
          <t>2 cánh cao 170mm</t>
        </is>
      </c>
    </row>
    <row r="60">
      <c r="A60" t="inlineStr">
        <is>
          <t>SW-DAMPER-032-AXLE</t>
        </is>
      </c>
      <c r="B60" t="inlineStr">
        <is>
          <t>SW-DAMPER-032</t>
        </is>
      </c>
      <c r="C60" t="inlineStr">
        <is>
          <t>Trục Sus 201 D10</t>
        </is>
      </c>
      <c r="D60" t="inlineStr">
        <is>
          <t>PHỤ_KIỆN_VAN</t>
        </is>
      </c>
      <c r="E60" t="inlineStr">
        <is>
          <t>MAT-DAMPER-TRUC-SUS-201-D10</t>
        </is>
      </c>
      <c r="F60" t="inlineStr">
        <is>
          <t>m</t>
        </is>
      </c>
      <c r="G60" s="4" t="n">
        <v>1.12</v>
      </c>
      <c r="H60" s="2">
        <f>XLOOKUP(B60, '00_TONG_HOP_BAO_GIA'!B:B, '00_TONG_HOP_BAO_GIA'!G:G, 1)</f>
        <v/>
      </c>
      <c r="I60" s="5">
        <f>G60*H60</f>
        <v/>
      </c>
      <c r="J60" s="2">
        <f>XLOOKUP(E60, '06_BANG_GIA_VAT_TU_AP_DUNG'!B:B, '06_BANG_GIA_VAT_TU_AP_DUNG'!C:C, "LỖI_MÃ_VT")</f>
        <v/>
      </c>
      <c r="K60" s="2">
        <f>I60*J60</f>
        <v/>
      </c>
      <c r="L60" t="inlineStr">
        <is>
          <t>2 trục dài 560mm</t>
        </is>
      </c>
    </row>
    <row r="61">
      <c r="A61" t="inlineStr">
        <is>
          <t>SW-DAMPER-032-BEARING</t>
        </is>
      </c>
      <c r="B61" t="inlineStr">
        <is>
          <t>SW-DAMPER-032</t>
        </is>
      </c>
      <c r="C61" t="inlineStr">
        <is>
          <t>Bạc đồng D10</t>
        </is>
      </c>
      <c r="D61" t="inlineStr">
        <is>
          <t>PHỤ_KIỆN_VAN</t>
        </is>
      </c>
      <c r="E61" t="inlineStr">
        <is>
          <t>MAT-DAMPER-BAC-DONG-D10</t>
        </is>
      </c>
      <c r="F61" t="inlineStr">
        <is>
          <t>Đôi</t>
        </is>
      </c>
      <c r="G61" s="4" t="n">
        <v>2</v>
      </c>
      <c r="H61" s="2">
        <f>XLOOKUP(B61, '00_TONG_HOP_BAO_GIA'!B:B, '00_TONG_HOP_BAO_GIA'!G:G, 1)</f>
        <v/>
      </c>
      <c r="I61" s="5">
        <f>G61*H61</f>
        <v/>
      </c>
      <c r="J61" s="2">
        <f>XLOOKUP(E61, '06_BANG_GIA_VAT_TU_AP_DUNG'!B:B, '06_BANG_GIA_VAT_TU_AP_DUNG'!C:C, "LỖI_MÃ_VT")</f>
        <v/>
      </c>
      <c r="K61" s="2">
        <f>I61*J61</f>
        <v/>
      </c>
      <c r="L61" t="inlineStr">
        <is>
          <t>2 đôi bạc đỡ 2 bên thân</t>
        </is>
      </c>
    </row>
    <row r="62">
      <c r="A62" t="inlineStr">
        <is>
          <t>SW-DAMPER-032-GEAR</t>
        </is>
      </c>
      <c r="B62" t="inlineStr">
        <is>
          <t>SW-DAMPER-032</t>
        </is>
      </c>
      <c r="C62" t="inlineStr">
        <is>
          <t>Bánh răng van nhôm</t>
        </is>
      </c>
      <c r="D62" t="inlineStr">
        <is>
          <t>PHỤ_KIỆN_VAN</t>
        </is>
      </c>
      <c r="E62" t="inlineStr">
        <is>
          <t>MAT-DAMPER-BANH-RANG-VAN-NHOM</t>
        </is>
      </c>
      <c r="F62" t="inlineStr">
        <is>
          <t>Bộ</t>
        </is>
      </c>
      <c r="G62" s="4" t="n">
        <v>1</v>
      </c>
      <c r="H62" s="2">
        <f>XLOOKUP(B62, '00_TONG_HOP_BAO_GIA'!B:B, '00_TONG_HOP_BAO_GIA'!G:G, 1)</f>
        <v/>
      </c>
      <c r="I62" s="5">
        <f>G62*H62</f>
        <v/>
      </c>
      <c r="J62" s="2">
        <f>XLOOKUP(E62, '06_BANG_GIA_VAT_TU_AP_DUNG'!B:B, '06_BANG_GIA_VAT_TU_AP_DUNG'!C:C, "LỖI_MÃ_VT")</f>
        <v/>
      </c>
      <c r="K62" s="2">
        <f>I62*J62</f>
        <v/>
      </c>
      <c r="L62" t="inlineStr">
        <is>
          <t>Cơ cấu liên động bánh răng van</t>
        </is>
      </c>
    </row>
    <row r="63">
      <c r="A63" t="inlineStr">
        <is>
          <t>SW-DAMPER-032-HANDLE</t>
        </is>
      </c>
      <c r="B63" t="inlineStr">
        <is>
          <t>SW-DAMPER-032</t>
        </is>
      </c>
      <c r="C63" t="inlineStr">
        <is>
          <t>Tay gạt nhỏ</t>
        </is>
      </c>
      <c r="D63" t="inlineStr">
        <is>
          <t>PHỤ_KIỆN_VAN</t>
        </is>
      </c>
      <c r="E63" t="inlineStr">
        <is>
          <t>MAT-DAMPER-TAY-GAT-NHO</t>
        </is>
      </c>
      <c r="F63" t="inlineStr">
        <is>
          <t>Bộ</t>
        </is>
      </c>
      <c r="G63" s="4" t="n">
        <v>1</v>
      </c>
      <c r="H63" s="2">
        <f>XLOOKUP(B63, '00_TONG_HOP_BAO_GIA'!B:B, '00_TONG_HOP_BAO_GIA'!G:G, 1)</f>
        <v/>
      </c>
      <c r="I63" s="5">
        <f>G63*H63</f>
        <v/>
      </c>
      <c r="J63" s="2">
        <f>XLOOKUP(E63, '06_BANG_GIA_VAT_TU_AP_DUNG'!B:B, '06_BANG_GIA_VAT_TU_AP_DUNG'!C:C, "LỖI_MÃ_VT")</f>
        <v/>
      </c>
      <c r="K63" s="2">
        <f>I63*J63</f>
        <v/>
      </c>
      <c r="L63" t="inlineStr">
        <is>
          <t>Tay gạt khóa vị trí nan (S=0.15m2)</t>
        </is>
      </c>
    </row>
    <row r="64">
      <c r="A64" t="inlineStr">
        <is>
          <t>SW-DAMPER-033-BODY</t>
        </is>
      </c>
      <c r="B64" t="inlineStr">
        <is>
          <t>SW-DAMPER-033</t>
        </is>
      </c>
      <c r="C64" t="inlineStr">
        <is>
          <t>Thân vỏ van VCD bích TDF (0.75mm)</t>
        </is>
      </c>
      <c r="D64" t="inlineStr">
        <is>
          <t>TÔN_CUỘN_MẠ_KẼM</t>
        </is>
      </c>
      <c r="E64" t="inlineStr">
        <is>
          <t>MAT-STEEL-PN-0.75</t>
        </is>
      </c>
      <c r="F64" t="inlineStr">
        <is>
          <t>kg</t>
        </is>
      </c>
      <c r="G64" s="4" t="n">
        <v>2.6656245</v>
      </c>
      <c r="H64" s="2">
        <f>XLOOKUP(B64, '00_TONG_HOP_BAO_GIA'!B:B, '00_TONG_HOP_BAO_GIA'!G:G, 1)</f>
        <v/>
      </c>
      <c r="I64" s="5">
        <f>G64*H64</f>
        <v/>
      </c>
      <c r="J64" s="2">
        <f>XLOOKUP(E64, '06_BANG_GIA_VAT_TU_AP_DUNG'!B:B, '06_BANG_GIA_VAT_TU_AP_DUNG'!C:C, "LỖI_MÃ_VT")</f>
        <v/>
      </c>
      <c r="K64" s="2">
        <f>I64*J64</f>
        <v/>
      </c>
      <c r="L64" t="inlineStr">
        <is>
          <t>Kích thước vỏ 500.0x250.0x210mm</t>
        </is>
      </c>
    </row>
    <row r="65">
      <c r="A65" t="inlineStr">
        <is>
          <t>SW-DAMPER-033-BLADE</t>
        </is>
      </c>
      <c r="B65" t="inlineStr">
        <is>
          <t>SW-DAMPER-033</t>
        </is>
      </c>
      <c r="C65" t="inlineStr">
        <is>
          <t>Lá cánh van (2 cánh overlap)</t>
        </is>
      </c>
      <c r="D65" t="inlineStr">
        <is>
          <t>TÔN_CUỘN_MẠ_KẼM</t>
        </is>
      </c>
      <c r="E65" t="inlineStr">
        <is>
          <t>MAT-STEEL-PN-0.75</t>
        </is>
      </c>
      <c r="F65" t="inlineStr">
        <is>
          <t>kg</t>
        </is>
      </c>
      <c r="G65" s="4" t="n">
        <v>0.9219824999999998</v>
      </c>
      <c r="H65" s="2">
        <f>XLOOKUP(B65, '00_TONG_HOP_BAO_GIA'!B:B, '00_TONG_HOP_BAO_GIA'!G:G, 1)</f>
        <v/>
      </c>
      <c r="I65" s="5">
        <f>G65*H65</f>
        <v/>
      </c>
      <c r="J65" s="2">
        <f>XLOOKUP(E65, '06_BANG_GIA_VAT_TU_AP_DUNG'!B:B, '06_BANG_GIA_VAT_TU_AP_DUNG'!C:C, "LỖI_MÃ_VT")</f>
        <v/>
      </c>
      <c r="K65" s="2">
        <f>I65*J65</f>
        <v/>
      </c>
      <c r="L65" t="inlineStr">
        <is>
          <t>2 cánh cao 145mm</t>
        </is>
      </c>
    </row>
    <row r="66">
      <c r="A66" t="inlineStr">
        <is>
          <t>SW-DAMPER-033-AXLE</t>
        </is>
      </c>
      <c r="B66" t="inlineStr">
        <is>
          <t>SW-DAMPER-033</t>
        </is>
      </c>
      <c r="C66" t="inlineStr">
        <is>
          <t>Trục Sus 201 D10</t>
        </is>
      </c>
      <c r="D66" t="inlineStr">
        <is>
          <t>PHỤ_KIỆN_VAN</t>
        </is>
      </c>
      <c r="E66" t="inlineStr">
        <is>
          <t>MAT-DAMPER-TRUC-SUS-201-D10</t>
        </is>
      </c>
      <c r="F66" t="inlineStr">
        <is>
          <t>m</t>
        </is>
      </c>
      <c r="G66" s="4" t="n">
        <v>1.12</v>
      </c>
      <c r="H66" s="2">
        <f>XLOOKUP(B66, '00_TONG_HOP_BAO_GIA'!B:B, '00_TONG_HOP_BAO_GIA'!G:G, 1)</f>
        <v/>
      </c>
      <c r="I66" s="5">
        <f>G66*H66</f>
        <v/>
      </c>
      <c r="J66" s="2">
        <f>XLOOKUP(E66, '06_BANG_GIA_VAT_TU_AP_DUNG'!B:B, '06_BANG_GIA_VAT_TU_AP_DUNG'!C:C, "LỖI_MÃ_VT")</f>
        <v/>
      </c>
      <c r="K66" s="2">
        <f>I66*J66</f>
        <v/>
      </c>
      <c r="L66" t="inlineStr">
        <is>
          <t>2 trục dài 560mm</t>
        </is>
      </c>
    </row>
    <row r="67">
      <c r="A67" t="inlineStr">
        <is>
          <t>SW-DAMPER-033-BEARING</t>
        </is>
      </c>
      <c r="B67" t="inlineStr">
        <is>
          <t>SW-DAMPER-033</t>
        </is>
      </c>
      <c r="C67" t="inlineStr">
        <is>
          <t>Bạc đồng D10</t>
        </is>
      </c>
      <c r="D67" t="inlineStr">
        <is>
          <t>PHỤ_KIỆN_VAN</t>
        </is>
      </c>
      <c r="E67" t="inlineStr">
        <is>
          <t>MAT-DAMPER-BAC-DONG-D10</t>
        </is>
      </c>
      <c r="F67" t="inlineStr">
        <is>
          <t>Đôi</t>
        </is>
      </c>
      <c r="G67" s="4" t="n">
        <v>2</v>
      </c>
      <c r="H67" s="2">
        <f>XLOOKUP(B67, '00_TONG_HOP_BAO_GIA'!B:B, '00_TONG_HOP_BAO_GIA'!G:G, 1)</f>
        <v/>
      </c>
      <c r="I67" s="5">
        <f>G67*H67</f>
        <v/>
      </c>
      <c r="J67" s="2">
        <f>XLOOKUP(E67, '06_BANG_GIA_VAT_TU_AP_DUNG'!B:B, '06_BANG_GIA_VAT_TU_AP_DUNG'!C:C, "LỖI_MÃ_VT")</f>
        <v/>
      </c>
      <c r="K67" s="2">
        <f>I67*J67</f>
        <v/>
      </c>
      <c r="L67" t="inlineStr">
        <is>
          <t>2 đôi bạc đỡ 2 bên thân</t>
        </is>
      </c>
    </row>
    <row r="68">
      <c r="A68" t="inlineStr">
        <is>
          <t>SW-DAMPER-033-GEAR</t>
        </is>
      </c>
      <c r="B68" t="inlineStr">
        <is>
          <t>SW-DAMPER-033</t>
        </is>
      </c>
      <c r="C68" t="inlineStr">
        <is>
          <t>Bánh răng van nhôm</t>
        </is>
      </c>
      <c r="D68" t="inlineStr">
        <is>
          <t>PHỤ_KIỆN_VAN</t>
        </is>
      </c>
      <c r="E68" t="inlineStr">
        <is>
          <t>MAT-DAMPER-BANH-RANG-VAN-NHOM</t>
        </is>
      </c>
      <c r="F68" t="inlineStr">
        <is>
          <t>Bộ</t>
        </is>
      </c>
      <c r="G68" s="4" t="n">
        <v>1</v>
      </c>
      <c r="H68" s="2">
        <f>XLOOKUP(B68, '00_TONG_HOP_BAO_GIA'!B:B, '00_TONG_HOP_BAO_GIA'!G:G, 1)</f>
        <v/>
      </c>
      <c r="I68" s="5">
        <f>G68*H68</f>
        <v/>
      </c>
      <c r="J68" s="2">
        <f>XLOOKUP(E68, '06_BANG_GIA_VAT_TU_AP_DUNG'!B:B, '06_BANG_GIA_VAT_TU_AP_DUNG'!C:C, "LỖI_MÃ_VT")</f>
        <v/>
      </c>
      <c r="K68" s="2">
        <f>I68*J68</f>
        <v/>
      </c>
      <c r="L68" t="inlineStr">
        <is>
          <t>Cơ cấu liên động bánh răng van</t>
        </is>
      </c>
    </row>
    <row r="69">
      <c r="A69" t="inlineStr">
        <is>
          <t>SW-DAMPER-033-HANDLE</t>
        </is>
      </c>
      <c r="B69" t="inlineStr">
        <is>
          <t>SW-DAMPER-033</t>
        </is>
      </c>
      <c r="C69" t="inlineStr">
        <is>
          <t>Tay gạt nhỏ</t>
        </is>
      </c>
      <c r="D69" t="inlineStr">
        <is>
          <t>PHỤ_KIỆN_VAN</t>
        </is>
      </c>
      <c r="E69" t="inlineStr">
        <is>
          <t>MAT-DAMPER-TAY-GAT-NHO</t>
        </is>
      </c>
      <c r="F69" t="inlineStr">
        <is>
          <t>Bộ</t>
        </is>
      </c>
      <c r="G69" s="4" t="n">
        <v>1</v>
      </c>
      <c r="H69" s="2">
        <f>XLOOKUP(B69, '00_TONG_HOP_BAO_GIA'!B:B, '00_TONG_HOP_BAO_GIA'!G:G, 1)</f>
        <v/>
      </c>
      <c r="I69" s="5">
        <f>G69*H69</f>
        <v/>
      </c>
      <c r="J69" s="2">
        <f>XLOOKUP(E69, '06_BANG_GIA_VAT_TU_AP_DUNG'!B:B, '06_BANG_GIA_VAT_TU_AP_DUNG'!C:C, "LỖI_MÃ_VT")</f>
        <v/>
      </c>
      <c r="K69" s="2">
        <f>I69*J69</f>
        <v/>
      </c>
      <c r="L69" t="inlineStr">
        <is>
          <t>Tay gạt khóa vị trí nan (S=0.12m2)</t>
        </is>
      </c>
    </row>
    <row r="70">
      <c r="A70" t="inlineStr">
        <is>
          <t>SW-DAMPER-034-BODY</t>
        </is>
      </c>
      <c r="B70" t="inlineStr">
        <is>
          <t>SW-DAMPER-034</t>
        </is>
      </c>
      <c r="C70" t="inlineStr">
        <is>
          <t>Thân vỏ van VCD bích TDF (0.75mm)</t>
        </is>
      </c>
      <c r="D70" t="inlineStr">
        <is>
          <t>TÔN_CUỘN_MẠ_KẼM</t>
        </is>
      </c>
      <c r="E70" t="inlineStr">
        <is>
          <t>MAT-STEEL-PN-0.75</t>
        </is>
      </c>
      <c r="F70" t="inlineStr">
        <is>
          <t>kg</t>
        </is>
      </c>
      <c r="G70" s="4" t="n">
        <v>2.838717</v>
      </c>
      <c r="H70" s="2">
        <f>XLOOKUP(B70, '00_TONG_HOP_BAO_GIA'!B:B, '00_TONG_HOP_BAO_GIA'!G:G, 1)</f>
        <v/>
      </c>
      <c r="I70" s="5">
        <f>G70*H70</f>
        <v/>
      </c>
      <c r="J70" s="2">
        <f>XLOOKUP(E70, '06_BANG_GIA_VAT_TU_AP_DUNG'!B:B, '06_BANG_GIA_VAT_TU_AP_DUNG'!C:C, "LỖI_MÃ_VT")</f>
        <v/>
      </c>
      <c r="K70" s="2">
        <f>I70*J70</f>
        <v/>
      </c>
      <c r="L70" t="inlineStr">
        <is>
          <t>Kích thước vỏ 550.0x250.0x210mm</t>
        </is>
      </c>
    </row>
    <row r="71">
      <c r="A71" t="inlineStr">
        <is>
          <t>SW-DAMPER-034-BLADE</t>
        </is>
      </c>
      <c r="B71" t="inlineStr">
        <is>
          <t>SW-DAMPER-034</t>
        </is>
      </c>
      <c r="C71" t="inlineStr">
        <is>
          <t>Lá cánh van (2 cánh overlap)</t>
        </is>
      </c>
      <c r="D71" t="inlineStr">
        <is>
          <t>TÔN_CUỘN_MẠ_KẼM</t>
        </is>
      </c>
      <c r="E71" t="inlineStr">
        <is>
          <t>MAT-STEEL-PN-0.75</t>
        </is>
      </c>
      <c r="F71" t="inlineStr">
        <is>
          <t>kg</t>
        </is>
      </c>
      <c r="G71" s="4" t="n">
        <v>1.01418075</v>
      </c>
      <c r="H71" s="2">
        <f>XLOOKUP(B71, '00_TONG_HOP_BAO_GIA'!B:B, '00_TONG_HOP_BAO_GIA'!G:G, 1)</f>
        <v/>
      </c>
      <c r="I71" s="5">
        <f>G71*H71</f>
        <v/>
      </c>
      <c r="J71" s="2">
        <f>XLOOKUP(E71, '06_BANG_GIA_VAT_TU_AP_DUNG'!B:B, '06_BANG_GIA_VAT_TU_AP_DUNG'!C:C, "LỖI_MÃ_VT")</f>
        <v/>
      </c>
      <c r="K71" s="2">
        <f>I71*J71</f>
        <v/>
      </c>
      <c r="L71" t="inlineStr">
        <is>
          <t>2 cánh cao 145mm</t>
        </is>
      </c>
    </row>
    <row r="72">
      <c r="A72" t="inlineStr">
        <is>
          <t>SW-DAMPER-034-AXLE</t>
        </is>
      </c>
      <c r="B72" t="inlineStr">
        <is>
          <t>SW-DAMPER-034</t>
        </is>
      </c>
      <c r="C72" t="inlineStr">
        <is>
          <t>Trục Sus 201 D10</t>
        </is>
      </c>
      <c r="D72" t="inlineStr">
        <is>
          <t>PHỤ_KIỆN_VAN</t>
        </is>
      </c>
      <c r="E72" t="inlineStr">
        <is>
          <t>MAT-DAMPER-TRUC-SUS-201-D10</t>
        </is>
      </c>
      <c r="F72" t="inlineStr">
        <is>
          <t>m</t>
        </is>
      </c>
      <c r="G72" s="4" t="n">
        <v>1.22</v>
      </c>
      <c r="H72" s="2">
        <f>XLOOKUP(B72, '00_TONG_HOP_BAO_GIA'!B:B, '00_TONG_HOP_BAO_GIA'!G:G, 1)</f>
        <v/>
      </c>
      <c r="I72" s="5">
        <f>G72*H72</f>
        <v/>
      </c>
      <c r="J72" s="2">
        <f>XLOOKUP(E72, '06_BANG_GIA_VAT_TU_AP_DUNG'!B:B, '06_BANG_GIA_VAT_TU_AP_DUNG'!C:C, "LỖI_MÃ_VT")</f>
        <v/>
      </c>
      <c r="K72" s="2">
        <f>I72*J72</f>
        <v/>
      </c>
      <c r="L72" t="inlineStr">
        <is>
          <t>2 trục dài 610mm</t>
        </is>
      </c>
    </row>
    <row r="73">
      <c r="A73" t="inlineStr">
        <is>
          <t>SW-DAMPER-034-BEARING</t>
        </is>
      </c>
      <c r="B73" t="inlineStr">
        <is>
          <t>SW-DAMPER-034</t>
        </is>
      </c>
      <c r="C73" t="inlineStr">
        <is>
          <t>Bạc đồng D10</t>
        </is>
      </c>
      <c r="D73" t="inlineStr">
        <is>
          <t>PHỤ_KIỆN_VAN</t>
        </is>
      </c>
      <c r="E73" t="inlineStr">
        <is>
          <t>MAT-DAMPER-BAC-DONG-D10</t>
        </is>
      </c>
      <c r="F73" t="inlineStr">
        <is>
          <t>Đôi</t>
        </is>
      </c>
      <c r="G73" s="4" t="n">
        <v>2</v>
      </c>
      <c r="H73" s="2">
        <f>XLOOKUP(B73, '00_TONG_HOP_BAO_GIA'!B:B, '00_TONG_HOP_BAO_GIA'!G:G, 1)</f>
        <v/>
      </c>
      <c r="I73" s="5">
        <f>G73*H73</f>
        <v/>
      </c>
      <c r="J73" s="2">
        <f>XLOOKUP(E73, '06_BANG_GIA_VAT_TU_AP_DUNG'!B:B, '06_BANG_GIA_VAT_TU_AP_DUNG'!C:C, "LỖI_MÃ_VT")</f>
        <v/>
      </c>
      <c r="K73" s="2">
        <f>I73*J73</f>
        <v/>
      </c>
      <c r="L73" t="inlineStr">
        <is>
          <t>2 đôi bạc đỡ 2 bên thân</t>
        </is>
      </c>
    </row>
    <row r="74">
      <c r="A74" t="inlineStr">
        <is>
          <t>SW-DAMPER-034-GEAR</t>
        </is>
      </c>
      <c r="B74" t="inlineStr">
        <is>
          <t>SW-DAMPER-034</t>
        </is>
      </c>
      <c r="C74" t="inlineStr">
        <is>
          <t>Bánh răng van nhôm</t>
        </is>
      </c>
      <c r="D74" t="inlineStr">
        <is>
          <t>PHỤ_KIỆN_VAN</t>
        </is>
      </c>
      <c r="E74" t="inlineStr">
        <is>
          <t>MAT-DAMPER-BANH-RANG-VAN-NHOM</t>
        </is>
      </c>
      <c r="F74" t="inlineStr">
        <is>
          <t>Bộ</t>
        </is>
      </c>
      <c r="G74" s="4" t="n">
        <v>1</v>
      </c>
      <c r="H74" s="2">
        <f>XLOOKUP(B74, '00_TONG_HOP_BAO_GIA'!B:B, '00_TONG_HOP_BAO_GIA'!G:G, 1)</f>
        <v/>
      </c>
      <c r="I74" s="5">
        <f>G74*H74</f>
        <v/>
      </c>
      <c r="J74" s="2">
        <f>XLOOKUP(E74, '06_BANG_GIA_VAT_TU_AP_DUNG'!B:B, '06_BANG_GIA_VAT_TU_AP_DUNG'!C:C, "LỖI_MÃ_VT")</f>
        <v/>
      </c>
      <c r="K74" s="2">
        <f>I74*J74</f>
        <v/>
      </c>
      <c r="L74" t="inlineStr">
        <is>
          <t>Cơ cấu liên động bánh răng van</t>
        </is>
      </c>
    </row>
    <row r="75">
      <c r="A75" t="inlineStr">
        <is>
          <t>SW-DAMPER-034-HANDLE</t>
        </is>
      </c>
      <c r="B75" t="inlineStr">
        <is>
          <t>SW-DAMPER-034</t>
        </is>
      </c>
      <c r="C75" t="inlineStr">
        <is>
          <t>Tay gạt nhỏ</t>
        </is>
      </c>
      <c r="D75" t="inlineStr">
        <is>
          <t>PHỤ_KIỆN_VAN</t>
        </is>
      </c>
      <c r="E75" t="inlineStr">
        <is>
          <t>MAT-DAMPER-TAY-GAT-NHO</t>
        </is>
      </c>
      <c r="F75" t="inlineStr">
        <is>
          <t>Bộ</t>
        </is>
      </c>
      <c r="G75" s="4" t="n">
        <v>1</v>
      </c>
      <c r="H75" s="2">
        <f>XLOOKUP(B75, '00_TONG_HOP_BAO_GIA'!B:B, '00_TONG_HOP_BAO_GIA'!G:G, 1)</f>
        <v/>
      </c>
      <c r="I75" s="5">
        <f>G75*H75</f>
        <v/>
      </c>
      <c r="J75" s="2">
        <f>XLOOKUP(E75, '06_BANG_GIA_VAT_TU_AP_DUNG'!B:B, '06_BANG_GIA_VAT_TU_AP_DUNG'!C:C, "LỖI_MÃ_VT")</f>
        <v/>
      </c>
      <c r="K75" s="2">
        <f>I75*J75</f>
        <v/>
      </c>
      <c r="L75" t="inlineStr">
        <is>
          <t>Tay gạt khóa vị trí nan (S=0.14m2)</t>
        </is>
      </c>
    </row>
    <row r="76">
      <c r="A76" t="inlineStr">
        <is>
          <t>SW-DAMPER-035-BODY</t>
        </is>
      </c>
      <c r="B76" t="inlineStr">
        <is>
          <t>SW-DAMPER-035</t>
        </is>
      </c>
      <c r="C76" t="inlineStr">
        <is>
          <t>Thân vỏ van VCD bích TDF (0.75mm)</t>
        </is>
      </c>
      <c r="D76" t="inlineStr">
        <is>
          <t>TÔN_CUỘN_MẠ_KẼM</t>
        </is>
      </c>
      <c r="E76" t="inlineStr">
        <is>
          <t>MAT-STEEL-PN-0.75</t>
        </is>
      </c>
      <c r="F76" t="inlineStr">
        <is>
          <t>kg</t>
        </is>
      </c>
      <c r="G76" s="4" t="n">
        <v>3.184902</v>
      </c>
      <c r="H76" s="2">
        <f>XLOOKUP(B76, '00_TONG_HOP_BAO_GIA'!B:B, '00_TONG_HOP_BAO_GIA'!G:G, 1)</f>
        <v/>
      </c>
      <c r="I76" s="5">
        <f>G76*H76</f>
        <v/>
      </c>
      <c r="J76" s="2">
        <f>XLOOKUP(E76, '06_BANG_GIA_VAT_TU_AP_DUNG'!B:B, '06_BANG_GIA_VAT_TU_AP_DUNG'!C:C, "LỖI_MÃ_VT")</f>
        <v/>
      </c>
      <c r="K76" s="2">
        <f>I76*J76</f>
        <v/>
      </c>
      <c r="L76" t="inlineStr">
        <is>
          <t>Kích thước vỏ 600.0x300.0x210mm</t>
        </is>
      </c>
    </row>
    <row r="77">
      <c r="A77" t="inlineStr">
        <is>
          <t>SW-DAMPER-035-BLADE</t>
        </is>
      </c>
      <c r="B77" t="inlineStr">
        <is>
          <t>SW-DAMPER-035</t>
        </is>
      </c>
      <c r="C77" t="inlineStr">
        <is>
          <t>Lá cánh van (2 cánh overlap)</t>
        </is>
      </c>
      <c r="D77" t="inlineStr">
        <is>
          <t>TÔN_CUỘN_MẠ_KẼM</t>
        </is>
      </c>
      <c r="E77" t="inlineStr">
        <is>
          <t>MAT-STEEL-PN-0.75</t>
        </is>
      </c>
      <c r="F77" t="inlineStr">
        <is>
          <t>kg</t>
        </is>
      </c>
      <c r="G77" s="4" t="n">
        <v>1.297134</v>
      </c>
      <c r="H77" s="2">
        <f>XLOOKUP(B77, '00_TONG_HOP_BAO_GIA'!B:B, '00_TONG_HOP_BAO_GIA'!G:G, 1)</f>
        <v/>
      </c>
      <c r="I77" s="5">
        <f>G77*H77</f>
        <v/>
      </c>
      <c r="J77" s="2">
        <f>XLOOKUP(E77, '06_BANG_GIA_VAT_TU_AP_DUNG'!B:B, '06_BANG_GIA_VAT_TU_AP_DUNG'!C:C, "LỖI_MÃ_VT")</f>
        <v/>
      </c>
      <c r="K77" s="2">
        <f>I77*J77</f>
        <v/>
      </c>
      <c r="L77" t="inlineStr">
        <is>
          <t>2 cánh cao 170mm</t>
        </is>
      </c>
    </row>
    <row r="78">
      <c r="A78" t="inlineStr">
        <is>
          <t>SW-DAMPER-035-AXLE</t>
        </is>
      </c>
      <c r="B78" t="inlineStr">
        <is>
          <t>SW-DAMPER-035</t>
        </is>
      </c>
      <c r="C78" t="inlineStr">
        <is>
          <t>Trục Sus 201 D10</t>
        </is>
      </c>
      <c r="D78" t="inlineStr">
        <is>
          <t>PHỤ_KIỆN_VAN</t>
        </is>
      </c>
      <c r="E78" t="inlineStr">
        <is>
          <t>MAT-DAMPER-TRUC-SUS-201-D10</t>
        </is>
      </c>
      <c r="F78" t="inlineStr">
        <is>
          <t>m</t>
        </is>
      </c>
      <c r="G78" s="4" t="n">
        <v>1.32</v>
      </c>
      <c r="H78" s="2">
        <f>XLOOKUP(B78, '00_TONG_HOP_BAO_GIA'!B:B, '00_TONG_HOP_BAO_GIA'!G:G, 1)</f>
        <v/>
      </c>
      <c r="I78" s="5">
        <f>G78*H78</f>
        <v/>
      </c>
      <c r="J78" s="2">
        <f>XLOOKUP(E78, '06_BANG_GIA_VAT_TU_AP_DUNG'!B:B, '06_BANG_GIA_VAT_TU_AP_DUNG'!C:C, "LỖI_MÃ_VT")</f>
        <v/>
      </c>
      <c r="K78" s="2">
        <f>I78*J78</f>
        <v/>
      </c>
      <c r="L78" t="inlineStr">
        <is>
          <t>2 trục dài 660mm</t>
        </is>
      </c>
    </row>
    <row r="79">
      <c r="A79" t="inlineStr">
        <is>
          <t>SW-DAMPER-035-BEARING</t>
        </is>
      </c>
      <c r="B79" t="inlineStr">
        <is>
          <t>SW-DAMPER-035</t>
        </is>
      </c>
      <c r="C79" t="inlineStr">
        <is>
          <t>Bạc đồng D10</t>
        </is>
      </c>
      <c r="D79" t="inlineStr">
        <is>
          <t>PHỤ_KIỆN_VAN</t>
        </is>
      </c>
      <c r="E79" t="inlineStr">
        <is>
          <t>MAT-DAMPER-BAC-DONG-D10</t>
        </is>
      </c>
      <c r="F79" t="inlineStr">
        <is>
          <t>Đôi</t>
        </is>
      </c>
      <c r="G79" s="4" t="n">
        <v>2</v>
      </c>
      <c r="H79" s="2">
        <f>XLOOKUP(B79, '00_TONG_HOP_BAO_GIA'!B:B, '00_TONG_HOP_BAO_GIA'!G:G, 1)</f>
        <v/>
      </c>
      <c r="I79" s="5">
        <f>G79*H79</f>
        <v/>
      </c>
      <c r="J79" s="2">
        <f>XLOOKUP(E79, '06_BANG_GIA_VAT_TU_AP_DUNG'!B:B, '06_BANG_GIA_VAT_TU_AP_DUNG'!C:C, "LỖI_MÃ_VT")</f>
        <v/>
      </c>
      <c r="K79" s="2">
        <f>I79*J79</f>
        <v/>
      </c>
      <c r="L79" t="inlineStr">
        <is>
          <t>2 đôi bạc đỡ 2 bên thân</t>
        </is>
      </c>
    </row>
    <row r="80">
      <c r="A80" t="inlineStr">
        <is>
          <t>SW-DAMPER-035-GEAR</t>
        </is>
      </c>
      <c r="B80" t="inlineStr">
        <is>
          <t>SW-DAMPER-035</t>
        </is>
      </c>
      <c r="C80" t="inlineStr">
        <is>
          <t>Bánh răng van nhôm</t>
        </is>
      </c>
      <c r="D80" t="inlineStr">
        <is>
          <t>PHỤ_KIỆN_VAN</t>
        </is>
      </c>
      <c r="E80" t="inlineStr">
        <is>
          <t>MAT-DAMPER-BANH-RANG-VAN-NHOM</t>
        </is>
      </c>
      <c r="F80" t="inlineStr">
        <is>
          <t>Bộ</t>
        </is>
      </c>
      <c r="G80" s="4" t="n">
        <v>1</v>
      </c>
      <c r="H80" s="2">
        <f>XLOOKUP(B80, '00_TONG_HOP_BAO_GIA'!B:B, '00_TONG_HOP_BAO_GIA'!G:G, 1)</f>
        <v/>
      </c>
      <c r="I80" s="5">
        <f>G80*H80</f>
        <v/>
      </c>
      <c r="J80" s="2">
        <f>XLOOKUP(E80, '06_BANG_GIA_VAT_TU_AP_DUNG'!B:B, '06_BANG_GIA_VAT_TU_AP_DUNG'!C:C, "LỖI_MÃ_VT")</f>
        <v/>
      </c>
      <c r="K80" s="2">
        <f>I80*J80</f>
        <v/>
      </c>
      <c r="L80" t="inlineStr">
        <is>
          <t>Cơ cấu liên động bánh răng van</t>
        </is>
      </c>
    </row>
    <row r="81">
      <c r="A81" t="inlineStr">
        <is>
          <t>SW-DAMPER-035-HANDLE</t>
        </is>
      </c>
      <c r="B81" t="inlineStr">
        <is>
          <t>SW-DAMPER-035</t>
        </is>
      </c>
      <c r="C81" t="inlineStr">
        <is>
          <t>Tay gạt nhỏ</t>
        </is>
      </c>
      <c r="D81" t="inlineStr">
        <is>
          <t>PHỤ_KIỆN_VAN</t>
        </is>
      </c>
      <c r="E81" t="inlineStr">
        <is>
          <t>MAT-DAMPER-TAY-GAT-NHO</t>
        </is>
      </c>
      <c r="F81" t="inlineStr">
        <is>
          <t>Bộ</t>
        </is>
      </c>
      <c r="G81" s="4" t="n">
        <v>1</v>
      </c>
      <c r="H81" s="2">
        <f>XLOOKUP(B81, '00_TONG_HOP_BAO_GIA'!B:B, '00_TONG_HOP_BAO_GIA'!G:G, 1)</f>
        <v/>
      </c>
      <c r="I81" s="5">
        <f>G81*H81</f>
        <v/>
      </c>
      <c r="J81" s="2">
        <f>XLOOKUP(E81, '06_BANG_GIA_VAT_TU_AP_DUNG'!B:B, '06_BANG_GIA_VAT_TU_AP_DUNG'!C:C, "LỖI_MÃ_VT")</f>
        <v/>
      </c>
      <c r="K81" s="2">
        <f>I81*J81</f>
        <v/>
      </c>
      <c r="L81" t="inlineStr">
        <is>
          <t>Tay gạt khóa vị trí nan (S=0.18m2)</t>
        </is>
      </c>
    </row>
    <row r="82">
      <c r="A82" t="inlineStr">
        <is>
          <t>SW-DAMPER-036-BODY</t>
        </is>
      </c>
      <c r="B82" t="inlineStr">
        <is>
          <t>SW-DAMPER-036</t>
        </is>
      </c>
      <c r="C82" t="inlineStr">
        <is>
          <t>Thân vỏ van VCD bích TDF (0.75mm)</t>
        </is>
      </c>
      <c r="D82" t="inlineStr">
        <is>
          <t>TÔN_CUỘN_MẠ_KẼM</t>
        </is>
      </c>
      <c r="E82" t="inlineStr">
        <is>
          <t>MAT-STEEL-PN-0.75</t>
        </is>
      </c>
      <c r="F82" t="inlineStr">
        <is>
          <t>kg</t>
        </is>
      </c>
      <c r="G82" s="4" t="n">
        <v>3.184902</v>
      </c>
      <c r="H82" s="2">
        <f>XLOOKUP(B82, '00_TONG_HOP_BAO_GIA'!B:B, '00_TONG_HOP_BAO_GIA'!G:G, 1)</f>
        <v/>
      </c>
      <c r="I82" s="5">
        <f>G82*H82</f>
        <v/>
      </c>
      <c r="J82" s="2">
        <f>XLOOKUP(E82, '06_BANG_GIA_VAT_TU_AP_DUNG'!B:B, '06_BANG_GIA_VAT_TU_AP_DUNG'!C:C, "LỖI_MÃ_VT")</f>
        <v/>
      </c>
      <c r="K82" s="2">
        <f>I82*J82</f>
        <v/>
      </c>
      <c r="L82" t="inlineStr">
        <is>
          <t>Kích thước vỏ 650.0x250.0x210mm</t>
        </is>
      </c>
    </row>
    <row r="83">
      <c r="A83" t="inlineStr">
        <is>
          <t>SW-DAMPER-036-BLADE</t>
        </is>
      </c>
      <c r="B83" t="inlineStr">
        <is>
          <t>SW-DAMPER-036</t>
        </is>
      </c>
      <c r="C83" t="inlineStr">
        <is>
          <t>Lá cánh van (2 cánh overlap)</t>
        </is>
      </c>
      <c r="D83" t="inlineStr">
        <is>
          <t>TÔN_CUỘN_MẠ_KẼM</t>
        </is>
      </c>
      <c r="E83" t="inlineStr">
        <is>
          <t>MAT-STEEL-PN-0.75</t>
        </is>
      </c>
      <c r="F83" t="inlineStr">
        <is>
          <t>kg</t>
        </is>
      </c>
      <c r="G83" s="4" t="n">
        <v>1.19857725</v>
      </c>
      <c r="H83" s="2">
        <f>XLOOKUP(B83, '00_TONG_HOP_BAO_GIA'!B:B, '00_TONG_HOP_BAO_GIA'!G:G, 1)</f>
        <v/>
      </c>
      <c r="I83" s="5">
        <f>G83*H83</f>
        <v/>
      </c>
      <c r="J83" s="2">
        <f>XLOOKUP(E83, '06_BANG_GIA_VAT_TU_AP_DUNG'!B:B, '06_BANG_GIA_VAT_TU_AP_DUNG'!C:C, "LỖI_MÃ_VT")</f>
        <v/>
      </c>
      <c r="K83" s="2">
        <f>I83*J83</f>
        <v/>
      </c>
      <c r="L83" t="inlineStr">
        <is>
          <t>2 cánh cao 145mm</t>
        </is>
      </c>
    </row>
    <row r="84">
      <c r="A84" t="inlineStr">
        <is>
          <t>SW-DAMPER-036-AXLE</t>
        </is>
      </c>
      <c r="B84" t="inlineStr">
        <is>
          <t>SW-DAMPER-036</t>
        </is>
      </c>
      <c r="C84" t="inlineStr">
        <is>
          <t>Trục Sus 201 D10</t>
        </is>
      </c>
      <c r="D84" t="inlineStr">
        <is>
          <t>PHỤ_KIỆN_VAN</t>
        </is>
      </c>
      <c r="E84" t="inlineStr">
        <is>
          <t>MAT-DAMPER-TRUC-SUS-201-D10</t>
        </is>
      </c>
      <c r="F84" t="inlineStr">
        <is>
          <t>m</t>
        </is>
      </c>
      <c r="G84" s="4" t="n">
        <v>1.42</v>
      </c>
      <c r="H84" s="2">
        <f>XLOOKUP(B84, '00_TONG_HOP_BAO_GIA'!B:B, '00_TONG_HOP_BAO_GIA'!G:G, 1)</f>
        <v/>
      </c>
      <c r="I84" s="5">
        <f>G84*H84</f>
        <v/>
      </c>
      <c r="J84" s="2">
        <f>XLOOKUP(E84, '06_BANG_GIA_VAT_TU_AP_DUNG'!B:B, '06_BANG_GIA_VAT_TU_AP_DUNG'!C:C, "LỖI_MÃ_VT")</f>
        <v/>
      </c>
      <c r="K84" s="2">
        <f>I84*J84</f>
        <v/>
      </c>
      <c r="L84" t="inlineStr">
        <is>
          <t>2 trục dài 710mm</t>
        </is>
      </c>
    </row>
    <row r="85">
      <c r="A85" t="inlineStr">
        <is>
          <t>SW-DAMPER-036-BEARING</t>
        </is>
      </c>
      <c r="B85" t="inlineStr">
        <is>
          <t>SW-DAMPER-036</t>
        </is>
      </c>
      <c r="C85" t="inlineStr">
        <is>
          <t>Bạc đồng D10</t>
        </is>
      </c>
      <c r="D85" t="inlineStr">
        <is>
          <t>PHỤ_KIỆN_VAN</t>
        </is>
      </c>
      <c r="E85" t="inlineStr">
        <is>
          <t>MAT-DAMPER-BAC-DONG-D10</t>
        </is>
      </c>
      <c r="F85" t="inlineStr">
        <is>
          <t>Đôi</t>
        </is>
      </c>
      <c r="G85" s="4" t="n">
        <v>2</v>
      </c>
      <c r="H85" s="2">
        <f>XLOOKUP(B85, '00_TONG_HOP_BAO_GIA'!B:B, '00_TONG_HOP_BAO_GIA'!G:G, 1)</f>
        <v/>
      </c>
      <c r="I85" s="5">
        <f>G85*H85</f>
        <v/>
      </c>
      <c r="J85" s="2">
        <f>XLOOKUP(E85, '06_BANG_GIA_VAT_TU_AP_DUNG'!B:B, '06_BANG_GIA_VAT_TU_AP_DUNG'!C:C, "LỖI_MÃ_VT")</f>
        <v/>
      </c>
      <c r="K85" s="2">
        <f>I85*J85</f>
        <v/>
      </c>
      <c r="L85" t="inlineStr">
        <is>
          <t>2 đôi bạc đỡ 2 bên thân</t>
        </is>
      </c>
    </row>
    <row r="86">
      <c r="A86" t="inlineStr">
        <is>
          <t>SW-DAMPER-036-GEAR</t>
        </is>
      </c>
      <c r="B86" t="inlineStr">
        <is>
          <t>SW-DAMPER-036</t>
        </is>
      </c>
      <c r="C86" t="inlineStr">
        <is>
          <t>Bánh răng van nhôm</t>
        </is>
      </c>
      <c r="D86" t="inlineStr">
        <is>
          <t>PHỤ_KIỆN_VAN</t>
        </is>
      </c>
      <c r="E86" t="inlineStr">
        <is>
          <t>MAT-DAMPER-BANH-RANG-VAN-NHOM</t>
        </is>
      </c>
      <c r="F86" t="inlineStr">
        <is>
          <t>Bộ</t>
        </is>
      </c>
      <c r="G86" s="4" t="n">
        <v>1</v>
      </c>
      <c r="H86" s="2">
        <f>XLOOKUP(B86, '00_TONG_HOP_BAO_GIA'!B:B, '00_TONG_HOP_BAO_GIA'!G:G, 1)</f>
        <v/>
      </c>
      <c r="I86" s="5">
        <f>G86*H86</f>
        <v/>
      </c>
      <c r="J86" s="2">
        <f>XLOOKUP(E86, '06_BANG_GIA_VAT_TU_AP_DUNG'!B:B, '06_BANG_GIA_VAT_TU_AP_DUNG'!C:C, "LỖI_MÃ_VT")</f>
        <v/>
      </c>
      <c r="K86" s="2">
        <f>I86*J86</f>
        <v/>
      </c>
      <c r="L86" t="inlineStr">
        <is>
          <t>Cơ cấu liên động bánh răng van</t>
        </is>
      </c>
    </row>
    <row r="87">
      <c r="A87" t="inlineStr">
        <is>
          <t>SW-DAMPER-036-HANDLE</t>
        </is>
      </c>
      <c r="B87" t="inlineStr">
        <is>
          <t>SW-DAMPER-036</t>
        </is>
      </c>
      <c r="C87" t="inlineStr">
        <is>
          <t>Tay gạt nhỏ</t>
        </is>
      </c>
      <c r="D87" t="inlineStr">
        <is>
          <t>PHỤ_KIỆN_VAN</t>
        </is>
      </c>
      <c r="E87" t="inlineStr">
        <is>
          <t>MAT-DAMPER-TAY-GAT-NHO</t>
        </is>
      </c>
      <c r="F87" t="inlineStr">
        <is>
          <t>Bộ</t>
        </is>
      </c>
      <c r="G87" s="4" t="n">
        <v>1</v>
      </c>
      <c r="H87" s="2">
        <f>XLOOKUP(B87, '00_TONG_HOP_BAO_GIA'!B:B, '00_TONG_HOP_BAO_GIA'!G:G, 1)</f>
        <v/>
      </c>
      <c r="I87" s="5">
        <f>G87*H87</f>
        <v/>
      </c>
      <c r="J87" s="2">
        <f>XLOOKUP(E87, '06_BANG_GIA_VAT_TU_AP_DUNG'!B:B, '06_BANG_GIA_VAT_TU_AP_DUNG'!C:C, "LỖI_MÃ_VT")</f>
        <v/>
      </c>
      <c r="K87" s="2">
        <f>I87*J87</f>
        <v/>
      </c>
      <c r="L87" t="inlineStr">
        <is>
          <t>Tay gạt khóa vị trí nan (S=0.16m2)</t>
        </is>
      </c>
    </row>
    <row r="88">
      <c r="A88" t="inlineStr">
        <is>
          <t>SW-DAMPER-037-BODY</t>
        </is>
      </c>
      <c r="B88" t="inlineStr">
        <is>
          <t>SW-DAMPER-037</t>
        </is>
      </c>
      <c r="C88" t="inlineStr">
        <is>
          <t>Thân vỏ van VCD bích TDF (0.75mm)</t>
        </is>
      </c>
      <c r="D88" t="inlineStr">
        <is>
          <t>TÔN_CUỘN_MẠ_KẼM</t>
        </is>
      </c>
      <c r="E88" t="inlineStr">
        <is>
          <t>MAT-STEEL-PN-0.75</t>
        </is>
      </c>
      <c r="F88" t="inlineStr">
        <is>
          <t>kg</t>
        </is>
      </c>
      <c r="G88" s="4" t="n">
        <v>3.3579945</v>
      </c>
      <c r="H88" s="2">
        <f>XLOOKUP(B88, '00_TONG_HOP_BAO_GIA'!B:B, '00_TONG_HOP_BAO_GIA'!G:G, 1)</f>
        <v/>
      </c>
      <c r="I88" s="5">
        <f>G88*H88</f>
        <v/>
      </c>
      <c r="J88" s="2">
        <f>XLOOKUP(E88, '06_BANG_GIA_VAT_TU_AP_DUNG'!B:B, '06_BANG_GIA_VAT_TU_AP_DUNG'!C:C, "LỖI_MÃ_VT")</f>
        <v/>
      </c>
      <c r="K88" s="2">
        <f>I88*J88</f>
        <v/>
      </c>
      <c r="L88" t="inlineStr">
        <is>
          <t>Kích thước vỏ 650.0x300.0x210mm</t>
        </is>
      </c>
    </row>
    <row r="89">
      <c r="A89" t="inlineStr">
        <is>
          <t>SW-DAMPER-037-BLADE</t>
        </is>
      </c>
      <c r="B89" t="inlineStr">
        <is>
          <t>SW-DAMPER-037</t>
        </is>
      </c>
      <c r="C89" t="inlineStr">
        <is>
          <t>Lá cánh van (2 cánh overlap)</t>
        </is>
      </c>
      <c r="D89" t="inlineStr">
        <is>
          <t>TÔN_CUỘN_MẠ_KẼM</t>
        </is>
      </c>
      <c r="E89" t="inlineStr">
        <is>
          <t>MAT-STEEL-PN-0.75</t>
        </is>
      </c>
      <c r="F89" t="inlineStr">
        <is>
          <t>kg</t>
        </is>
      </c>
      <c r="G89" s="4" t="n">
        <v>1.4052285</v>
      </c>
      <c r="H89" s="2">
        <f>XLOOKUP(B89, '00_TONG_HOP_BAO_GIA'!B:B, '00_TONG_HOP_BAO_GIA'!G:G, 1)</f>
        <v/>
      </c>
      <c r="I89" s="5">
        <f>G89*H89</f>
        <v/>
      </c>
      <c r="J89" s="2">
        <f>XLOOKUP(E89, '06_BANG_GIA_VAT_TU_AP_DUNG'!B:B, '06_BANG_GIA_VAT_TU_AP_DUNG'!C:C, "LỖI_MÃ_VT")</f>
        <v/>
      </c>
      <c r="K89" s="2">
        <f>I89*J89</f>
        <v/>
      </c>
      <c r="L89" t="inlineStr">
        <is>
          <t>2 cánh cao 170mm</t>
        </is>
      </c>
    </row>
    <row r="90">
      <c r="A90" t="inlineStr">
        <is>
          <t>SW-DAMPER-037-AXLE</t>
        </is>
      </c>
      <c r="B90" t="inlineStr">
        <is>
          <t>SW-DAMPER-037</t>
        </is>
      </c>
      <c r="C90" t="inlineStr">
        <is>
          <t>Trục Sus 201 D10</t>
        </is>
      </c>
      <c r="D90" t="inlineStr">
        <is>
          <t>PHỤ_KIỆN_VAN</t>
        </is>
      </c>
      <c r="E90" t="inlineStr">
        <is>
          <t>MAT-DAMPER-TRUC-SUS-201-D10</t>
        </is>
      </c>
      <c r="F90" t="inlineStr">
        <is>
          <t>m</t>
        </is>
      </c>
      <c r="G90" s="4" t="n">
        <v>1.42</v>
      </c>
      <c r="H90" s="2">
        <f>XLOOKUP(B90, '00_TONG_HOP_BAO_GIA'!B:B, '00_TONG_HOP_BAO_GIA'!G:G, 1)</f>
        <v/>
      </c>
      <c r="I90" s="5">
        <f>G90*H90</f>
        <v/>
      </c>
      <c r="J90" s="2">
        <f>XLOOKUP(E90, '06_BANG_GIA_VAT_TU_AP_DUNG'!B:B, '06_BANG_GIA_VAT_TU_AP_DUNG'!C:C, "LỖI_MÃ_VT")</f>
        <v/>
      </c>
      <c r="K90" s="2">
        <f>I90*J90</f>
        <v/>
      </c>
      <c r="L90" t="inlineStr">
        <is>
          <t>2 trục dài 710mm</t>
        </is>
      </c>
    </row>
    <row r="91">
      <c r="A91" t="inlineStr">
        <is>
          <t>SW-DAMPER-037-BEARING</t>
        </is>
      </c>
      <c r="B91" t="inlineStr">
        <is>
          <t>SW-DAMPER-037</t>
        </is>
      </c>
      <c r="C91" t="inlineStr">
        <is>
          <t>Bạc đồng D10</t>
        </is>
      </c>
      <c r="D91" t="inlineStr">
        <is>
          <t>PHỤ_KIỆN_VAN</t>
        </is>
      </c>
      <c r="E91" t="inlineStr">
        <is>
          <t>MAT-DAMPER-BAC-DONG-D10</t>
        </is>
      </c>
      <c r="F91" t="inlineStr">
        <is>
          <t>Đôi</t>
        </is>
      </c>
      <c r="G91" s="4" t="n">
        <v>2</v>
      </c>
      <c r="H91" s="2">
        <f>XLOOKUP(B91, '00_TONG_HOP_BAO_GIA'!B:B, '00_TONG_HOP_BAO_GIA'!G:G, 1)</f>
        <v/>
      </c>
      <c r="I91" s="5">
        <f>G91*H91</f>
        <v/>
      </c>
      <c r="J91" s="2">
        <f>XLOOKUP(E91, '06_BANG_GIA_VAT_TU_AP_DUNG'!B:B, '06_BANG_GIA_VAT_TU_AP_DUNG'!C:C, "LỖI_MÃ_VT")</f>
        <v/>
      </c>
      <c r="K91" s="2">
        <f>I91*J91</f>
        <v/>
      </c>
      <c r="L91" t="inlineStr">
        <is>
          <t>2 đôi bạc đỡ 2 bên thân</t>
        </is>
      </c>
    </row>
    <row r="92">
      <c r="A92" t="inlineStr">
        <is>
          <t>SW-DAMPER-037-GEAR</t>
        </is>
      </c>
      <c r="B92" t="inlineStr">
        <is>
          <t>SW-DAMPER-037</t>
        </is>
      </c>
      <c r="C92" t="inlineStr">
        <is>
          <t>Bánh răng van nhôm</t>
        </is>
      </c>
      <c r="D92" t="inlineStr">
        <is>
          <t>PHỤ_KIỆN_VAN</t>
        </is>
      </c>
      <c r="E92" t="inlineStr">
        <is>
          <t>MAT-DAMPER-BANH-RANG-VAN-NHOM</t>
        </is>
      </c>
      <c r="F92" t="inlineStr">
        <is>
          <t>Bộ</t>
        </is>
      </c>
      <c r="G92" s="4" t="n">
        <v>1</v>
      </c>
      <c r="H92" s="2">
        <f>XLOOKUP(B92, '00_TONG_HOP_BAO_GIA'!B:B, '00_TONG_HOP_BAO_GIA'!G:G, 1)</f>
        <v/>
      </c>
      <c r="I92" s="5">
        <f>G92*H92</f>
        <v/>
      </c>
      <c r="J92" s="2">
        <f>XLOOKUP(E92, '06_BANG_GIA_VAT_TU_AP_DUNG'!B:B, '06_BANG_GIA_VAT_TU_AP_DUNG'!C:C, "LỖI_MÃ_VT")</f>
        <v/>
      </c>
      <c r="K92" s="2">
        <f>I92*J92</f>
        <v/>
      </c>
      <c r="L92" t="inlineStr">
        <is>
          <t>Cơ cấu liên động bánh răng van</t>
        </is>
      </c>
    </row>
    <row r="93">
      <c r="A93" t="inlineStr">
        <is>
          <t>SW-DAMPER-037-HANDLE</t>
        </is>
      </c>
      <c r="B93" t="inlineStr">
        <is>
          <t>SW-DAMPER-037</t>
        </is>
      </c>
      <c r="C93" t="inlineStr">
        <is>
          <t>Tay gạt nhỏ</t>
        </is>
      </c>
      <c r="D93" t="inlineStr">
        <is>
          <t>PHỤ_KIỆN_VAN</t>
        </is>
      </c>
      <c r="E93" t="inlineStr">
        <is>
          <t>MAT-DAMPER-TAY-GAT-NHO</t>
        </is>
      </c>
      <c r="F93" t="inlineStr">
        <is>
          <t>Bộ</t>
        </is>
      </c>
      <c r="G93" s="4" t="n">
        <v>1</v>
      </c>
      <c r="H93" s="2">
        <f>XLOOKUP(B93, '00_TONG_HOP_BAO_GIA'!B:B, '00_TONG_HOP_BAO_GIA'!G:G, 1)</f>
        <v/>
      </c>
      <c r="I93" s="5">
        <f>G93*H93</f>
        <v/>
      </c>
      <c r="J93" s="2">
        <f>XLOOKUP(E93, '06_BANG_GIA_VAT_TU_AP_DUNG'!B:B, '06_BANG_GIA_VAT_TU_AP_DUNG'!C:C, "LỖI_MÃ_VT")</f>
        <v/>
      </c>
      <c r="K93" s="2">
        <f>I93*J93</f>
        <v/>
      </c>
      <c r="L93" t="inlineStr">
        <is>
          <t>Tay gạt khóa vị trí nan (S=0.20m2)</t>
        </is>
      </c>
    </row>
    <row r="94">
      <c r="A94" t="inlineStr">
        <is>
          <t>SW-DAMPER-038-BODY</t>
        </is>
      </c>
      <c r="B94" t="inlineStr">
        <is>
          <t>SW-DAMPER-038</t>
        </is>
      </c>
      <c r="C94" t="inlineStr">
        <is>
          <t>Thân vỏ van VCD bích TDF (0.75mm)</t>
        </is>
      </c>
      <c r="D94" t="inlineStr">
        <is>
          <t>TÔN_CUỘN_MẠ_KẼM</t>
        </is>
      </c>
      <c r="E94" t="inlineStr">
        <is>
          <t>MAT-STEEL-PN-0.75</t>
        </is>
      </c>
      <c r="F94" t="inlineStr">
        <is>
          <t>kg</t>
        </is>
      </c>
      <c r="G94" s="4" t="n">
        <v>3.531087</v>
      </c>
      <c r="H94" s="2">
        <f>XLOOKUP(B94, '00_TONG_HOP_BAO_GIA'!B:B, '00_TONG_HOP_BAO_GIA'!G:G, 1)</f>
        <v/>
      </c>
      <c r="I94" s="5">
        <f>G94*H94</f>
        <v/>
      </c>
      <c r="J94" s="2">
        <f>XLOOKUP(E94, '06_BANG_GIA_VAT_TU_AP_DUNG'!B:B, '06_BANG_GIA_VAT_TU_AP_DUNG'!C:C, "LỖI_MÃ_VT")</f>
        <v/>
      </c>
      <c r="K94" s="2">
        <f>I94*J94</f>
        <v/>
      </c>
      <c r="L94" t="inlineStr">
        <is>
          <t>Kích thước vỏ 650.0x350.0x210mm</t>
        </is>
      </c>
    </row>
    <row r="95">
      <c r="A95" t="inlineStr">
        <is>
          <t>SW-DAMPER-038-BLADE</t>
        </is>
      </c>
      <c r="B95" t="inlineStr">
        <is>
          <t>SW-DAMPER-038</t>
        </is>
      </c>
      <c r="C95" t="inlineStr">
        <is>
          <t>Lá cánh van (2 cánh overlap)</t>
        </is>
      </c>
      <c r="D95" t="inlineStr">
        <is>
          <t>TÔN_CUỘN_MẠ_KẼM</t>
        </is>
      </c>
      <c r="E95" t="inlineStr">
        <is>
          <t>MAT-STEEL-PN-0.75</t>
        </is>
      </c>
      <c r="F95" t="inlineStr">
        <is>
          <t>kg</t>
        </is>
      </c>
      <c r="G95" s="4" t="n">
        <v>1.61187975</v>
      </c>
      <c r="H95" s="2">
        <f>XLOOKUP(B95, '00_TONG_HOP_BAO_GIA'!B:B, '00_TONG_HOP_BAO_GIA'!G:G, 1)</f>
        <v/>
      </c>
      <c r="I95" s="5">
        <f>G95*H95</f>
        <v/>
      </c>
      <c r="J95" s="2">
        <f>XLOOKUP(E95, '06_BANG_GIA_VAT_TU_AP_DUNG'!B:B, '06_BANG_GIA_VAT_TU_AP_DUNG'!C:C, "LỖI_MÃ_VT")</f>
        <v/>
      </c>
      <c r="K95" s="2">
        <f>I95*J95</f>
        <v/>
      </c>
      <c r="L95" t="inlineStr">
        <is>
          <t>2 cánh cao 195mm</t>
        </is>
      </c>
    </row>
    <row r="96">
      <c r="A96" t="inlineStr">
        <is>
          <t>SW-DAMPER-038-AXLE</t>
        </is>
      </c>
      <c r="B96" t="inlineStr">
        <is>
          <t>SW-DAMPER-038</t>
        </is>
      </c>
      <c r="C96" t="inlineStr">
        <is>
          <t>Trục Sus 201 D10</t>
        </is>
      </c>
      <c r="D96" t="inlineStr">
        <is>
          <t>PHỤ_KIỆN_VAN</t>
        </is>
      </c>
      <c r="E96" t="inlineStr">
        <is>
          <t>MAT-DAMPER-TRUC-SUS-201-D10</t>
        </is>
      </c>
      <c r="F96" t="inlineStr">
        <is>
          <t>m</t>
        </is>
      </c>
      <c r="G96" s="4" t="n">
        <v>1.42</v>
      </c>
      <c r="H96" s="2">
        <f>XLOOKUP(B96, '00_TONG_HOP_BAO_GIA'!B:B, '00_TONG_HOP_BAO_GIA'!G:G, 1)</f>
        <v/>
      </c>
      <c r="I96" s="5">
        <f>G96*H96</f>
        <v/>
      </c>
      <c r="J96" s="2">
        <f>XLOOKUP(E96, '06_BANG_GIA_VAT_TU_AP_DUNG'!B:B, '06_BANG_GIA_VAT_TU_AP_DUNG'!C:C, "LỖI_MÃ_VT")</f>
        <v/>
      </c>
      <c r="K96" s="2">
        <f>I96*J96</f>
        <v/>
      </c>
      <c r="L96" t="inlineStr">
        <is>
          <t>2 trục dài 710mm</t>
        </is>
      </c>
    </row>
    <row r="97">
      <c r="A97" t="inlineStr">
        <is>
          <t>SW-DAMPER-038-BEARING</t>
        </is>
      </c>
      <c r="B97" t="inlineStr">
        <is>
          <t>SW-DAMPER-038</t>
        </is>
      </c>
      <c r="C97" t="inlineStr">
        <is>
          <t>Bạc đồng D10</t>
        </is>
      </c>
      <c r="D97" t="inlineStr">
        <is>
          <t>PHỤ_KIỆN_VAN</t>
        </is>
      </c>
      <c r="E97" t="inlineStr">
        <is>
          <t>MAT-DAMPER-BAC-DONG-D10</t>
        </is>
      </c>
      <c r="F97" t="inlineStr">
        <is>
          <t>Đôi</t>
        </is>
      </c>
      <c r="G97" s="4" t="n">
        <v>2</v>
      </c>
      <c r="H97" s="2">
        <f>XLOOKUP(B97, '00_TONG_HOP_BAO_GIA'!B:B, '00_TONG_HOP_BAO_GIA'!G:G, 1)</f>
        <v/>
      </c>
      <c r="I97" s="5">
        <f>G97*H97</f>
        <v/>
      </c>
      <c r="J97" s="2">
        <f>XLOOKUP(E97, '06_BANG_GIA_VAT_TU_AP_DUNG'!B:B, '06_BANG_GIA_VAT_TU_AP_DUNG'!C:C, "LỖI_MÃ_VT")</f>
        <v/>
      </c>
      <c r="K97" s="2">
        <f>I97*J97</f>
        <v/>
      </c>
      <c r="L97" t="inlineStr">
        <is>
          <t>2 đôi bạc đỡ 2 bên thân</t>
        </is>
      </c>
    </row>
    <row r="98">
      <c r="A98" t="inlineStr">
        <is>
          <t>SW-DAMPER-038-GEAR</t>
        </is>
      </c>
      <c r="B98" t="inlineStr">
        <is>
          <t>SW-DAMPER-038</t>
        </is>
      </c>
      <c r="C98" t="inlineStr">
        <is>
          <t>Bánh răng van nhôm</t>
        </is>
      </c>
      <c r="D98" t="inlineStr">
        <is>
          <t>PHỤ_KIỆN_VAN</t>
        </is>
      </c>
      <c r="E98" t="inlineStr">
        <is>
          <t>MAT-DAMPER-BANH-RANG-VAN-NHOM</t>
        </is>
      </c>
      <c r="F98" t="inlineStr">
        <is>
          <t>Bộ</t>
        </is>
      </c>
      <c r="G98" s="4" t="n">
        <v>1</v>
      </c>
      <c r="H98" s="2">
        <f>XLOOKUP(B98, '00_TONG_HOP_BAO_GIA'!B:B, '00_TONG_HOP_BAO_GIA'!G:G, 1)</f>
        <v/>
      </c>
      <c r="I98" s="5">
        <f>G98*H98</f>
        <v/>
      </c>
      <c r="J98" s="2">
        <f>XLOOKUP(E98, '06_BANG_GIA_VAT_TU_AP_DUNG'!B:B, '06_BANG_GIA_VAT_TU_AP_DUNG'!C:C, "LỖI_MÃ_VT")</f>
        <v/>
      </c>
      <c r="K98" s="2">
        <f>I98*J98</f>
        <v/>
      </c>
      <c r="L98" t="inlineStr">
        <is>
          <t>Cơ cấu liên động bánh răng van</t>
        </is>
      </c>
    </row>
    <row r="99">
      <c r="A99" t="inlineStr">
        <is>
          <t>SW-DAMPER-038-HANDLE</t>
        </is>
      </c>
      <c r="B99" t="inlineStr">
        <is>
          <t>SW-DAMPER-038</t>
        </is>
      </c>
      <c r="C99" t="inlineStr">
        <is>
          <t>Tay gạt nhỏ</t>
        </is>
      </c>
      <c r="D99" t="inlineStr">
        <is>
          <t>PHỤ_KIỆN_VAN</t>
        </is>
      </c>
      <c r="E99" t="inlineStr">
        <is>
          <t>MAT-DAMPER-TAY-GAT-NHO</t>
        </is>
      </c>
      <c r="F99" t="inlineStr">
        <is>
          <t>Bộ</t>
        </is>
      </c>
      <c r="G99" s="4" t="n">
        <v>1</v>
      </c>
      <c r="H99" s="2">
        <f>XLOOKUP(B99, '00_TONG_HOP_BAO_GIA'!B:B, '00_TONG_HOP_BAO_GIA'!G:G, 1)</f>
        <v/>
      </c>
      <c r="I99" s="5">
        <f>G99*H99</f>
        <v/>
      </c>
      <c r="J99" s="2">
        <f>XLOOKUP(E99, '06_BANG_GIA_VAT_TU_AP_DUNG'!B:B, '06_BANG_GIA_VAT_TU_AP_DUNG'!C:C, "LỖI_MÃ_VT")</f>
        <v/>
      </c>
      <c r="K99" s="2">
        <f>I99*J99</f>
        <v/>
      </c>
      <c r="L99" t="inlineStr">
        <is>
          <t>Tay gạt khóa vị trí nan (S=0.23m2)</t>
        </is>
      </c>
    </row>
    <row r="100">
      <c r="A100" t="inlineStr">
        <is>
          <t>SW-DAMPER-039-BODY</t>
        </is>
      </c>
      <c r="B100" t="inlineStr">
        <is>
          <t>SW-DAMPER-039</t>
        </is>
      </c>
      <c r="C100" t="inlineStr">
        <is>
          <t>Thân vỏ van VCD bích TDF (0.75mm)</t>
        </is>
      </c>
      <c r="D100" t="inlineStr">
        <is>
          <t>TÔN_CUỘN_MẠ_KẼM</t>
        </is>
      </c>
      <c r="E100" t="inlineStr">
        <is>
          <t>MAT-STEEL-PN-0.75</t>
        </is>
      </c>
      <c r="F100" t="inlineStr">
        <is>
          <t>kg</t>
        </is>
      </c>
      <c r="G100" s="4" t="n">
        <v>4.915826999999999</v>
      </c>
      <c r="H100" s="2">
        <f>XLOOKUP(B100, '00_TONG_HOP_BAO_GIA'!B:B, '00_TONG_HOP_BAO_GIA'!G:G, 1)</f>
        <v/>
      </c>
      <c r="I100" s="5">
        <f>G100*H100</f>
        <v/>
      </c>
      <c r="J100" s="2">
        <f>XLOOKUP(E100, '06_BANG_GIA_VAT_TU_AP_DUNG'!B:B, '06_BANG_GIA_VAT_TU_AP_DUNG'!C:C, "LỖI_MÃ_VT")</f>
        <v/>
      </c>
      <c r="K100" s="2">
        <f>I100*J100</f>
        <v/>
      </c>
      <c r="L100" t="inlineStr">
        <is>
          <t>Kích thước vỏ 800.0x600.0x210mm</t>
        </is>
      </c>
    </row>
    <row r="101">
      <c r="A101" t="inlineStr">
        <is>
          <t>SW-DAMPER-039-BLADE</t>
        </is>
      </c>
      <c r="B101" t="inlineStr">
        <is>
          <t>SW-DAMPER-039</t>
        </is>
      </c>
      <c r="C101" t="inlineStr">
        <is>
          <t>Lá cánh van (4 cánh overlap)</t>
        </is>
      </c>
      <c r="D101" t="inlineStr">
        <is>
          <t>TÔN_CUỘN_MẠ_KẼM</t>
        </is>
      </c>
      <c r="E101" t="inlineStr">
        <is>
          <t>MAT-STEEL-PN-0.75</t>
        </is>
      </c>
      <c r="F101" t="inlineStr">
        <is>
          <t>kg</t>
        </is>
      </c>
      <c r="G101" s="4" t="n">
        <v>3.459024</v>
      </c>
      <c r="H101" s="2">
        <f>XLOOKUP(B101, '00_TONG_HOP_BAO_GIA'!B:B, '00_TONG_HOP_BAO_GIA'!G:G, 1)</f>
        <v/>
      </c>
      <c r="I101" s="5">
        <f>G101*H101</f>
        <v/>
      </c>
      <c r="J101" s="2">
        <f>XLOOKUP(E101, '06_BANG_GIA_VAT_TU_AP_DUNG'!B:B, '06_BANG_GIA_VAT_TU_AP_DUNG'!C:C, "LỖI_MÃ_VT")</f>
        <v/>
      </c>
      <c r="K101" s="2">
        <f>I101*J101</f>
        <v/>
      </c>
      <c r="L101" t="inlineStr">
        <is>
          <t>4 cánh cao 170mm</t>
        </is>
      </c>
    </row>
    <row r="102">
      <c r="A102" t="inlineStr">
        <is>
          <t>SW-DAMPER-039-AXLE</t>
        </is>
      </c>
      <c r="B102" t="inlineStr">
        <is>
          <t>SW-DAMPER-039</t>
        </is>
      </c>
      <c r="C102" t="inlineStr">
        <is>
          <t>Trục Sus 201 D10</t>
        </is>
      </c>
      <c r="D102" t="inlineStr">
        <is>
          <t>PHỤ_KIỆN_VAN</t>
        </is>
      </c>
      <c r="E102" t="inlineStr">
        <is>
          <t>MAT-DAMPER-TRUC-SUS-201-D10</t>
        </is>
      </c>
      <c r="F102" t="inlineStr">
        <is>
          <t>m</t>
        </is>
      </c>
      <c r="G102" s="4" t="n">
        <v>3.44</v>
      </c>
      <c r="H102" s="2">
        <f>XLOOKUP(B102, '00_TONG_HOP_BAO_GIA'!B:B, '00_TONG_HOP_BAO_GIA'!G:G, 1)</f>
        <v/>
      </c>
      <c r="I102" s="5">
        <f>G102*H102</f>
        <v/>
      </c>
      <c r="J102" s="2">
        <f>XLOOKUP(E102, '06_BANG_GIA_VAT_TU_AP_DUNG'!B:B, '06_BANG_GIA_VAT_TU_AP_DUNG'!C:C, "LỖI_MÃ_VT")</f>
        <v/>
      </c>
      <c r="K102" s="2">
        <f>I102*J102</f>
        <v/>
      </c>
      <c r="L102" t="inlineStr">
        <is>
          <t>4 trục dài 860mm</t>
        </is>
      </c>
    </row>
    <row r="103">
      <c r="A103" t="inlineStr">
        <is>
          <t>SW-DAMPER-039-BEARING</t>
        </is>
      </c>
      <c r="B103" t="inlineStr">
        <is>
          <t>SW-DAMPER-039</t>
        </is>
      </c>
      <c r="C103" t="inlineStr">
        <is>
          <t>Bạc đồng D10</t>
        </is>
      </c>
      <c r="D103" t="inlineStr">
        <is>
          <t>PHỤ_KIỆN_VAN</t>
        </is>
      </c>
      <c r="E103" t="inlineStr">
        <is>
          <t>MAT-DAMPER-BAC-DONG-D10</t>
        </is>
      </c>
      <c r="F103" t="inlineStr">
        <is>
          <t>Đôi</t>
        </is>
      </c>
      <c r="G103" s="4" t="n">
        <v>4</v>
      </c>
      <c r="H103" s="2">
        <f>XLOOKUP(B103, '00_TONG_HOP_BAO_GIA'!B:B, '00_TONG_HOP_BAO_GIA'!G:G, 1)</f>
        <v/>
      </c>
      <c r="I103" s="5">
        <f>G103*H103</f>
        <v/>
      </c>
      <c r="J103" s="2">
        <f>XLOOKUP(E103, '06_BANG_GIA_VAT_TU_AP_DUNG'!B:B, '06_BANG_GIA_VAT_TU_AP_DUNG'!C:C, "LỖI_MÃ_VT")</f>
        <v/>
      </c>
      <c r="K103" s="2">
        <f>I103*J103</f>
        <v/>
      </c>
      <c r="L103" t="inlineStr">
        <is>
          <t>4 đôi bạc đỡ 2 bên thân</t>
        </is>
      </c>
    </row>
    <row r="104">
      <c r="A104" t="inlineStr">
        <is>
          <t>SW-DAMPER-039-GEAR</t>
        </is>
      </c>
      <c r="B104" t="inlineStr">
        <is>
          <t>SW-DAMPER-039</t>
        </is>
      </c>
      <c r="C104" t="inlineStr">
        <is>
          <t>Bánh răng van nhôm</t>
        </is>
      </c>
      <c r="D104" t="inlineStr">
        <is>
          <t>PHỤ_KIỆN_VAN</t>
        </is>
      </c>
      <c r="E104" t="inlineStr">
        <is>
          <t>MAT-DAMPER-BANH-RANG-VAN-NHOM</t>
        </is>
      </c>
      <c r="F104" t="inlineStr">
        <is>
          <t>Bộ</t>
        </is>
      </c>
      <c r="G104" s="4" t="n">
        <v>1</v>
      </c>
      <c r="H104" s="2">
        <f>XLOOKUP(B104, '00_TONG_HOP_BAO_GIA'!B:B, '00_TONG_HOP_BAO_GIA'!G:G, 1)</f>
        <v/>
      </c>
      <c r="I104" s="5">
        <f>G104*H104</f>
        <v/>
      </c>
      <c r="J104" s="2">
        <f>XLOOKUP(E104, '06_BANG_GIA_VAT_TU_AP_DUNG'!B:B, '06_BANG_GIA_VAT_TU_AP_DUNG'!C:C, "LỖI_MÃ_VT")</f>
        <v/>
      </c>
      <c r="K104" s="2">
        <f>I104*J104</f>
        <v/>
      </c>
      <c r="L104" t="inlineStr">
        <is>
          <t>Cơ cấu liên động bánh răng van</t>
        </is>
      </c>
    </row>
    <row r="105">
      <c r="A105" t="inlineStr">
        <is>
          <t>SW-DAMPER-039-HANDLE</t>
        </is>
      </c>
      <c r="B105" t="inlineStr">
        <is>
          <t>SW-DAMPER-039</t>
        </is>
      </c>
      <c r="C105" t="inlineStr">
        <is>
          <t>Tay gạt nhỏ</t>
        </is>
      </c>
      <c r="D105" t="inlineStr">
        <is>
          <t>PHỤ_KIỆN_VAN</t>
        </is>
      </c>
      <c r="E105" t="inlineStr">
        <is>
          <t>MAT-DAMPER-TAY-GAT-NHO</t>
        </is>
      </c>
      <c r="F105" t="inlineStr">
        <is>
          <t>Bộ</t>
        </is>
      </c>
      <c r="G105" s="4" t="n">
        <v>1</v>
      </c>
      <c r="H105" s="2">
        <f>XLOOKUP(B105, '00_TONG_HOP_BAO_GIA'!B:B, '00_TONG_HOP_BAO_GIA'!G:G, 1)</f>
        <v/>
      </c>
      <c r="I105" s="5">
        <f>G105*H105</f>
        <v/>
      </c>
      <c r="J105" s="2">
        <f>XLOOKUP(E105, '06_BANG_GIA_VAT_TU_AP_DUNG'!B:B, '06_BANG_GIA_VAT_TU_AP_DUNG'!C:C, "LỖI_MÃ_VT")</f>
        <v/>
      </c>
      <c r="K105" s="2">
        <f>I105*J105</f>
        <v/>
      </c>
      <c r="L105" t="inlineStr">
        <is>
          <t>Tay gạt khóa vị trí nan (S=0.48m2)</t>
        </is>
      </c>
    </row>
    <row r="106">
      <c r="A106" t="inlineStr">
        <is>
          <t>SW-DAMPER-040-BODY</t>
        </is>
      </c>
      <c r="B106" t="inlineStr">
        <is>
          <t>SW-DAMPER-040</t>
        </is>
      </c>
      <c r="C106" t="inlineStr">
        <is>
          <t>Thân vỏ van VCD bích TDF (0.95mm)</t>
        </is>
      </c>
      <c r="D106" t="inlineStr">
        <is>
          <t>TÔN_CUỘN_MẠ_KẼM</t>
        </is>
      </c>
      <c r="E106" t="inlineStr">
        <is>
          <t>MAT-STEEL-PN-0.95</t>
        </is>
      </c>
      <c r="F106" t="inlineStr">
        <is>
          <t>kg</t>
        </is>
      </c>
      <c r="G106" s="4" t="n">
        <v>5.349712200000001</v>
      </c>
      <c r="H106" s="2">
        <f>XLOOKUP(B106, '00_TONG_HOP_BAO_GIA'!B:B, '00_TONG_HOP_BAO_GIA'!G:G, 1)</f>
        <v/>
      </c>
      <c r="I106" s="5">
        <f>G106*H106</f>
        <v/>
      </c>
      <c r="J106" s="2">
        <f>XLOOKUP(E106, '06_BANG_GIA_VAT_TU_AP_DUNG'!B:B, '06_BANG_GIA_VAT_TU_AP_DUNG'!C:C, "LỖI_MÃ_VT")</f>
        <v/>
      </c>
      <c r="K106" s="2">
        <f>I106*J106</f>
        <v/>
      </c>
      <c r="L106" t="inlineStr">
        <is>
          <t>Kích thước vỏ 900.0x300.0x210mm</t>
        </is>
      </c>
    </row>
    <row r="107">
      <c r="A107" t="inlineStr">
        <is>
          <t>SW-DAMPER-040-BLADE</t>
        </is>
      </c>
      <c r="B107" t="inlineStr">
        <is>
          <t>SW-DAMPER-040</t>
        </is>
      </c>
      <c r="C107" t="inlineStr">
        <is>
          <t>Lá cánh van (2 cánh overlap)</t>
        </is>
      </c>
      <c r="D107" t="inlineStr">
        <is>
          <t>TÔN_CUỘN_MẠ_KẼM</t>
        </is>
      </c>
      <c r="E107" t="inlineStr">
        <is>
          <t>MAT-STEEL-PN-0.75</t>
        </is>
      </c>
      <c r="F107" t="inlineStr">
        <is>
          <t>kg</t>
        </is>
      </c>
      <c r="G107" s="4" t="n">
        <v>1.945701</v>
      </c>
      <c r="H107" s="2">
        <f>XLOOKUP(B107, '00_TONG_HOP_BAO_GIA'!B:B, '00_TONG_HOP_BAO_GIA'!G:G, 1)</f>
        <v/>
      </c>
      <c r="I107" s="5">
        <f>G107*H107</f>
        <v/>
      </c>
      <c r="J107" s="2">
        <f>XLOOKUP(E107, '06_BANG_GIA_VAT_TU_AP_DUNG'!B:B, '06_BANG_GIA_VAT_TU_AP_DUNG'!C:C, "LỖI_MÃ_VT")</f>
        <v/>
      </c>
      <c r="K107" s="2">
        <f>I107*J107</f>
        <v/>
      </c>
      <c r="L107" t="inlineStr">
        <is>
          <t>2 cánh cao 170mm</t>
        </is>
      </c>
    </row>
    <row r="108">
      <c r="A108" t="inlineStr">
        <is>
          <t>SW-DAMPER-040-AXLE</t>
        </is>
      </c>
      <c r="B108" t="inlineStr">
        <is>
          <t>SW-DAMPER-040</t>
        </is>
      </c>
      <c r="C108" t="inlineStr">
        <is>
          <t>Trục Sus 201 D10</t>
        </is>
      </c>
      <c r="D108" t="inlineStr">
        <is>
          <t>PHỤ_KIỆN_VAN</t>
        </is>
      </c>
      <c r="E108" t="inlineStr">
        <is>
          <t>MAT-DAMPER-TRUC-SUS-201-D10</t>
        </is>
      </c>
      <c r="F108" t="inlineStr">
        <is>
          <t>m</t>
        </is>
      </c>
      <c r="G108" s="4" t="n">
        <v>1.92</v>
      </c>
      <c r="H108" s="2">
        <f>XLOOKUP(B108, '00_TONG_HOP_BAO_GIA'!B:B, '00_TONG_HOP_BAO_GIA'!G:G, 1)</f>
        <v/>
      </c>
      <c r="I108" s="5">
        <f>G108*H108</f>
        <v/>
      </c>
      <c r="J108" s="2">
        <f>XLOOKUP(E108, '06_BANG_GIA_VAT_TU_AP_DUNG'!B:B, '06_BANG_GIA_VAT_TU_AP_DUNG'!C:C, "LỖI_MÃ_VT")</f>
        <v/>
      </c>
      <c r="K108" s="2">
        <f>I108*J108</f>
        <v/>
      </c>
      <c r="L108" t="inlineStr">
        <is>
          <t>2 trục dài 960mm</t>
        </is>
      </c>
    </row>
    <row r="109">
      <c r="A109" t="inlineStr">
        <is>
          <t>SW-DAMPER-040-BEARING</t>
        </is>
      </c>
      <c r="B109" t="inlineStr">
        <is>
          <t>SW-DAMPER-040</t>
        </is>
      </c>
      <c r="C109" t="inlineStr">
        <is>
          <t>Bạc đồng D10</t>
        </is>
      </c>
      <c r="D109" t="inlineStr">
        <is>
          <t>PHỤ_KIỆN_VAN</t>
        </is>
      </c>
      <c r="E109" t="inlineStr">
        <is>
          <t>MAT-DAMPER-BAC-DONG-D10</t>
        </is>
      </c>
      <c r="F109" t="inlineStr">
        <is>
          <t>Đôi</t>
        </is>
      </c>
      <c r="G109" s="4" t="n">
        <v>2</v>
      </c>
      <c r="H109" s="2">
        <f>XLOOKUP(B109, '00_TONG_HOP_BAO_GIA'!B:B, '00_TONG_HOP_BAO_GIA'!G:G, 1)</f>
        <v/>
      </c>
      <c r="I109" s="5">
        <f>G109*H109</f>
        <v/>
      </c>
      <c r="J109" s="2">
        <f>XLOOKUP(E109, '06_BANG_GIA_VAT_TU_AP_DUNG'!B:B, '06_BANG_GIA_VAT_TU_AP_DUNG'!C:C, "LỖI_MÃ_VT")</f>
        <v/>
      </c>
      <c r="K109" s="2">
        <f>I109*J109</f>
        <v/>
      </c>
      <c r="L109" t="inlineStr">
        <is>
          <t>2 đôi bạc đỡ 2 bên thân</t>
        </is>
      </c>
    </row>
    <row r="110">
      <c r="A110" t="inlineStr">
        <is>
          <t>SW-DAMPER-040-GEAR</t>
        </is>
      </c>
      <c r="B110" t="inlineStr">
        <is>
          <t>SW-DAMPER-040</t>
        </is>
      </c>
      <c r="C110" t="inlineStr">
        <is>
          <t>Bánh răng van nhôm</t>
        </is>
      </c>
      <c r="D110" t="inlineStr">
        <is>
          <t>PHỤ_KIỆN_VAN</t>
        </is>
      </c>
      <c r="E110" t="inlineStr">
        <is>
          <t>MAT-DAMPER-BANH-RANG-VAN-NHOM</t>
        </is>
      </c>
      <c r="F110" t="inlineStr">
        <is>
          <t>Bộ</t>
        </is>
      </c>
      <c r="G110" s="4" t="n">
        <v>1</v>
      </c>
      <c r="H110" s="2">
        <f>XLOOKUP(B110, '00_TONG_HOP_BAO_GIA'!B:B, '00_TONG_HOP_BAO_GIA'!G:G, 1)</f>
        <v/>
      </c>
      <c r="I110" s="5">
        <f>G110*H110</f>
        <v/>
      </c>
      <c r="J110" s="2">
        <f>XLOOKUP(E110, '06_BANG_GIA_VAT_TU_AP_DUNG'!B:B, '06_BANG_GIA_VAT_TU_AP_DUNG'!C:C, "LỖI_MÃ_VT")</f>
        <v/>
      </c>
      <c r="K110" s="2">
        <f>I110*J110</f>
        <v/>
      </c>
      <c r="L110" t="inlineStr">
        <is>
          <t>Cơ cấu liên động bánh răng van</t>
        </is>
      </c>
    </row>
    <row r="111">
      <c r="A111" t="inlineStr">
        <is>
          <t>SW-DAMPER-040-HANDLE</t>
        </is>
      </c>
      <c r="B111" t="inlineStr">
        <is>
          <t>SW-DAMPER-040</t>
        </is>
      </c>
      <c r="C111" t="inlineStr">
        <is>
          <t>Tay gạt nhỏ</t>
        </is>
      </c>
      <c r="D111" t="inlineStr">
        <is>
          <t>PHỤ_KIỆN_VAN</t>
        </is>
      </c>
      <c r="E111" t="inlineStr">
        <is>
          <t>MAT-DAMPER-TAY-GAT-NHO</t>
        </is>
      </c>
      <c r="F111" t="inlineStr">
        <is>
          <t>Bộ</t>
        </is>
      </c>
      <c r="G111" s="4" t="n">
        <v>1</v>
      </c>
      <c r="H111" s="2">
        <f>XLOOKUP(B111, '00_TONG_HOP_BAO_GIA'!B:B, '00_TONG_HOP_BAO_GIA'!G:G, 1)</f>
        <v/>
      </c>
      <c r="I111" s="5">
        <f>G111*H111</f>
        <v/>
      </c>
      <c r="J111" s="2">
        <f>XLOOKUP(E111, '06_BANG_GIA_VAT_TU_AP_DUNG'!B:B, '06_BANG_GIA_VAT_TU_AP_DUNG'!C:C, "LỖI_MÃ_VT")</f>
        <v/>
      </c>
      <c r="K111" s="2">
        <f>I111*J111</f>
        <v/>
      </c>
      <c r="L111" t="inlineStr">
        <is>
          <t>Tay gạt khóa vị trí nan (S=0.27m2)</t>
        </is>
      </c>
    </row>
    <row r="112">
      <c r="A112" t="inlineStr">
        <is>
          <t>SW-DAMPER-041-BODY</t>
        </is>
      </c>
      <c r="B112" t="inlineStr">
        <is>
          <t>SW-DAMPER-041</t>
        </is>
      </c>
      <c r="C112" t="inlineStr">
        <is>
          <t>Thân vỏ van VCD bích TDF (0.95mm)</t>
        </is>
      </c>
      <c r="D112" t="inlineStr">
        <is>
          <t>TÔN_CUỘN_MẠ_KẼM</t>
        </is>
      </c>
      <c r="E112" t="inlineStr">
        <is>
          <t>MAT-STEEL-PN-0.95</t>
        </is>
      </c>
      <c r="F112" t="inlineStr">
        <is>
          <t>kg</t>
        </is>
      </c>
      <c r="G112" s="4" t="n">
        <v>6.2267142</v>
      </c>
      <c r="H112" s="2">
        <f>XLOOKUP(B112, '00_TONG_HOP_BAO_GIA'!B:B, '00_TONG_HOP_BAO_GIA'!G:G, 1)</f>
        <v/>
      </c>
      <c r="I112" s="5">
        <f>G112*H112</f>
        <v/>
      </c>
      <c r="J112" s="2">
        <f>XLOOKUP(E112, '06_BANG_GIA_VAT_TU_AP_DUNG'!B:B, '06_BANG_GIA_VAT_TU_AP_DUNG'!C:C, "LỖI_MÃ_VT")</f>
        <v/>
      </c>
      <c r="K112" s="2">
        <f>I112*J112</f>
        <v/>
      </c>
      <c r="L112" t="inlineStr">
        <is>
          <t>Kích thước vỏ 900.0x500.0x210mm</t>
        </is>
      </c>
    </row>
    <row r="113">
      <c r="A113" t="inlineStr">
        <is>
          <t>SW-DAMPER-041-BLADE</t>
        </is>
      </c>
      <c r="B113" t="inlineStr">
        <is>
          <t>SW-DAMPER-041</t>
        </is>
      </c>
      <c r="C113" t="inlineStr">
        <is>
          <t>Lá cánh van (3 cánh overlap)</t>
        </is>
      </c>
      <c r="D113" t="inlineStr">
        <is>
          <t>TÔN_CUỘN_MẠ_KẼM</t>
        </is>
      </c>
      <c r="E113" t="inlineStr">
        <is>
          <t>MAT-STEEL-PN-0.75</t>
        </is>
      </c>
      <c r="F113" t="inlineStr">
        <is>
          <t>kg</t>
        </is>
      </c>
      <c r="G113" s="4" t="n">
        <v>3.204684</v>
      </c>
      <c r="H113" s="2">
        <f>XLOOKUP(B113, '00_TONG_HOP_BAO_GIA'!B:B, '00_TONG_HOP_BAO_GIA'!G:G, 1)</f>
        <v/>
      </c>
      <c r="I113" s="5">
        <f>G113*H113</f>
        <v/>
      </c>
      <c r="J113" s="2">
        <f>XLOOKUP(E113, '06_BANG_GIA_VAT_TU_AP_DUNG'!B:B, '06_BANG_GIA_VAT_TU_AP_DUNG'!C:C, "LỖI_MÃ_VT")</f>
        <v/>
      </c>
      <c r="K113" s="2">
        <f>I113*J113</f>
        <v/>
      </c>
      <c r="L113" t="inlineStr">
        <is>
          <t>3 cánh cao 187mm</t>
        </is>
      </c>
    </row>
    <row r="114">
      <c r="A114" t="inlineStr">
        <is>
          <t>SW-DAMPER-041-AXLE</t>
        </is>
      </c>
      <c r="B114" t="inlineStr">
        <is>
          <t>SW-DAMPER-041</t>
        </is>
      </c>
      <c r="C114" t="inlineStr">
        <is>
          <t>Trục Sus 201 D10</t>
        </is>
      </c>
      <c r="D114" t="inlineStr">
        <is>
          <t>PHỤ_KIỆN_VAN</t>
        </is>
      </c>
      <c r="E114" t="inlineStr">
        <is>
          <t>MAT-DAMPER-TRUC-SUS-201-D10</t>
        </is>
      </c>
      <c r="F114" t="inlineStr">
        <is>
          <t>m</t>
        </is>
      </c>
      <c r="G114" s="4" t="n">
        <v>2.88</v>
      </c>
      <c r="H114" s="2">
        <f>XLOOKUP(B114, '00_TONG_HOP_BAO_GIA'!B:B, '00_TONG_HOP_BAO_GIA'!G:G, 1)</f>
        <v/>
      </c>
      <c r="I114" s="5">
        <f>G114*H114</f>
        <v/>
      </c>
      <c r="J114" s="2">
        <f>XLOOKUP(E114, '06_BANG_GIA_VAT_TU_AP_DUNG'!B:B, '06_BANG_GIA_VAT_TU_AP_DUNG'!C:C, "LỖI_MÃ_VT")</f>
        <v/>
      </c>
      <c r="K114" s="2">
        <f>I114*J114</f>
        <v/>
      </c>
      <c r="L114" t="inlineStr">
        <is>
          <t>3 trục dài 960mm</t>
        </is>
      </c>
    </row>
    <row r="115">
      <c r="A115" t="inlineStr">
        <is>
          <t>SW-DAMPER-041-BEARING</t>
        </is>
      </c>
      <c r="B115" t="inlineStr">
        <is>
          <t>SW-DAMPER-041</t>
        </is>
      </c>
      <c r="C115" t="inlineStr">
        <is>
          <t>Bạc đồng D10</t>
        </is>
      </c>
      <c r="D115" t="inlineStr">
        <is>
          <t>PHỤ_KIỆN_VAN</t>
        </is>
      </c>
      <c r="E115" t="inlineStr">
        <is>
          <t>MAT-DAMPER-BAC-DONG-D10</t>
        </is>
      </c>
      <c r="F115" t="inlineStr">
        <is>
          <t>Đôi</t>
        </is>
      </c>
      <c r="G115" s="4" t="n">
        <v>3</v>
      </c>
      <c r="H115" s="2">
        <f>XLOOKUP(B115, '00_TONG_HOP_BAO_GIA'!B:B, '00_TONG_HOP_BAO_GIA'!G:G, 1)</f>
        <v/>
      </c>
      <c r="I115" s="5">
        <f>G115*H115</f>
        <v/>
      </c>
      <c r="J115" s="2">
        <f>XLOOKUP(E115, '06_BANG_GIA_VAT_TU_AP_DUNG'!B:B, '06_BANG_GIA_VAT_TU_AP_DUNG'!C:C, "LỖI_MÃ_VT")</f>
        <v/>
      </c>
      <c r="K115" s="2">
        <f>I115*J115</f>
        <v/>
      </c>
      <c r="L115" t="inlineStr">
        <is>
          <t>3 đôi bạc đỡ 2 bên thân</t>
        </is>
      </c>
    </row>
    <row r="116">
      <c r="A116" t="inlineStr">
        <is>
          <t>SW-DAMPER-041-GEAR</t>
        </is>
      </c>
      <c r="B116" t="inlineStr">
        <is>
          <t>SW-DAMPER-041</t>
        </is>
      </c>
      <c r="C116" t="inlineStr">
        <is>
          <t>Bánh răng van nhôm</t>
        </is>
      </c>
      <c r="D116" t="inlineStr">
        <is>
          <t>PHỤ_KIỆN_VAN</t>
        </is>
      </c>
      <c r="E116" t="inlineStr">
        <is>
          <t>MAT-DAMPER-BANH-RANG-VAN-NHOM</t>
        </is>
      </c>
      <c r="F116" t="inlineStr">
        <is>
          <t>Bộ</t>
        </is>
      </c>
      <c r="G116" s="4" t="n">
        <v>1</v>
      </c>
      <c r="H116" s="2">
        <f>XLOOKUP(B116, '00_TONG_HOP_BAO_GIA'!B:B, '00_TONG_HOP_BAO_GIA'!G:G, 1)</f>
        <v/>
      </c>
      <c r="I116" s="5">
        <f>G116*H116</f>
        <v/>
      </c>
      <c r="J116" s="2">
        <f>XLOOKUP(E116, '06_BANG_GIA_VAT_TU_AP_DUNG'!B:B, '06_BANG_GIA_VAT_TU_AP_DUNG'!C:C, "LỖI_MÃ_VT")</f>
        <v/>
      </c>
      <c r="K116" s="2">
        <f>I116*J116</f>
        <v/>
      </c>
      <c r="L116" t="inlineStr">
        <is>
          <t>Cơ cấu liên động bánh răng van</t>
        </is>
      </c>
    </row>
    <row r="117">
      <c r="A117" t="inlineStr">
        <is>
          <t>SW-DAMPER-041-HANDLE</t>
        </is>
      </c>
      <c r="B117" t="inlineStr">
        <is>
          <t>SW-DAMPER-041</t>
        </is>
      </c>
      <c r="C117" t="inlineStr">
        <is>
          <t>Tay gạt nhỏ</t>
        </is>
      </c>
      <c r="D117" t="inlineStr">
        <is>
          <t>PHỤ_KIỆN_VAN</t>
        </is>
      </c>
      <c r="E117" t="inlineStr">
        <is>
          <t>MAT-DAMPER-TAY-GAT-NHO</t>
        </is>
      </c>
      <c r="F117" t="inlineStr">
        <is>
          <t>Bộ</t>
        </is>
      </c>
      <c r="G117" s="4" t="n">
        <v>1</v>
      </c>
      <c r="H117" s="2">
        <f>XLOOKUP(B117, '00_TONG_HOP_BAO_GIA'!B:B, '00_TONG_HOP_BAO_GIA'!G:G, 1)</f>
        <v/>
      </c>
      <c r="I117" s="5">
        <f>G117*H117</f>
        <v/>
      </c>
      <c r="J117" s="2">
        <f>XLOOKUP(E117, '06_BANG_GIA_VAT_TU_AP_DUNG'!B:B, '06_BANG_GIA_VAT_TU_AP_DUNG'!C:C, "LỖI_MÃ_VT")</f>
        <v/>
      </c>
      <c r="K117" s="2">
        <f>I117*J117</f>
        <v/>
      </c>
      <c r="L117" t="inlineStr">
        <is>
          <t>Tay gạt khóa vị trí nan (S=0.45m2)</t>
        </is>
      </c>
    </row>
    <row r="118">
      <c r="A118" t="inlineStr">
        <is>
          <t>SW-DAMPER-042-BODY</t>
        </is>
      </c>
      <c r="B118" t="inlineStr">
        <is>
          <t>SW-DAMPER-042</t>
        </is>
      </c>
      <c r="C118" t="inlineStr">
        <is>
          <t>Thân vỏ van VCD bích TDF (0.95mm)</t>
        </is>
      </c>
      <c r="D118" t="inlineStr">
        <is>
          <t>TÔN_CUỘN_MẠ_KẼM</t>
        </is>
      </c>
      <c r="E118" t="inlineStr">
        <is>
          <t>MAT-STEEL-PN-0.95</t>
        </is>
      </c>
      <c r="F118" t="inlineStr">
        <is>
          <t>kg</t>
        </is>
      </c>
      <c r="G118" s="4" t="n">
        <v>7.980718200000001</v>
      </c>
      <c r="H118" s="2">
        <f>XLOOKUP(B118, '00_TONG_HOP_BAO_GIA'!B:B, '00_TONG_HOP_BAO_GIA'!G:G, 1)</f>
        <v/>
      </c>
      <c r="I118" s="5">
        <f>G118*H118</f>
        <v/>
      </c>
      <c r="J118" s="2">
        <f>XLOOKUP(E118, '06_BANG_GIA_VAT_TU_AP_DUNG'!B:B, '06_BANG_GIA_VAT_TU_AP_DUNG'!C:C, "LỖI_MÃ_VT")</f>
        <v/>
      </c>
      <c r="K118" s="2">
        <f>I118*J118</f>
        <v/>
      </c>
      <c r="L118" t="inlineStr">
        <is>
          <t>Kích thước vỏ 900.0x900.0x210mm</t>
        </is>
      </c>
    </row>
    <row r="119">
      <c r="A119" t="inlineStr">
        <is>
          <t>SW-DAMPER-042-BLADE</t>
        </is>
      </c>
      <c r="B119" t="inlineStr">
        <is>
          <t>SW-DAMPER-042</t>
        </is>
      </c>
      <c r="C119" t="inlineStr">
        <is>
          <t>Lá cánh van (5 cánh overlap)</t>
        </is>
      </c>
      <c r="D119" t="inlineStr">
        <is>
          <t>TÔN_CUỘN_MẠ_KẼM</t>
        </is>
      </c>
      <c r="E119" t="inlineStr">
        <is>
          <t>MAT-STEEL-PN-0.75</t>
        </is>
      </c>
      <c r="F119" t="inlineStr">
        <is>
          <t>kg</t>
        </is>
      </c>
      <c r="G119" s="4" t="n">
        <v>5.72265</v>
      </c>
      <c r="H119" s="2">
        <f>XLOOKUP(B119, '00_TONG_HOP_BAO_GIA'!B:B, '00_TONG_HOP_BAO_GIA'!G:G, 1)</f>
        <v/>
      </c>
      <c r="I119" s="5">
        <f>G119*H119</f>
        <v/>
      </c>
      <c r="J119" s="2">
        <f>XLOOKUP(E119, '06_BANG_GIA_VAT_TU_AP_DUNG'!B:B, '06_BANG_GIA_VAT_TU_AP_DUNG'!C:C, "LỖI_MÃ_VT")</f>
        <v/>
      </c>
      <c r="K119" s="2">
        <f>I119*J119</f>
        <v/>
      </c>
      <c r="L119" t="inlineStr">
        <is>
          <t>5 cánh cao 200mm</t>
        </is>
      </c>
    </row>
    <row r="120">
      <c r="A120" t="inlineStr">
        <is>
          <t>SW-DAMPER-042-AXLE</t>
        </is>
      </c>
      <c r="B120" t="inlineStr">
        <is>
          <t>SW-DAMPER-042</t>
        </is>
      </c>
      <c r="C120" t="inlineStr">
        <is>
          <t>Trục Sus 201 D10</t>
        </is>
      </c>
      <c r="D120" t="inlineStr">
        <is>
          <t>PHỤ_KIỆN_VAN</t>
        </is>
      </c>
      <c r="E120" t="inlineStr">
        <is>
          <t>MAT-DAMPER-TRUC-SUS-201-D10</t>
        </is>
      </c>
      <c r="F120" t="inlineStr">
        <is>
          <t>m</t>
        </is>
      </c>
      <c r="G120" s="4" t="n">
        <v>4.8</v>
      </c>
      <c r="H120" s="2">
        <f>XLOOKUP(B120, '00_TONG_HOP_BAO_GIA'!B:B, '00_TONG_HOP_BAO_GIA'!G:G, 1)</f>
        <v/>
      </c>
      <c r="I120" s="5">
        <f>G120*H120</f>
        <v/>
      </c>
      <c r="J120" s="2">
        <f>XLOOKUP(E120, '06_BANG_GIA_VAT_TU_AP_DUNG'!B:B, '06_BANG_GIA_VAT_TU_AP_DUNG'!C:C, "LỖI_MÃ_VT")</f>
        <v/>
      </c>
      <c r="K120" s="2">
        <f>I120*J120</f>
        <v/>
      </c>
      <c r="L120" t="inlineStr">
        <is>
          <t>5 trục dài 960mm</t>
        </is>
      </c>
    </row>
    <row r="121">
      <c r="A121" t="inlineStr">
        <is>
          <t>SW-DAMPER-042-BEARING</t>
        </is>
      </c>
      <c r="B121" t="inlineStr">
        <is>
          <t>SW-DAMPER-042</t>
        </is>
      </c>
      <c r="C121" t="inlineStr">
        <is>
          <t>Bạc đồng D10</t>
        </is>
      </c>
      <c r="D121" t="inlineStr">
        <is>
          <t>PHỤ_KIỆN_VAN</t>
        </is>
      </c>
      <c r="E121" t="inlineStr">
        <is>
          <t>MAT-DAMPER-BAC-DONG-D10</t>
        </is>
      </c>
      <c r="F121" t="inlineStr">
        <is>
          <t>Đôi</t>
        </is>
      </c>
      <c r="G121" s="4" t="n">
        <v>5</v>
      </c>
      <c r="H121" s="2">
        <f>XLOOKUP(B121, '00_TONG_HOP_BAO_GIA'!B:B, '00_TONG_HOP_BAO_GIA'!G:G, 1)</f>
        <v/>
      </c>
      <c r="I121" s="5">
        <f>G121*H121</f>
        <v/>
      </c>
      <c r="J121" s="2">
        <f>XLOOKUP(E121, '06_BANG_GIA_VAT_TU_AP_DUNG'!B:B, '06_BANG_GIA_VAT_TU_AP_DUNG'!C:C, "LỖI_MÃ_VT")</f>
        <v/>
      </c>
      <c r="K121" s="2">
        <f>I121*J121</f>
        <v/>
      </c>
      <c r="L121" t="inlineStr">
        <is>
          <t>5 đôi bạc đỡ 2 bên thân</t>
        </is>
      </c>
    </row>
    <row r="122">
      <c r="A122" t="inlineStr">
        <is>
          <t>SW-DAMPER-042-GEAR</t>
        </is>
      </c>
      <c r="B122" t="inlineStr">
        <is>
          <t>SW-DAMPER-042</t>
        </is>
      </c>
      <c r="C122" t="inlineStr">
        <is>
          <t>Bánh răng van nhôm</t>
        </is>
      </c>
      <c r="D122" t="inlineStr">
        <is>
          <t>PHỤ_KIỆN_VAN</t>
        </is>
      </c>
      <c r="E122" t="inlineStr">
        <is>
          <t>MAT-DAMPER-BANH-RANG-VAN-NHOM</t>
        </is>
      </c>
      <c r="F122" t="inlineStr">
        <is>
          <t>Bộ</t>
        </is>
      </c>
      <c r="G122" s="4" t="n">
        <v>1</v>
      </c>
      <c r="H122" s="2">
        <f>XLOOKUP(B122, '00_TONG_HOP_BAO_GIA'!B:B, '00_TONG_HOP_BAO_GIA'!G:G, 1)</f>
        <v/>
      </c>
      <c r="I122" s="5">
        <f>G122*H122</f>
        <v/>
      </c>
      <c r="J122" s="2">
        <f>XLOOKUP(E122, '06_BANG_GIA_VAT_TU_AP_DUNG'!B:B, '06_BANG_GIA_VAT_TU_AP_DUNG'!C:C, "LỖI_MÃ_VT")</f>
        <v/>
      </c>
      <c r="K122" s="2">
        <f>I122*J122</f>
        <v/>
      </c>
      <c r="L122" t="inlineStr">
        <is>
          <t>Cơ cấu liên động bánh răng van</t>
        </is>
      </c>
    </row>
    <row r="123">
      <c r="A123" t="inlineStr">
        <is>
          <t>SW-DAMPER-042-HANDLE</t>
        </is>
      </c>
      <c r="B123" t="inlineStr">
        <is>
          <t>SW-DAMPER-042</t>
        </is>
      </c>
      <c r="C123" t="inlineStr">
        <is>
          <t>Tay gạt trung bình</t>
        </is>
      </c>
      <c r="D123" t="inlineStr">
        <is>
          <t>PHỤ_KIỆN_VAN</t>
        </is>
      </c>
      <c r="E123" t="inlineStr">
        <is>
          <t>MAT-DAMPER-TAY-GAT-TRUNG-BINH</t>
        </is>
      </c>
      <c r="F123" t="inlineStr">
        <is>
          <t>Bộ</t>
        </is>
      </c>
      <c r="G123" s="4" t="n">
        <v>1</v>
      </c>
      <c r="H123" s="2">
        <f>XLOOKUP(B123, '00_TONG_HOP_BAO_GIA'!B:B, '00_TONG_HOP_BAO_GIA'!G:G, 1)</f>
        <v/>
      </c>
      <c r="I123" s="5">
        <f>G123*H123</f>
        <v/>
      </c>
      <c r="J123" s="2">
        <f>XLOOKUP(E123, '06_BANG_GIA_VAT_TU_AP_DUNG'!B:B, '06_BANG_GIA_VAT_TU_AP_DUNG'!C:C, "LỖI_MÃ_VT")</f>
        <v/>
      </c>
      <c r="K123" s="2">
        <f>I123*J123</f>
        <v/>
      </c>
      <c r="L123" t="inlineStr">
        <is>
          <t>Tay gạt khóa vị trí nan (S=0.81m2)</t>
        </is>
      </c>
    </row>
    <row r="124">
      <c r="A124" t="inlineStr">
        <is>
          <t>SW-DAMPER-043-BODY</t>
        </is>
      </c>
      <c r="B124" t="inlineStr">
        <is>
          <t>SW-DAMPER-043</t>
        </is>
      </c>
      <c r="C124" t="inlineStr">
        <is>
          <t>Thân vỏ van VCD bích TDF (0.95mm)</t>
        </is>
      </c>
      <c r="D124" t="inlineStr">
        <is>
          <t>TÔN_CUỘN_MẠ_KẼM</t>
        </is>
      </c>
      <c r="E124" t="inlineStr">
        <is>
          <t>MAT-STEEL-PN-0.95</t>
        </is>
      </c>
      <c r="F124" t="inlineStr">
        <is>
          <t>kg</t>
        </is>
      </c>
      <c r="G124" s="4" t="n">
        <v>6.4459647</v>
      </c>
      <c r="H124" s="2">
        <f>XLOOKUP(B124, '00_TONG_HOP_BAO_GIA'!B:B, '00_TONG_HOP_BAO_GIA'!G:G, 1)</f>
        <v/>
      </c>
      <c r="I124" s="5">
        <f>G124*H124</f>
        <v/>
      </c>
      <c r="J124" s="2">
        <f>XLOOKUP(E124, '06_BANG_GIA_VAT_TU_AP_DUNG'!B:B, '06_BANG_GIA_VAT_TU_AP_DUNG'!C:C, "LỖI_MÃ_VT")</f>
        <v/>
      </c>
      <c r="K124" s="2">
        <f>I124*J124</f>
        <v/>
      </c>
      <c r="L124" t="inlineStr">
        <is>
          <t>Kích thước vỏ 950.0x500.0x210mm</t>
        </is>
      </c>
    </row>
    <row r="125">
      <c r="A125" t="inlineStr">
        <is>
          <t>SW-DAMPER-043-BLADE</t>
        </is>
      </c>
      <c r="B125" t="inlineStr">
        <is>
          <t>SW-DAMPER-043</t>
        </is>
      </c>
      <c r="C125" t="inlineStr">
        <is>
          <t>Lá cánh van (3 cánh overlap)</t>
        </is>
      </c>
      <c r="D125" t="inlineStr">
        <is>
          <t>TÔN_CUỘN_MẠ_KẼM</t>
        </is>
      </c>
      <c r="E125" t="inlineStr">
        <is>
          <t>MAT-STEEL-PN-0.75</t>
        </is>
      </c>
      <c r="F125" t="inlineStr">
        <is>
          <t>kg</t>
        </is>
      </c>
      <c r="G125" s="4" t="n">
        <v>3.382721999999999</v>
      </c>
      <c r="H125" s="2">
        <f>XLOOKUP(B125, '00_TONG_HOP_BAO_GIA'!B:B, '00_TONG_HOP_BAO_GIA'!G:G, 1)</f>
        <v/>
      </c>
      <c r="I125" s="5">
        <f>G125*H125</f>
        <v/>
      </c>
      <c r="J125" s="2">
        <f>XLOOKUP(E125, '06_BANG_GIA_VAT_TU_AP_DUNG'!B:B, '06_BANG_GIA_VAT_TU_AP_DUNG'!C:C, "LỖI_MÃ_VT")</f>
        <v/>
      </c>
      <c r="K125" s="2">
        <f>I125*J125</f>
        <v/>
      </c>
      <c r="L125" t="inlineStr">
        <is>
          <t>3 cánh cao 187mm</t>
        </is>
      </c>
    </row>
    <row r="126">
      <c r="A126" t="inlineStr">
        <is>
          <t>SW-DAMPER-043-AXLE</t>
        </is>
      </c>
      <c r="B126" t="inlineStr">
        <is>
          <t>SW-DAMPER-043</t>
        </is>
      </c>
      <c r="C126" t="inlineStr">
        <is>
          <t>Trục Sus 201 D10</t>
        </is>
      </c>
      <c r="D126" t="inlineStr">
        <is>
          <t>PHỤ_KIỆN_VAN</t>
        </is>
      </c>
      <c r="E126" t="inlineStr">
        <is>
          <t>MAT-DAMPER-TRUC-SUS-201-D10</t>
        </is>
      </c>
      <c r="F126" t="inlineStr">
        <is>
          <t>m</t>
        </is>
      </c>
      <c r="G126" s="4" t="n">
        <v>3.03</v>
      </c>
      <c r="H126" s="2">
        <f>XLOOKUP(B126, '00_TONG_HOP_BAO_GIA'!B:B, '00_TONG_HOP_BAO_GIA'!G:G, 1)</f>
        <v/>
      </c>
      <c r="I126" s="5">
        <f>G126*H126</f>
        <v/>
      </c>
      <c r="J126" s="2">
        <f>XLOOKUP(E126, '06_BANG_GIA_VAT_TU_AP_DUNG'!B:B, '06_BANG_GIA_VAT_TU_AP_DUNG'!C:C, "LỖI_MÃ_VT")</f>
        <v/>
      </c>
      <c r="K126" s="2">
        <f>I126*J126</f>
        <v/>
      </c>
      <c r="L126" t="inlineStr">
        <is>
          <t>3 trục dài 1010mm</t>
        </is>
      </c>
    </row>
    <row r="127">
      <c r="A127" t="inlineStr">
        <is>
          <t>SW-DAMPER-043-BEARING</t>
        </is>
      </c>
      <c r="B127" t="inlineStr">
        <is>
          <t>SW-DAMPER-043</t>
        </is>
      </c>
      <c r="C127" t="inlineStr">
        <is>
          <t>Bạc đồng D10</t>
        </is>
      </c>
      <c r="D127" t="inlineStr">
        <is>
          <t>PHỤ_KIỆN_VAN</t>
        </is>
      </c>
      <c r="E127" t="inlineStr">
        <is>
          <t>MAT-DAMPER-BAC-DONG-D10</t>
        </is>
      </c>
      <c r="F127" t="inlineStr">
        <is>
          <t>Đôi</t>
        </is>
      </c>
      <c r="G127" s="4" t="n">
        <v>3</v>
      </c>
      <c r="H127" s="2">
        <f>XLOOKUP(B127, '00_TONG_HOP_BAO_GIA'!B:B, '00_TONG_HOP_BAO_GIA'!G:G, 1)</f>
        <v/>
      </c>
      <c r="I127" s="5">
        <f>G127*H127</f>
        <v/>
      </c>
      <c r="J127" s="2">
        <f>XLOOKUP(E127, '06_BANG_GIA_VAT_TU_AP_DUNG'!B:B, '06_BANG_GIA_VAT_TU_AP_DUNG'!C:C, "LỖI_MÃ_VT")</f>
        <v/>
      </c>
      <c r="K127" s="2">
        <f>I127*J127</f>
        <v/>
      </c>
      <c r="L127" t="inlineStr">
        <is>
          <t>3 đôi bạc đỡ 2 bên thân</t>
        </is>
      </c>
    </row>
    <row r="128">
      <c r="A128" t="inlineStr">
        <is>
          <t>SW-DAMPER-043-GEAR</t>
        </is>
      </c>
      <c r="B128" t="inlineStr">
        <is>
          <t>SW-DAMPER-043</t>
        </is>
      </c>
      <c r="C128" t="inlineStr">
        <is>
          <t>Bánh răng van nhôm</t>
        </is>
      </c>
      <c r="D128" t="inlineStr">
        <is>
          <t>PHỤ_KIỆN_VAN</t>
        </is>
      </c>
      <c r="E128" t="inlineStr">
        <is>
          <t>MAT-DAMPER-BANH-RANG-VAN-NHOM</t>
        </is>
      </c>
      <c r="F128" t="inlineStr">
        <is>
          <t>Bộ</t>
        </is>
      </c>
      <c r="G128" s="4" t="n">
        <v>1</v>
      </c>
      <c r="H128" s="2">
        <f>XLOOKUP(B128, '00_TONG_HOP_BAO_GIA'!B:B, '00_TONG_HOP_BAO_GIA'!G:G, 1)</f>
        <v/>
      </c>
      <c r="I128" s="5">
        <f>G128*H128</f>
        <v/>
      </c>
      <c r="J128" s="2">
        <f>XLOOKUP(E128, '06_BANG_GIA_VAT_TU_AP_DUNG'!B:B, '06_BANG_GIA_VAT_TU_AP_DUNG'!C:C, "LỖI_MÃ_VT")</f>
        <v/>
      </c>
      <c r="K128" s="2">
        <f>I128*J128</f>
        <v/>
      </c>
      <c r="L128" t="inlineStr">
        <is>
          <t>Cơ cấu liên động bánh răng van</t>
        </is>
      </c>
    </row>
    <row r="129">
      <c r="A129" t="inlineStr">
        <is>
          <t>SW-DAMPER-043-HANDLE</t>
        </is>
      </c>
      <c r="B129" t="inlineStr">
        <is>
          <t>SW-DAMPER-043</t>
        </is>
      </c>
      <c r="C129" t="inlineStr">
        <is>
          <t>Tay gạt nhỏ</t>
        </is>
      </c>
      <c r="D129" t="inlineStr">
        <is>
          <t>PHỤ_KIỆN_VAN</t>
        </is>
      </c>
      <c r="E129" t="inlineStr">
        <is>
          <t>MAT-DAMPER-TAY-GAT-NHO</t>
        </is>
      </c>
      <c r="F129" t="inlineStr">
        <is>
          <t>Bộ</t>
        </is>
      </c>
      <c r="G129" s="4" t="n">
        <v>1</v>
      </c>
      <c r="H129" s="2">
        <f>XLOOKUP(B129, '00_TONG_HOP_BAO_GIA'!B:B, '00_TONG_HOP_BAO_GIA'!G:G, 1)</f>
        <v/>
      </c>
      <c r="I129" s="5">
        <f>G129*H129</f>
        <v/>
      </c>
      <c r="J129" s="2">
        <f>XLOOKUP(E129, '06_BANG_GIA_VAT_TU_AP_DUNG'!B:B, '06_BANG_GIA_VAT_TU_AP_DUNG'!C:C, "LỖI_MÃ_VT")</f>
        <v/>
      </c>
      <c r="K129" s="2">
        <f>I129*J129</f>
        <v/>
      </c>
      <c r="L129" t="inlineStr">
        <is>
          <t>Tay gạt khóa vị trí nan (S=0.47m2)</t>
        </is>
      </c>
    </row>
    <row r="130">
      <c r="A130" t="inlineStr">
        <is>
          <t>SW-DAMPER-044-BODY</t>
        </is>
      </c>
      <c r="B130" t="inlineStr">
        <is>
          <t>SW-DAMPER-044</t>
        </is>
      </c>
      <c r="C130" t="inlineStr">
        <is>
          <t>Thân vỏ van VCD bích TDF (0.95mm)</t>
        </is>
      </c>
      <c r="D130" t="inlineStr">
        <is>
          <t>TÔN_CUỘN_MẠ_KẼM</t>
        </is>
      </c>
      <c r="E130" t="inlineStr">
        <is>
          <t>MAT-STEEL-PN-0.95</t>
        </is>
      </c>
      <c r="F130" t="inlineStr">
        <is>
          <t>kg</t>
        </is>
      </c>
      <c r="G130" s="4" t="n">
        <v>8.857720200000003</v>
      </c>
      <c r="H130" s="2">
        <f>XLOOKUP(B130, '00_TONG_HOP_BAO_GIA'!B:B, '00_TONG_HOP_BAO_GIA'!G:G, 1)</f>
        <v/>
      </c>
      <c r="I130" s="5">
        <f>G130*H130</f>
        <v/>
      </c>
      <c r="J130" s="2">
        <f>XLOOKUP(E130, '06_BANG_GIA_VAT_TU_AP_DUNG'!B:B, '06_BANG_GIA_VAT_TU_AP_DUNG'!C:C, "LỖI_MÃ_VT")</f>
        <v/>
      </c>
      <c r="K130" s="2">
        <f>I130*J130</f>
        <v/>
      </c>
      <c r="L130" t="inlineStr">
        <is>
          <t>Kích thước vỏ 1000.0x1000.0x210mm</t>
        </is>
      </c>
    </row>
    <row r="131">
      <c r="A131" t="inlineStr">
        <is>
          <t>SW-DAMPER-044-BLADE</t>
        </is>
      </c>
      <c r="B131" t="inlineStr">
        <is>
          <t>SW-DAMPER-044</t>
        </is>
      </c>
      <c r="C131" t="inlineStr">
        <is>
          <t>Lá cánh van (6 cánh overlap)</t>
        </is>
      </c>
      <c r="D131" t="inlineStr">
        <is>
          <t>TÔN_CUỘN_MẠ_KẼM</t>
        </is>
      </c>
      <c r="E131" t="inlineStr">
        <is>
          <t>MAT-STEEL-PN-0.75</t>
        </is>
      </c>
      <c r="F131" t="inlineStr">
        <is>
          <t>kg</t>
        </is>
      </c>
      <c r="G131" s="4" t="n">
        <v>7.121519999999999</v>
      </c>
      <c r="H131" s="2">
        <f>XLOOKUP(B131, '00_TONG_HOP_BAO_GIA'!B:B, '00_TONG_HOP_BAO_GIA'!G:G, 1)</f>
        <v/>
      </c>
      <c r="I131" s="5">
        <f>G131*H131</f>
        <v/>
      </c>
      <c r="J131" s="2">
        <f>XLOOKUP(E131, '06_BANG_GIA_VAT_TU_AP_DUNG'!B:B, '06_BANG_GIA_VAT_TU_AP_DUNG'!C:C, "LỖI_MÃ_VT")</f>
        <v/>
      </c>
      <c r="K131" s="2">
        <f>I131*J131</f>
        <v/>
      </c>
      <c r="L131" t="inlineStr">
        <is>
          <t>6 cánh cao 187mm</t>
        </is>
      </c>
    </row>
    <row r="132">
      <c r="A132" t="inlineStr">
        <is>
          <t>SW-DAMPER-044-AXLE</t>
        </is>
      </c>
      <c r="B132" t="inlineStr">
        <is>
          <t>SW-DAMPER-044</t>
        </is>
      </c>
      <c r="C132" t="inlineStr">
        <is>
          <t>Trục Sus 201 D10</t>
        </is>
      </c>
      <c r="D132" t="inlineStr">
        <is>
          <t>PHỤ_KIỆN_VAN</t>
        </is>
      </c>
      <c r="E132" t="inlineStr">
        <is>
          <t>MAT-DAMPER-TRUC-SUS-201-D10</t>
        </is>
      </c>
      <c r="F132" t="inlineStr">
        <is>
          <t>m</t>
        </is>
      </c>
      <c r="G132" s="4" t="n">
        <v>6.36</v>
      </c>
      <c r="H132" s="2">
        <f>XLOOKUP(B132, '00_TONG_HOP_BAO_GIA'!B:B, '00_TONG_HOP_BAO_GIA'!G:G, 1)</f>
        <v/>
      </c>
      <c r="I132" s="5">
        <f>G132*H132</f>
        <v/>
      </c>
      <c r="J132" s="2">
        <f>XLOOKUP(E132, '06_BANG_GIA_VAT_TU_AP_DUNG'!B:B, '06_BANG_GIA_VAT_TU_AP_DUNG'!C:C, "LỖI_MÃ_VT")</f>
        <v/>
      </c>
      <c r="K132" s="2">
        <f>I132*J132</f>
        <v/>
      </c>
      <c r="L132" t="inlineStr">
        <is>
          <t>6 trục dài 1060mm</t>
        </is>
      </c>
    </row>
    <row r="133">
      <c r="A133" t="inlineStr">
        <is>
          <t>SW-DAMPER-044-BEARING</t>
        </is>
      </c>
      <c r="B133" t="inlineStr">
        <is>
          <t>SW-DAMPER-044</t>
        </is>
      </c>
      <c r="C133" t="inlineStr">
        <is>
          <t>Bạc đồng D10</t>
        </is>
      </c>
      <c r="D133" t="inlineStr">
        <is>
          <t>PHỤ_KIỆN_VAN</t>
        </is>
      </c>
      <c r="E133" t="inlineStr">
        <is>
          <t>MAT-DAMPER-BAC-DONG-D10</t>
        </is>
      </c>
      <c r="F133" t="inlineStr">
        <is>
          <t>Đôi</t>
        </is>
      </c>
      <c r="G133" s="4" t="n">
        <v>6</v>
      </c>
      <c r="H133" s="2">
        <f>XLOOKUP(B133, '00_TONG_HOP_BAO_GIA'!B:B, '00_TONG_HOP_BAO_GIA'!G:G, 1)</f>
        <v/>
      </c>
      <c r="I133" s="5">
        <f>G133*H133</f>
        <v/>
      </c>
      <c r="J133" s="2">
        <f>XLOOKUP(E133, '06_BANG_GIA_VAT_TU_AP_DUNG'!B:B, '06_BANG_GIA_VAT_TU_AP_DUNG'!C:C, "LỖI_MÃ_VT")</f>
        <v/>
      </c>
      <c r="K133" s="2">
        <f>I133*J133</f>
        <v/>
      </c>
      <c r="L133" t="inlineStr">
        <is>
          <t>6 đôi bạc đỡ 2 bên thân</t>
        </is>
      </c>
    </row>
    <row r="134">
      <c r="A134" t="inlineStr">
        <is>
          <t>SW-DAMPER-044-GEAR</t>
        </is>
      </c>
      <c r="B134" t="inlineStr">
        <is>
          <t>SW-DAMPER-044</t>
        </is>
      </c>
      <c r="C134" t="inlineStr">
        <is>
          <t>Bánh răng van nhôm</t>
        </is>
      </c>
      <c r="D134" t="inlineStr">
        <is>
          <t>PHỤ_KIỆN_VAN</t>
        </is>
      </c>
      <c r="E134" t="inlineStr">
        <is>
          <t>MAT-DAMPER-BANH-RANG-VAN-NHOM</t>
        </is>
      </c>
      <c r="F134" t="inlineStr">
        <is>
          <t>Bộ</t>
        </is>
      </c>
      <c r="G134" s="4" t="n">
        <v>1</v>
      </c>
      <c r="H134" s="2">
        <f>XLOOKUP(B134, '00_TONG_HOP_BAO_GIA'!B:B, '00_TONG_HOP_BAO_GIA'!G:G, 1)</f>
        <v/>
      </c>
      <c r="I134" s="5">
        <f>G134*H134</f>
        <v/>
      </c>
      <c r="J134" s="2">
        <f>XLOOKUP(E134, '06_BANG_GIA_VAT_TU_AP_DUNG'!B:B, '06_BANG_GIA_VAT_TU_AP_DUNG'!C:C, "LỖI_MÃ_VT")</f>
        <v/>
      </c>
      <c r="K134" s="2">
        <f>I134*J134</f>
        <v/>
      </c>
      <c r="L134" t="inlineStr">
        <is>
          <t>Cơ cấu liên động bánh răng van</t>
        </is>
      </c>
    </row>
    <row r="135">
      <c r="A135" t="inlineStr">
        <is>
          <t>SW-DAMPER-044-HANDLE</t>
        </is>
      </c>
      <c r="B135" t="inlineStr">
        <is>
          <t>SW-DAMPER-044</t>
        </is>
      </c>
      <c r="C135" t="inlineStr">
        <is>
          <t>Tay gạt trung bình</t>
        </is>
      </c>
      <c r="D135" t="inlineStr">
        <is>
          <t>PHỤ_KIỆN_VAN</t>
        </is>
      </c>
      <c r="E135" t="inlineStr">
        <is>
          <t>MAT-DAMPER-TAY-GAT-TRUNG-BINH</t>
        </is>
      </c>
      <c r="F135" t="inlineStr">
        <is>
          <t>Bộ</t>
        </is>
      </c>
      <c r="G135" s="4" t="n">
        <v>1</v>
      </c>
      <c r="H135" s="2">
        <f>XLOOKUP(B135, '00_TONG_HOP_BAO_GIA'!B:B, '00_TONG_HOP_BAO_GIA'!G:G, 1)</f>
        <v/>
      </c>
      <c r="I135" s="5">
        <f>G135*H135</f>
        <v/>
      </c>
      <c r="J135" s="2">
        <f>XLOOKUP(E135, '06_BANG_GIA_VAT_TU_AP_DUNG'!B:B, '06_BANG_GIA_VAT_TU_AP_DUNG'!C:C, "LỖI_MÃ_VT")</f>
        <v/>
      </c>
      <c r="K135" s="2">
        <f>I135*J135</f>
        <v/>
      </c>
      <c r="L135" t="inlineStr">
        <is>
          <t>Tay gạt khóa vị trí nan (S=1.00m2)</t>
        </is>
      </c>
    </row>
    <row r="136">
      <c r="A136" t="inlineStr">
        <is>
          <t>SW-DAMPER-045-BODY</t>
        </is>
      </c>
      <c r="B136" t="inlineStr">
        <is>
          <t>SW-DAMPER-045</t>
        </is>
      </c>
      <c r="C136" t="inlineStr">
        <is>
          <t>Thân vỏ van FD bích TDF (0.75mm)</t>
        </is>
      </c>
      <c r="D136" t="inlineStr">
        <is>
          <t>TÔN_CUỘN_MẠ_KẼM</t>
        </is>
      </c>
      <c r="E136" t="inlineStr">
        <is>
          <t>MAT-STEEL-PN-0.75</t>
        </is>
      </c>
      <c r="F136" t="inlineStr">
        <is>
          <t>kg</t>
        </is>
      </c>
      <c r="G136" s="4" t="n">
        <v>1.266048</v>
      </c>
      <c r="H136" s="2">
        <f>XLOOKUP(B136, '00_TONG_HOP_BAO_GIA'!B:B, '00_TONG_HOP_BAO_GIA'!G:G, 1)</f>
        <v/>
      </c>
      <c r="I136" s="5">
        <f>G136*H136</f>
        <v/>
      </c>
      <c r="J136" s="2">
        <f>XLOOKUP(E136, '06_BANG_GIA_VAT_TU_AP_DUNG'!B:B, '06_BANG_GIA_VAT_TU_AP_DUNG'!C:C, "LỖI_MÃ_VT")</f>
        <v/>
      </c>
      <c r="K136" s="2">
        <f>I136*J136</f>
        <v/>
      </c>
      <c r="L136" t="inlineStr">
        <is>
          <t>Kích thước vỏ 150.0x150.0x250mm</t>
        </is>
      </c>
    </row>
    <row r="137">
      <c r="A137" t="inlineStr">
        <is>
          <t>SW-DAMPER-045-BLADE</t>
        </is>
      </c>
      <c r="B137" t="inlineStr">
        <is>
          <t>SW-DAMPER-045</t>
        </is>
      </c>
      <c r="C137" t="inlineStr">
        <is>
          <t>Lá cánh van (1 cánh overlap)</t>
        </is>
      </c>
      <c r="D137" t="inlineStr">
        <is>
          <t>TÔN_CUỘN_MẠ_KẼM</t>
        </is>
      </c>
      <c r="E137" t="inlineStr">
        <is>
          <t>MAT-STEEL-PN-0.75</t>
        </is>
      </c>
      <c r="F137" t="inlineStr">
        <is>
          <t>kg</t>
        </is>
      </c>
      <c r="G137" s="4" t="n">
        <v>0.16214175</v>
      </c>
      <c r="H137" s="2">
        <f>XLOOKUP(B137, '00_TONG_HOP_BAO_GIA'!B:B, '00_TONG_HOP_BAO_GIA'!G:G, 1)</f>
        <v/>
      </c>
      <c r="I137" s="5">
        <f>G137*H137</f>
        <v/>
      </c>
      <c r="J137" s="2">
        <f>XLOOKUP(E137, '06_BANG_GIA_VAT_TU_AP_DUNG'!B:B, '06_BANG_GIA_VAT_TU_AP_DUNG'!C:C, "LỖI_MÃ_VT")</f>
        <v/>
      </c>
      <c r="K137" s="2">
        <f>I137*J137</f>
        <v/>
      </c>
      <c r="L137" t="inlineStr">
        <is>
          <t>1 cánh cao 170mm</t>
        </is>
      </c>
    </row>
    <row r="138">
      <c r="A138" t="inlineStr">
        <is>
          <t>SW-DAMPER-045-AXLE</t>
        </is>
      </c>
      <c r="B138" t="inlineStr">
        <is>
          <t>SW-DAMPER-045</t>
        </is>
      </c>
      <c r="C138" t="inlineStr">
        <is>
          <t>Trục Sus 201 D10</t>
        </is>
      </c>
      <c r="D138" t="inlineStr">
        <is>
          <t>PHỤ_KIỆN_VAN</t>
        </is>
      </c>
      <c r="E138" t="inlineStr">
        <is>
          <t>MAT-DAMPER-TRUC-SUS-201-D10</t>
        </is>
      </c>
      <c r="F138" t="inlineStr">
        <is>
          <t>m</t>
        </is>
      </c>
      <c r="G138" s="4" t="n">
        <v>0.21</v>
      </c>
      <c r="H138" s="2">
        <f>XLOOKUP(B138, '00_TONG_HOP_BAO_GIA'!B:B, '00_TONG_HOP_BAO_GIA'!G:G, 1)</f>
        <v/>
      </c>
      <c r="I138" s="5">
        <f>G138*H138</f>
        <v/>
      </c>
      <c r="J138" s="2">
        <f>XLOOKUP(E138, '06_BANG_GIA_VAT_TU_AP_DUNG'!B:B, '06_BANG_GIA_VAT_TU_AP_DUNG'!C:C, "LỖI_MÃ_VT")</f>
        <v/>
      </c>
      <c r="K138" s="2">
        <f>I138*J138</f>
        <v/>
      </c>
      <c r="L138" t="inlineStr">
        <is>
          <t>1 trục dài 210mm</t>
        </is>
      </c>
    </row>
    <row r="139">
      <c r="A139" t="inlineStr">
        <is>
          <t>SW-DAMPER-045-BEARING</t>
        </is>
      </c>
      <c r="B139" t="inlineStr">
        <is>
          <t>SW-DAMPER-045</t>
        </is>
      </c>
      <c r="C139" t="inlineStr">
        <is>
          <t>Bạc đồng D10</t>
        </is>
      </c>
      <c r="D139" t="inlineStr">
        <is>
          <t>PHỤ_KIỆN_VAN</t>
        </is>
      </c>
      <c r="E139" t="inlineStr">
        <is>
          <t>MAT-DAMPER-BAC-DONG-D10</t>
        </is>
      </c>
      <c r="F139" t="inlineStr">
        <is>
          <t>Đôi</t>
        </is>
      </c>
      <c r="G139" s="4" t="n">
        <v>1</v>
      </c>
      <c r="H139" s="2">
        <f>XLOOKUP(B139, '00_TONG_HOP_BAO_GIA'!B:B, '00_TONG_HOP_BAO_GIA'!G:G, 1)</f>
        <v/>
      </c>
      <c r="I139" s="5">
        <f>G139*H139</f>
        <v/>
      </c>
      <c r="J139" s="2">
        <f>XLOOKUP(E139, '06_BANG_GIA_VAT_TU_AP_DUNG'!B:B, '06_BANG_GIA_VAT_TU_AP_DUNG'!C:C, "LỖI_MÃ_VT")</f>
        <v/>
      </c>
      <c r="K139" s="2">
        <f>I139*J139</f>
        <v/>
      </c>
      <c r="L139" t="inlineStr">
        <is>
          <t>1 đôi bạc đỡ 2 bên thân</t>
        </is>
      </c>
    </row>
    <row r="140">
      <c r="A140" t="inlineStr">
        <is>
          <t>SW-DAMPER-045-FUSE</t>
        </is>
      </c>
      <c r="B140" t="inlineStr">
        <is>
          <t>SW-DAMPER-045</t>
        </is>
      </c>
      <c r="C140" t="inlineStr">
        <is>
          <t>Cầu chì nhiệt nóng chảy 70°C (Elsie/USA)</t>
        </is>
      </c>
      <c r="D140" t="inlineStr">
        <is>
          <t>PHỤ_KIỆN_VAN</t>
        </is>
      </c>
      <c r="E140" t="inlineStr">
        <is>
          <t>MAT-DAMPER-CAU-CHI-USA-1-400X400</t>
        </is>
      </c>
      <c r="F140" t="inlineStr">
        <is>
          <t>Cái</t>
        </is>
      </c>
      <c r="G140" s="4" t="n">
        <v>1</v>
      </c>
      <c r="H140" s="2">
        <f>XLOOKUP(B140, '00_TONG_HOP_BAO_GIA'!B:B, '00_TONG_HOP_BAO_GIA'!G:G, 1)</f>
        <v/>
      </c>
      <c r="I140" s="5">
        <f>G140*H140</f>
        <v/>
      </c>
      <c r="J140" s="2">
        <f>XLOOKUP(E140, '06_BANG_GIA_VAT_TU_AP_DUNG'!B:B, '06_BANG_GIA_VAT_TU_AP_DUNG'!C:C, "LỖI_MÃ_VT")</f>
        <v/>
      </c>
      <c r="K140" s="2">
        <f>I140*J140</f>
        <v/>
      </c>
      <c r="L140" t="inlineStr">
        <is>
          <t>Cầu chì kiểm định PCCC</t>
        </is>
      </c>
    </row>
    <row r="141">
      <c r="A141" t="inlineStr">
        <is>
          <t>SW-DAMPER-046-BODY</t>
        </is>
      </c>
      <c r="B141" t="inlineStr">
        <is>
          <t>SW-DAMPER-046</t>
        </is>
      </c>
      <c r="C141" t="inlineStr">
        <is>
          <t>Thân vỏ van FD bích TDF (0.75mm)</t>
        </is>
      </c>
      <c r="D141" t="inlineStr">
        <is>
          <t>TÔN_CUỘN_MẠ_KẼM</t>
        </is>
      </c>
      <c r="E141" t="inlineStr">
        <is>
          <t>MAT-STEEL-PN-0.75</t>
        </is>
      </c>
      <c r="F141" t="inlineStr">
        <is>
          <t>kg</t>
        </is>
      </c>
      <c r="G141" s="4" t="n">
        <v>1.266048</v>
      </c>
      <c r="H141" s="2">
        <f>XLOOKUP(B141, '00_TONG_HOP_BAO_GIA'!B:B, '00_TONG_HOP_BAO_GIA'!G:G, 1)</f>
        <v/>
      </c>
      <c r="I141" s="5">
        <f>G141*H141</f>
        <v/>
      </c>
      <c r="J141" s="2">
        <f>XLOOKUP(E141, '06_BANG_GIA_VAT_TU_AP_DUNG'!B:B, '06_BANG_GIA_VAT_TU_AP_DUNG'!C:C, "LỖI_MÃ_VT")</f>
        <v/>
      </c>
      <c r="K141" s="2">
        <f>I141*J141</f>
        <v/>
      </c>
      <c r="L141" t="inlineStr">
        <is>
          <t>Kích thước vỏ 150.0x150.0x250mm</t>
        </is>
      </c>
    </row>
    <row r="142">
      <c r="A142" t="inlineStr">
        <is>
          <t>SW-DAMPER-046-BLADE</t>
        </is>
      </c>
      <c r="B142" t="inlineStr">
        <is>
          <t>SW-DAMPER-046</t>
        </is>
      </c>
      <c r="C142" t="inlineStr">
        <is>
          <t>Lá cánh van (1 cánh overlap)</t>
        </is>
      </c>
      <c r="D142" t="inlineStr">
        <is>
          <t>TÔN_CUỘN_MẠ_KẼM</t>
        </is>
      </c>
      <c r="E142" t="inlineStr">
        <is>
          <t>MAT-STEEL-PN-0.75</t>
        </is>
      </c>
      <c r="F142" t="inlineStr">
        <is>
          <t>kg</t>
        </is>
      </c>
      <c r="G142" s="4" t="n">
        <v>0.16214175</v>
      </c>
      <c r="H142" s="2">
        <f>XLOOKUP(B142, '00_TONG_HOP_BAO_GIA'!B:B, '00_TONG_HOP_BAO_GIA'!G:G, 1)</f>
        <v/>
      </c>
      <c r="I142" s="5">
        <f>G142*H142</f>
        <v/>
      </c>
      <c r="J142" s="2">
        <f>XLOOKUP(E142, '06_BANG_GIA_VAT_TU_AP_DUNG'!B:B, '06_BANG_GIA_VAT_TU_AP_DUNG'!C:C, "LỖI_MÃ_VT")</f>
        <v/>
      </c>
      <c r="K142" s="2">
        <f>I142*J142</f>
        <v/>
      </c>
      <c r="L142" t="inlineStr">
        <is>
          <t>1 cánh cao 170mm</t>
        </is>
      </c>
    </row>
    <row r="143">
      <c r="A143" t="inlineStr">
        <is>
          <t>SW-DAMPER-046-AXLE</t>
        </is>
      </c>
      <c r="B143" t="inlineStr">
        <is>
          <t>SW-DAMPER-046</t>
        </is>
      </c>
      <c r="C143" t="inlineStr">
        <is>
          <t>Trục Sus 201 D10</t>
        </is>
      </c>
      <c r="D143" t="inlineStr">
        <is>
          <t>PHỤ_KIỆN_VAN</t>
        </is>
      </c>
      <c r="E143" t="inlineStr">
        <is>
          <t>MAT-DAMPER-TRUC-SUS-201-D10</t>
        </is>
      </c>
      <c r="F143" t="inlineStr">
        <is>
          <t>m</t>
        </is>
      </c>
      <c r="G143" s="4" t="n">
        <v>0.21</v>
      </c>
      <c r="H143" s="2">
        <f>XLOOKUP(B143, '00_TONG_HOP_BAO_GIA'!B:B, '00_TONG_HOP_BAO_GIA'!G:G, 1)</f>
        <v/>
      </c>
      <c r="I143" s="5">
        <f>G143*H143</f>
        <v/>
      </c>
      <c r="J143" s="2">
        <f>XLOOKUP(E143, '06_BANG_GIA_VAT_TU_AP_DUNG'!B:B, '06_BANG_GIA_VAT_TU_AP_DUNG'!C:C, "LỖI_MÃ_VT")</f>
        <v/>
      </c>
      <c r="K143" s="2">
        <f>I143*J143</f>
        <v/>
      </c>
      <c r="L143" t="inlineStr">
        <is>
          <t>1 trục dài 210mm</t>
        </is>
      </c>
    </row>
    <row r="144">
      <c r="A144" t="inlineStr">
        <is>
          <t>SW-DAMPER-046-BEARING</t>
        </is>
      </c>
      <c r="B144" t="inlineStr">
        <is>
          <t>SW-DAMPER-046</t>
        </is>
      </c>
      <c r="C144" t="inlineStr">
        <is>
          <t>Bạc đồng D10</t>
        </is>
      </c>
      <c r="D144" t="inlineStr">
        <is>
          <t>PHỤ_KIỆN_VAN</t>
        </is>
      </c>
      <c r="E144" t="inlineStr">
        <is>
          <t>MAT-DAMPER-BAC-DONG-D10</t>
        </is>
      </c>
      <c r="F144" t="inlineStr">
        <is>
          <t>Đôi</t>
        </is>
      </c>
      <c r="G144" s="4" t="n">
        <v>1</v>
      </c>
      <c r="H144" s="2">
        <f>XLOOKUP(B144, '00_TONG_HOP_BAO_GIA'!B:B, '00_TONG_HOP_BAO_GIA'!G:G, 1)</f>
        <v/>
      </c>
      <c r="I144" s="5">
        <f>G144*H144</f>
        <v/>
      </c>
      <c r="J144" s="2">
        <f>XLOOKUP(E144, '06_BANG_GIA_VAT_TU_AP_DUNG'!B:B, '06_BANG_GIA_VAT_TU_AP_DUNG'!C:C, "LỖI_MÃ_VT")</f>
        <v/>
      </c>
      <c r="K144" s="2">
        <f>I144*J144</f>
        <v/>
      </c>
      <c r="L144" t="inlineStr">
        <is>
          <t>1 đôi bạc đỡ 2 bên thân</t>
        </is>
      </c>
    </row>
    <row r="145">
      <c r="A145" t="inlineStr">
        <is>
          <t>SW-DAMPER-046-FUSE</t>
        </is>
      </c>
      <c r="B145" t="inlineStr">
        <is>
          <t>SW-DAMPER-046</t>
        </is>
      </c>
      <c r="C145" t="inlineStr">
        <is>
          <t>Cầu chì nhiệt nóng chảy 70°C (Elsie/USA)</t>
        </is>
      </c>
      <c r="D145" t="inlineStr">
        <is>
          <t>PHỤ_KIỆN_VAN</t>
        </is>
      </c>
      <c r="E145" t="inlineStr">
        <is>
          <t>MAT-DAMPER-CAU-CHI-USA-1-400X400</t>
        </is>
      </c>
      <c r="F145" t="inlineStr">
        <is>
          <t>Cái</t>
        </is>
      </c>
      <c r="G145" s="4" t="n">
        <v>1</v>
      </c>
      <c r="H145" s="2">
        <f>XLOOKUP(B145, '00_TONG_HOP_BAO_GIA'!B:B, '00_TONG_HOP_BAO_GIA'!G:G, 1)</f>
        <v/>
      </c>
      <c r="I145" s="5">
        <f>G145*H145</f>
        <v/>
      </c>
      <c r="J145" s="2">
        <f>XLOOKUP(E145, '06_BANG_GIA_VAT_TU_AP_DUNG'!B:B, '06_BANG_GIA_VAT_TU_AP_DUNG'!C:C, "LỖI_MÃ_VT")</f>
        <v/>
      </c>
      <c r="K145" s="2">
        <f>I145*J145</f>
        <v/>
      </c>
      <c r="L145" t="inlineStr">
        <is>
          <t>Cầu chì kiểm định PCCC</t>
        </is>
      </c>
    </row>
    <row r="146">
      <c r="A146" t="inlineStr">
        <is>
          <t>SW-DAMPER-047-BODY</t>
        </is>
      </c>
      <c r="B146" t="inlineStr">
        <is>
          <t>SW-DAMPER-047</t>
        </is>
      </c>
      <c r="C146" t="inlineStr">
        <is>
          <t>Thân vỏ van FD bích TDF (0.75mm)</t>
        </is>
      </c>
      <c r="D146" t="inlineStr">
        <is>
          <t>TÔN_CUỘN_MẠ_KẼM</t>
        </is>
      </c>
      <c r="E146" t="inlineStr">
        <is>
          <t>MAT-STEEL-PN-0.75</t>
        </is>
      </c>
      <c r="F146" t="inlineStr">
        <is>
          <t>kg</t>
        </is>
      </c>
      <c r="G146" s="4" t="n">
        <v>1.266048</v>
      </c>
      <c r="H146" s="2">
        <f>XLOOKUP(B146, '00_TONG_HOP_BAO_GIA'!B:B, '00_TONG_HOP_BAO_GIA'!G:G, 1)</f>
        <v/>
      </c>
      <c r="I146" s="5">
        <f>G146*H146</f>
        <v/>
      </c>
      <c r="J146" s="2">
        <f>XLOOKUP(E146, '06_BANG_GIA_VAT_TU_AP_DUNG'!B:B, '06_BANG_GIA_VAT_TU_AP_DUNG'!C:C, "LỖI_MÃ_VT")</f>
        <v/>
      </c>
      <c r="K146" s="2">
        <f>I146*J146</f>
        <v/>
      </c>
      <c r="L146" t="inlineStr">
        <is>
          <t>Kích thước vỏ 150.0x150.0x250mm</t>
        </is>
      </c>
    </row>
    <row r="147">
      <c r="A147" t="inlineStr">
        <is>
          <t>SW-DAMPER-047-BLADE</t>
        </is>
      </c>
      <c r="B147" t="inlineStr">
        <is>
          <t>SW-DAMPER-047</t>
        </is>
      </c>
      <c r="C147" t="inlineStr">
        <is>
          <t>Lá cánh van (1 cánh overlap)</t>
        </is>
      </c>
      <c r="D147" t="inlineStr">
        <is>
          <t>TÔN_CUỘN_MẠ_KẼM</t>
        </is>
      </c>
      <c r="E147" t="inlineStr">
        <is>
          <t>MAT-STEEL-PN-0.75</t>
        </is>
      </c>
      <c r="F147" t="inlineStr">
        <is>
          <t>kg</t>
        </is>
      </c>
      <c r="G147" s="4" t="n">
        <v>0.16214175</v>
      </c>
      <c r="H147" s="2">
        <f>XLOOKUP(B147, '00_TONG_HOP_BAO_GIA'!B:B, '00_TONG_HOP_BAO_GIA'!G:G, 1)</f>
        <v/>
      </c>
      <c r="I147" s="5">
        <f>G147*H147</f>
        <v/>
      </c>
      <c r="J147" s="2">
        <f>XLOOKUP(E147, '06_BANG_GIA_VAT_TU_AP_DUNG'!B:B, '06_BANG_GIA_VAT_TU_AP_DUNG'!C:C, "LỖI_MÃ_VT")</f>
        <v/>
      </c>
      <c r="K147" s="2">
        <f>I147*J147</f>
        <v/>
      </c>
      <c r="L147" t="inlineStr">
        <is>
          <t>1 cánh cao 170mm</t>
        </is>
      </c>
    </row>
    <row r="148">
      <c r="A148" t="inlineStr">
        <is>
          <t>SW-DAMPER-047-AXLE</t>
        </is>
      </c>
      <c r="B148" t="inlineStr">
        <is>
          <t>SW-DAMPER-047</t>
        </is>
      </c>
      <c r="C148" t="inlineStr">
        <is>
          <t>Trục Sus 201 D10</t>
        </is>
      </c>
      <c r="D148" t="inlineStr">
        <is>
          <t>PHỤ_KIỆN_VAN</t>
        </is>
      </c>
      <c r="E148" t="inlineStr">
        <is>
          <t>MAT-DAMPER-TRUC-SUS-201-D10</t>
        </is>
      </c>
      <c r="F148" t="inlineStr">
        <is>
          <t>m</t>
        </is>
      </c>
      <c r="G148" s="4" t="n">
        <v>0.21</v>
      </c>
      <c r="H148" s="2">
        <f>XLOOKUP(B148, '00_TONG_HOP_BAO_GIA'!B:B, '00_TONG_HOP_BAO_GIA'!G:G, 1)</f>
        <v/>
      </c>
      <c r="I148" s="5">
        <f>G148*H148</f>
        <v/>
      </c>
      <c r="J148" s="2">
        <f>XLOOKUP(E148, '06_BANG_GIA_VAT_TU_AP_DUNG'!B:B, '06_BANG_GIA_VAT_TU_AP_DUNG'!C:C, "LỖI_MÃ_VT")</f>
        <v/>
      </c>
      <c r="K148" s="2">
        <f>I148*J148</f>
        <v/>
      </c>
      <c r="L148" t="inlineStr">
        <is>
          <t>1 trục dài 210mm</t>
        </is>
      </c>
    </row>
    <row r="149">
      <c r="A149" t="inlineStr">
        <is>
          <t>SW-DAMPER-047-BEARING</t>
        </is>
      </c>
      <c r="B149" t="inlineStr">
        <is>
          <t>SW-DAMPER-047</t>
        </is>
      </c>
      <c r="C149" t="inlineStr">
        <is>
          <t>Bạc đồng D10</t>
        </is>
      </c>
      <c r="D149" t="inlineStr">
        <is>
          <t>PHỤ_KIỆN_VAN</t>
        </is>
      </c>
      <c r="E149" t="inlineStr">
        <is>
          <t>MAT-DAMPER-BAC-DONG-D10</t>
        </is>
      </c>
      <c r="F149" t="inlineStr">
        <is>
          <t>Đôi</t>
        </is>
      </c>
      <c r="G149" s="4" t="n">
        <v>1</v>
      </c>
      <c r="H149" s="2">
        <f>XLOOKUP(B149, '00_TONG_HOP_BAO_GIA'!B:B, '00_TONG_HOP_BAO_GIA'!G:G, 1)</f>
        <v/>
      </c>
      <c r="I149" s="5">
        <f>G149*H149</f>
        <v/>
      </c>
      <c r="J149" s="2">
        <f>XLOOKUP(E149, '06_BANG_GIA_VAT_TU_AP_DUNG'!B:B, '06_BANG_GIA_VAT_TU_AP_DUNG'!C:C, "LỖI_MÃ_VT")</f>
        <v/>
      </c>
      <c r="K149" s="2">
        <f>I149*J149</f>
        <v/>
      </c>
      <c r="L149" t="inlineStr">
        <is>
          <t>1 đôi bạc đỡ 2 bên thân</t>
        </is>
      </c>
    </row>
    <row r="150">
      <c r="A150" t="inlineStr">
        <is>
          <t>SW-DAMPER-047-FUSE</t>
        </is>
      </c>
      <c r="B150" t="inlineStr">
        <is>
          <t>SW-DAMPER-047</t>
        </is>
      </c>
      <c r="C150" t="inlineStr">
        <is>
          <t>Cầu chì nhiệt nóng chảy 70°C (Elsie/USA)</t>
        </is>
      </c>
      <c r="D150" t="inlineStr">
        <is>
          <t>PHỤ_KIỆN_VAN</t>
        </is>
      </c>
      <c r="E150" t="inlineStr">
        <is>
          <t>MAT-DAMPER-CAU-CHI-USA-1-400X400</t>
        </is>
      </c>
      <c r="F150" t="inlineStr">
        <is>
          <t>Cái</t>
        </is>
      </c>
      <c r="G150" s="4" t="n">
        <v>1</v>
      </c>
      <c r="H150" s="2">
        <f>XLOOKUP(B150, '00_TONG_HOP_BAO_GIA'!B:B, '00_TONG_HOP_BAO_GIA'!G:G, 1)</f>
        <v/>
      </c>
      <c r="I150" s="5">
        <f>G150*H150</f>
        <v/>
      </c>
      <c r="J150" s="2">
        <f>XLOOKUP(E150, '06_BANG_GIA_VAT_TU_AP_DUNG'!B:B, '06_BANG_GIA_VAT_TU_AP_DUNG'!C:C, "LỖI_MÃ_VT")</f>
        <v/>
      </c>
      <c r="K150" s="2">
        <f>I150*J150</f>
        <v/>
      </c>
      <c r="L150" t="inlineStr">
        <is>
          <t>Cầu chì kiểm định PCCC</t>
        </is>
      </c>
    </row>
    <row r="151">
      <c r="A151" t="inlineStr">
        <is>
          <t>SW-DAMPER-048-BODY</t>
        </is>
      </c>
      <c r="B151" t="inlineStr">
        <is>
          <t>SW-DAMPER-048</t>
        </is>
      </c>
      <c r="C151" t="inlineStr">
        <is>
          <t>Thân vỏ van FD bích TDF (0.75mm)</t>
        </is>
      </c>
      <c r="D151" t="inlineStr">
        <is>
          <t>TÔN_CUỘN_MẠ_KẼM</t>
        </is>
      </c>
      <c r="E151" t="inlineStr">
        <is>
          <t>MAT-STEEL-PN-0.75</t>
        </is>
      </c>
      <c r="F151" t="inlineStr">
        <is>
          <t>kg</t>
        </is>
      </c>
      <c r="G151" s="4" t="n">
        <v>2.255148</v>
      </c>
      <c r="H151" s="2">
        <f>XLOOKUP(B151, '00_TONG_HOP_BAO_GIA'!B:B, '00_TONG_HOP_BAO_GIA'!G:G, 1)</f>
        <v/>
      </c>
      <c r="I151" s="5">
        <f>G151*H151</f>
        <v/>
      </c>
      <c r="J151" s="2">
        <f>XLOOKUP(E151, '06_BANG_GIA_VAT_TU_AP_DUNG'!B:B, '06_BANG_GIA_VAT_TU_AP_DUNG'!C:C, "LỖI_MÃ_VT")</f>
        <v/>
      </c>
      <c r="K151" s="2">
        <f>I151*J151</f>
        <v/>
      </c>
      <c r="L151" t="inlineStr">
        <is>
          <t>Kích thước vỏ 300.0x250.0x250mm</t>
        </is>
      </c>
    </row>
    <row r="152">
      <c r="A152" t="inlineStr">
        <is>
          <t>SW-DAMPER-048-BLADE</t>
        </is>
      </c>
      <c r="B152" t="inlineStr">
        <is>
          <t>SW-DAMPER-048</t>
        </is>
      </c>
      <c r="C152" t="inlineStr">
        <is>
          <t>Lá cánh van (2 cánh overlap)</t>
        </is>
      </c>
      <c r="D152" t="inlineStr">
        <is>
          <t>TÔN_CUỘN_MẠ_KẼM</t>
        </is>
      </c>
      <c r="E152" t="inlineStr">
        <is>
          <t>MAT-STEEL-PN-0.75</t>
        </is>
      </c>
      <c r="F152" t="inlineStr">
        <is>
          <t>kg</t>
        </is>
      </c>
      <c r="G152" s="4" t="n">
        <v>0.5531894999999999</v>
      </c>
      <c r="H152" s="2">
        <f>XLOOKUP(B152, '00_TONG_HOP_BAO_GIA'!B:B, '00_TONG_HOP_BAO_GIA'!G:G, 1)</f>
        <v/>
      </c>
      <c r="I152" s="5">
        <f>G152*H152</f>
        <v/>
      </c>
      <c r="J152" s="2">
        <f>XLOOKUP(E152, '06_BANG_GIA_VAT_TU_AP_DUNG'!B:B, '06_BANG_GIA_VAT_TU_AP_DUNG'!C:C, "LỖI_MÃ_VT")</f>
        <v/>
      </c>
      <c r="K152" s="2">
        <f>I152*J152</f>
        <v/>
      </c>
      <c r="L152" t="inlineStr">
        <is>
          <t>2 cánh cao 145mm</t>
        </is>
      </c>
    </row>
    <row r="153">
      <c r="A153" t="inlineStr">
        <is>
          <t>SW-DAMPER-048-AXLE</t>
        </is>
      </c>
      <c r="B153" t="inlineStr">
        <is>
          <t>SW-DAMPER-048</t>
        </is>
      </c>
      <c r="C153" t="inlineStr">
        <is>
          <t>Trục Sus 201 D10</t>
        </is>
      </c>
      <c r="D153" t="inlineStr">
        <is>
          <t>PHỤ_KIỆN_VAN</t>
        </is>
      </c>
      <c r="E153" t="inlineStr">
        <is>
          <t>MAT-DAMPER-TRUC-SUS-201-D10</t>
        </is>
      </c>
      <c r="F153" t="inlineStr">
        <is>
          <t>m</t>
        </is>
      </c>
      <c r="G153" s="4" t="n">
        <v>0.72</v>
      </c>
      <c r="H153" s="2">
        <f>XLOOKUP(B153, '00_TONG_HOP_BAO_GIA'!B:B, '00_TONG_HOP_BAO_GIA'!G:G, 1)</f>
        <v/>
      </c>
      <c r="I153" s="5">
        <f>G153*H153</f>
        <v/>
      </c>
      <c r="J153" s="2">
        <f>XLOOKUP(E153, '06_BANG_GIA_VAT_TU_AP_DUNG'!B:B, '06_BANG_GIA_VAT_TU_AP_DUNG'!C:C, "LỖI_MÃ_VT")</f>
        <v/>
      </c>
      <c r="K153" s="2">
        <f>I153*J153</f>
        <v/>
      </c>
      <c r="L153" t="inlineStr">
        <is>
          <t>2 trục dài 360mm</t>
        </is>
      </c>
    </row>
    <row r="154">
      <c r="A154" t="inlineStr">
        <is>
          <t>SW-DAMPER-048-BEARING</t>
        </is>
      </c>
      <c r="B154" t="inlineStr">
        <is>
          <t>SW-DAMPER-048</t>
        </is>
      </c>
      <c r="C154" t="inlineStr">
        <is>
          <t>Bạc đồng D10</t>
        </is>
      </c>
      <c r="D154" t="inlineStr">
        <is>
          <t>PHỤ_KIỆN_VAN</t>
        </is>
      </c>
      <c r="E154" t="inlineStr">
        <is>
          <t>MAT-DAMPER-BAC-DONG-D10</t>
        </is>
      </c>
      <c r="F154" t="inlineStr">
        <is>
          <t>Đôi</t>
        </is>
      </c>
      <c r="G154" s="4" t="n">
        <v>2</v>
      </c>
      <c r="H154" s="2">
        <f>XLOOKUP(B154, '00_TONG_HOP_BAO_GIA'!B:B, '00_TONG_HOP_BAO_GIA'!G:G, 1)</f>
        <v/>
      </c>
      <c r="I154" s="5">
        <f>G154*H154</f>
        <v/>
      </c>
      <c r="J154" s="2">
        <f>XLOOKUP(E154, '06_BANG_GIA_VAT_TU_AP_DUNG'!B:B, '06_BANG_GIA_VAT_TU_AP_DUNG'!C:C, "LỖI_MÃ_VT")</f>
        <v/>
      </c>
      <c r="K154" s="2">
        <f>I154*J154</f>
        <v/>
      </c>
      <c r="L154" t="inlineStr">
        <is>
          <t>2 đôi bạc đỡ 2 bên thân</t>
        </is>
      </c>
    </row>
    <row r="155">
      <c r="A155" t="inlineStr">
        <is>
          <t>SW-DAMPER-048-GEAR</t>
        </is>
      </c>
      <c r="B155" t="inlineStr">
        <is>
          <t>SW-DAMPER-048</t>
        </is>
      </c>
      <c r="C155" t="inlineStr">
        <is>
          <t>Bánh răng van nhôm</t>
        </is>
      </c>
      <c r="D155" t="inlineStr">
        <is>
          <t>PHỤ_KIỆN_VAN</t>
        </is>
      </c>
      <c r="E155" t="inlineStr">
        <is>
          <t>MAT-DAMPER-BANH-RANG-VAN-NHOM</t>
        </is>
      </c>
      <c r="F155" t="inlineStr">
        <is>
          <t>Bộ</t>
        </is>
      </c>
      <c r="G155" s="4" t="n">
        <v>1</v>
      </c>
      <c r="H155" s="2">
        <f>XLOOKUP(B155, '00_TONG_HOP_BAO_GIA'!B:B, '00_TONG_HOP_BAO_GIA'!G:G, 1)</f>
        <v/>
      </c>
      <c r="I155" s="5">
        <f>G155*H155</f>
        <v/>
      </c>
      <c r="J155" s="2">
        <f>XLOOKUP(E155, '06_BANG_GIA_VAT_TU_AP_DUNG'!B:B, '06_BANG_GIA_VAT_TU_AP_DUNG'!C:C, "LỖI_MÃ_VT")</f>
        <v/>
      </c>
      <c r="K155" s="2">
        <f>I155*J155</f>
        <v/>
      </c>
      <c r="L155" t="inlineStr">
        <is>
          <t>Cơ cấu liên động bánh răng van</t>
        </is>
      </c>
    </row>
    <row r="156">
      <c r="A156" t="inlineStr">
        <is>
          <t>SW-DAMPER-048-FUSE</t>
        </is>
      </c>
      <c r="B156" t="inlineStr">
        <is>
          <t>SW-DAMPER-048</t>
        </is>
      </c>
      <c r="C156" t="inlineStr">
        <is>
          <t>Cầu chì nhiệt nóng chảy 70°C (Elsie/USA)</t>
        </is>
      </c>
      <c r="D156" t="inlineStr">
        <is>
          <t>PHỤ_KIỆN_VAN</t>
        </is>
      </c>
      <c r="E156" t="inlineStr">
        <is>
          <t>MAT-DAMPER-CAU-CHI-USA-1-400X400</t>
        </is>
      </c>
      <c r="F156" t="inlineStr">
        <is>
          <t>Cái</t>
        </is>
      </c>
      <c r="G156" s="4" t="n">
        <v>1</v>
      </c>
      <c r="H156" s="2">
        <f>XLOOKUP(B156, '00_TONG_HOP_BAO_GIA'!B:B, '00_TONG_HOP_BAO_GIA'!G:G, 1)</f>
        <v/>
      </c>
      <c r="I156" s="5">
        <f>G156*H156</f>
        <v/>
      </c>
      <c r="J156" s="2">
        <f>XLOOKUP(E156, '06_BANG_GIA_VAT_TU_AP_DUNG'!B:B, '06_BANG_GIA_VAT_TU_AP_DUNG'!C:C, "LỖI_MÃ_VT")</f>
        <v/>
      </c>
      <c r="K156" s="2">
        <f>I156*J156</f>
        <v/>
      </c>
      <c r="L156" t="inlineStr">
        <is>
          <t>Cầu chì kiểm định PCCC</t>
        </is>
      </c>
    </row>
    <row r="157">
      <c r="A157" t="inlineStr">
        <is>
          <t>SW-DAMPER-049-BODY</t>
        </is>
      </c>
      <c r="B157" t="inlineStr">
        <is>
          <t>SW-DAMPER-049</t>
        </is>
      </c>
      <c r="C157" t="inlineStr">
        <is>
          <t>Thân vỏ van FD bích TDF (0.75mm)</t>
        </is>
      </c>
      <c r="D157" t="inlineStr">
        <is>
          <t>TÔN_CUỘN_MẠ_KẼM</t>
        </is>
      </c>
      <c r="E157" t="inlineStr">
        <is>
          <t>MAT-STEEL-PN-0.75</t>
        </is>
      </c>
      <c r="F157" t="inlineStr">
        <is>
          <t>kg</t>
        </is>
      </c>
      <c r="G157" s="4" t="n">
        <v>2.452968</v>
      </c>
      <c r="H157" s="2">
        <f>XLOOKUP(B157, '00_TONG_HOP_BAO_GIA'!B:B, '00_TONG_HOP_BAO_GIA'!G:G, 1)</f>
        <v/>
      </c>
      <c r="I157" s="5">
        <f>G157*H157</f>
        <v/>
      </c>
      <c r="J157" s="2">
        <f>XLOOKUP(E157, '06_BANG_GIA_VAT_TU_AP_DUNG'!B:B, '06_BANG_GIA_VAT_TU_AP_DUNG'!C:C, "LỖI_MÃ_VT")</f>
        <v/>
      </c>
      <c r="K157" s="2">
        <f>I157*J157</f>
        <v/>
      </c>
      <c r="L157" t="inlineStr">
        <is>
          <t>Kích thước vỏ 300.0x300.0x250mm</t>
        </is>
      </c>
    </row>
    <row r="158">
      <c r="A158" t="inlineStr">
        <is>
          <t>SW-DAMPER-049-BLADE</t>
        </is>
      </c>
      <c r="B158" t="inlineStr">
        <is>
          <t>SW-DAMPER-049</t>
        </is>
      </c>
      <c r="C158" t="inlineStr">
        <is>
          <t>Lá cánh van (2 cánh overlap)</t>
        </is>
      </c>
      <c r="D158" t="inlineStr">
        <is>
          <t>TÔN_CUỘN_MẠ_KẼM</t>
        </is>
      </c>
      <c r="E158" t="inlineStr">
        <is>
          <t>MAT-STEEL-PN-0.75</t>
        </is>
      </c>
      <c r="F158" t="inlineStr">
        <is>
          <t>kg</t>
        </is>
      </c>
      <c r="G158" s="4" t="n">
        <v>0.648567</v>
      </c>
      <c r="H158" s="2">
        <f>XLOOKUP(B158, '00_TONG_HOP_BAO_GIA'!B:B, '00_TONG_HOP_BAO_GIA'!G:G, 1)</f>
        <v/>
      </c>
      <c r="I158" s="5">
        <f>G158*H158</f>
        <v/>
      </c>
      <c r="J158" s="2">
        <f>XLOOKUP(E158, '06_BANG_GIA_VAT_TU_AP_DUNG'!B:B, '06_BANG_GIA_VAT_TU_AP_DUNG'!C:C, "LỖI_MÃ_VT")</f>
        <v/>
      </c>
      <c r="K158" s="2">
        <f>I158*J158</f>
        <v/>
      </c>
      <c r="L158" t="inlineStr">
        <is>
          <t>2 cánh cao 170mm</t>
        </is>
      </c>
    </row>
    <row r="159">
      <c r="A159" t="inlineStr">
        <is>
          <t>SW-DAMPER-049-AXLE</t>
        </is>
      </c>
      <c r="B159" t="inlineStr">
        <is>
          <t>SW-DAMPER-049</t>
        </is>
      </c>
      <c r="C159" t="inlineStr">
        <is>
          <t>Trục Sus 201 D10</t>
        </is>
      </c>
      <c r="D159" t="inlineStr">
        <is>
          <t>PHỤ_KIỆN_VAN</t>
        </is>
      </c>
      <c r="E159" t="inlineStr">
        <is>
          <t>MAT-DAMPER-TRUC-SUS-201-D10</t>
        </is>
      </c>
      <c r="F159" t="inlineStr">
        <is>
          <t>m</t>
        </is>
      </c>
      <c r="G159" s="4" t="n">
        <v>0.72</v>
      </c>
      <c r="H159" s="2">
        <f>XLOOKUP(B159, '00_TONG_HOP_BAO_GIA'!B:B, '00_TONG_HOP_BAO_GIA'!G:G, 1)</f>
        <v/>
      </c>
      <c r="I159" s="5">
        <f>G159*H159</f>
        <v/>
      </c>
      <c r="J159" s="2">
        <f>XLOOKUP(E159, '06_BANG_GIA_VAT_TU_AP_DUNG'!B:B, '06_BANG_GIA_VAT_TU_AP_DUNG'!C:C, "LỖI_MÃ_VT")</f>
        <v/>
      </c>
      <c r="K159" s="2">
        <f>I159*J159</f>
        <v/>
      </c>
      <c r="L159" t="inlineStr">
        <is>
          <t>2 trục dài 360mm</t>
        </is>
      </c>
    </row>
    <row r="160">
      <c r="A160" t="inlineStr">
        <is>
          <t>SW-DAMPER-049-BEARING</t>
        </is>
      </c>
      <c r="B160" t="inlineStr">
        <is>
          <t>SW-DAMPER-049</t>
        </is>
      </c>
      <c r="C160" t="inlineStr">
        <is>
          <t>Bạc đồng D10</t>
        </is>
      </c>
      <c r="D160" t="inlineStr">
        <is>
          <t>PHỤ_KIỆN_VAN</t>
        </is>
      </c>
      <c r="E160" t="inlineStr">
        <is>
          <t>MAT-DAMPER-BAC-DONG-D10</t>
        </is>
      </c>
      <c r="F160" t="inlineStr">
        <is>
          <t>Đôi</t>
        </is>
      </c>
      <c r="G160" s="4" t="n">
        <v>2</v>
      </c>
      <c r="H160" s="2">
        <f>XLOOKUP(B160, '00_TONG_HOP_BAO_GIA'!B:B, '00_TONG_HOP_BAO_GIA'!G:G, 1)</f>
        <v/>
      </c>
      <c r="I160" s="5">
        <f>G160*H160</f>
        <v/>
      </c>
      <c r="J160" s="2">
        <f>XLOOKUP(E160, '06_BANG_GIA_VAT_TU_AP_DUNG'!B:B, '06_BANG_GIA_VAT_TU_AP_DUNG'!C:C, "LỖI_MÃ_VT")</f>
        <v/>
      </c>
      <c r="K160" s="2">
        <f>I160*J160</f>
        <v/>
      </c>
      <c r="L160" t="inlineStr">
        <is>
          <t>2 đôi bạc đỡ 2 bên thân</t>
        </is>
      </c>
    </row>
    <row r="161">
      <c r="A161" t="inlineStr">
        <is>
          <t>SW-DAMPER-049-GEAR</t>
        </is>
      </c>
      <c r="B161" t="inlineStr">
        <is>
          <t>SW-DAMPER-049</t>
        </is>
      </c>
      <c r="C161" t="inlineStr">
        <is>
          <t>Bánh răng van nhôm</t>
        </is>
      </c>
      <c r="D161" t="inlineStr">
        <is>
          <t>PHỤ_KIỆN_VAN</t>
        </is>
      </c>
      <c r="E161" t="inlineStr">
        <is>
          <t>MAT-DAMPER-BANH-RANG-VAN-NHOM</t>
        </is>
      </c>
      <c r="F161" t="inlineStr">
        <is>
          <t>Bộ</t>
        </is>
      </c>
      <c r="G161" s="4" t="n">
        <v>1</v>
      </c>
      <c r="H161" s="2">
        <f>XLOOKUP(B161, '00_TONG_HOP_BAO_GIA'!B:B, '00_TONG_HOP_BAO_GIA'!G:G, 1)</f>
        <v/>
      </c>
      <c r="I161" s="5">
        <f>G161*H161</f>
        <v/>
      </c>
      <c r="J161" s="2">
        <f>XLOOKUP(E161, '06_BANG_GIA_VAT_TU_AP_DUNG'!B:B, '06_BANG_GIA_VAT_TU_AP_DUNG'!C:C, "LỖI_MÃ_VT")</f>
        <v/>
      </c>
      <c r="K161" s="2">
        <f>I161*J161</f>
        <v/>
      </c>
      <c r="L161" t="inlineStr">
        <is>
          <t>Cơ cấu liên động bánh răng van</t>
        </is>
      </c>
    </row>
    <row r="162">
      <c r="A162" t="inlineStr">
        <is>
          <t>SW-DAMPER-049-FUSE</t>
        </is>
      </c>
      <c r="B162" t="inlineStr">
        <is>
          <t>SW-DAMPER-049</t>
        </is>
      </c>
      <c r="C162" t="inlineStr">
        <is>
          <t>Cầu chì nhiệt nóng chảy 70°C (Elsie/USA)</t>
        </is>
      </c>
      <c r="D162" t="inlineStr">
        <is>
          <t>PHỤ_KIỆN_VAN</t>
        </is>
      </c>
      <c r="E162" t="inlineStr">
        <is>
          <t>MAT-DAMPER-CAU-CHI-USA-1-400X400</t>
        </is>
      </c>
      <c r="F162" t="inlineStr">
        <is>
          <t>Cái</t>
        </is>
      </c>
      <c r="G162" s="4" t="n">
        <v>1</v>
      </c>
      <c r="H162" s="2">
        <f>XLOOKUP(B162, '00_TONG_HOP_BAO_GIA'!B:B, '00_TONG_HOP_BAO_GIA'!G:G, 1)</f>
        <v/>
      </c>
      <c r="I162" s="5">
        <f>G162*H162</f>
        <v/>
      </c>
      <c r="J162" s="2">
        <f>XLOOKUP(E162, '06_BANG_GIA_VAT_TU_AP_DUNG'!B:B, '06_BANG_GIA_VAT_TU_AP_DUNG'!C:C, "LỖI_MÃ_VT")</f>
        <v/>
      </c>
      <c r="K162" s="2">
        <f>I162*J162</f>
        <v/>
      </c>
      <c r="L162" t="inlineStr">
        <is>
          <t>Cầu chì kiểm định PCCC</t>
        </is>
      </c>
    </row>
    <row r="163">
      <c r="A163" t="inlineStr">
        <is>
          <t>SW-DAMPER-050-BODY</t>
        </is>
      </c>
      <c r="B163" t="inlineStr">
        <is>
          <t>SW-DAMPER-050</t>
        </is>
      </c>
      <c r="C163" t="inlineStr">
        <is>
          <t>Thân vỏ van FD bích TDF (0.75mm)</t>
        </is>
      </c>
      <c r="D163" t="inlineStr">
        <is>
          <t>TÔN_CUỘN_MẠ_KẼM</t>
        </is>
      </c>
      <c r="E163" t="inlineStr">
        <is>
          <t>MAT-STEEL-PN-0.75</t>
        </is>
      </c>
      <c r="F163" t="inlineStr">
        <is>
          <t>kg</t>
        </is>
      </c>
      <c r="G163" s="4" t="n">
        <v>2.452968</v>
      </c>
      <c r="H163" s="2">
        <f>XLOOKUP(B163, '00_TONG_HOP_BAO_GIA'!B:B, '00_TONG_HOP_BAO_GIA'!G:G, 1)</f>
        <v/>
      </c>
      <c r="I163" s="5">
        <f>G163*H163</f>
        <v/>
      </c>
      <c r="J163" s="2">
        <f>XLOOKUP(E163, '06_BANG_GIA_VAT_TU_AP_DUNG'!B:B, '06_BANG_GIA_VAT_TU_AP_DUNG'!C:C, "LỖI_MÃ_VT")</f>
        <v/>
      </c>
      <c r="K163" s="2">
        <f>I163*J163</f>
        <v/>
      </c>
      <c r="L163" t="inlineStr">
        <is>
          <t>Kích thước vỏ 350.0x250.0x250mm</t>
        </is>
      </c>
    </row>
    <row r="164">
      <c r="A164" t="inlineStr">
        <is>
          <t>SW-DAMPER-050-BLADE</t>
        </is>
      </c>
      <c r="B164" t="inlineStr">
        <is>
          <t>SW-DAMPER-050</t>
        </is>
      </c>
      <c r="C164" t="inlineStr">
        <is>
          <t>Lá cánh van (2 cánh overlap)</t>
        </is>
      </c>
      <c r="D164" t="inlineStr">
        <is>
          <t>TÔN_CUỘN_MẠ_KẼM</t>
        </is>
      </c>
      <c r="E164" t="inlineStr">
        <is>
          <t>MAT-STEEL-PN-0.75</t>
        </is>
      </c>
      <c r="F164" t="inlineStr">
        <is>
          <t>kg</t>
        </is>
      </c>
      <c r="G164" s="4" t="n">
        <v>0.6453877499999999</v>
      </c>
      <c r="H164" s="2">
        <f>XLOOKUP(B164, '00_TONG_HOP_BAO_GIA'!B:B, '00_TONG_HOP_BAO_GIA'!G:G, 1)</f>
        <v/>
      </c>
      <c r="I164" s="5">
        <f>G164*H164</f>
        <v/>
      </c>
      <c r="J164" s="2">
        <f>XLOOKUP(E164, '06_BANG_GIA_VAT_TU_AP_DUNG'!B:B, '06_BANG_GIA_VAT_TU_AP_DUNG'!C:C, "LỖI_MÃ_VT")</f>
        <v/>
      </c>
      <c r="K164" s="2">
        <f>I164*J164</f>
        <v/>
      </c>
      <c r="L164" t="inlineStr">
        <is>
          <t>2 cánh cao 145mm</t>
        </is>
      </c>
    </row>
    <row r="165">
      <c r="A165" t="inlineStr">
        <is>
          <t>SW-DAMPER-050-AXLE</t>
        </is>
      </c>
      <c r="B165" t="inlineStr">
        <is>
          <t>SW-DAMPER-050</t>
        </is>
      </c>
      <c r="C165" t="inlineStr">
        <is>
          <t>Trục Sus 201 D10</t>
        </is>
      </c>
      <c r="D165" t="inlineStr">
        <is>
          <t>PHỤ_KIỆN_VAN</t>
        </is>
      </c>
      <c r="E165" t="inlineStr">
        <is>
          <t>MAT-DAMPER-TRUC-SUS-201-D10</t>
        </is>
      </c>
      <c r="F165" t="inlineStr">
        <is>
          <t>m</t>
        </is>
      </c>
      <c r="G165" s="4" t="n">
        <v>0.82</v>
      </c>
      <c r="H165" s="2">
        <f>XLOOKUP(B165, '00_TONG_HOP_BAO_GIA'!B:B, '00_TONG_HOP_BAO_GIA'!G:G, 1)</f>
        <v/>
      </c>
      <c r="I165" s="5">
        <f>G165*H165</f>
        <v/>
      </c>
      <c r="J165" s="2">
        <f>XLOOKUP(E165, '06_BANG_GIA_VAT_TU_AP_DUNG'!B:B, '06_BANG_GIA_VAT_TU_AP_DUNG'!C:C, "LỖI_MÃ_VT")</f>
        <v/>
      </c>
      <c r="K165" s="2">
        <f>I165*J165</f>
        <v/>
      </c>
      <c r="L165" t="inlineStr">
        <is>
          <t>2 trục dài 410mm</t>
        </is>
      </c>
    </row>
    <row r="166">
      <c r="A166" t="inlineStr">
        <is>
          <t>SW-DAMPER-050-BEARING</t>
        </is>
      </c>
      <c r="B166" t="inlineStr">
        <is>
          <t>SW-DAMPER-050</t>
        </is>
      </c>
      <c r="C166" t="inlineStr">
        <is>
          <t>Bạc đồng D10</t>
        </is>
      </c>
      <c r="D166" t="inlineStr">
        <is>
          <t>PHỤ_KIỆN_VAN</t>
        </is>
      </c>
      <c r="E166" t="inlineStr">
        <is>
          <t>MAT-DAMPER-BAC-DONG-D10</t>
        </is>
      </c>
      <c r="F166" t="inlineStr">
        <is>
          <t>Đôi</t>
        </is>
      </c>
      <c r="G166" s="4" t="n">
        <v>2</v>
      </c>
      <c r="H166" s="2">
        <f>XLOOKUP(B166, '00_TONG_HOP_BAO_GIA'!B:B, '00_TONG_HOP_BAO_GIA'!G:G, 1)</f>
        <v/>
      </c>
      <c r="I166" s="5">
        <f>G166*H166</f>
        <v/>
      </c>
      <c r="J166" s="2">
        <f>XLOOKUP(E166, '06_BANG_GIA_VAT_TU_AP_DUNG'!B:B, '06_BANG_GIA_VAT_TU_AP_DUNG'!C:C, "LỖI_MÃ_VT")</f>
        <v/>
      </c>
      <c r="K166" s="2">
        <f>I166*J166</f>
        <v/>
      </c>
      <c r="L166" t="inlineStr">
        <is>
          <t>2 đôi bạc đỡ 2 bên thân</t>
        </is>
      </c>
    </row>
    <row r="167">
      <c r="A167" t="inlineStr">
        <is>
          <t>SW-DAMPER-050-GEAR</t>
        </is>
      </c>
      <c r="B167" t="inlineStr">
        <is>
          <t>SW-DAMPER-050</t>
        </is>
      </c>
      <c r="C167" t="inlineStr">
        <is>
          <t>Bánh răng van nhôm</t>
        </is>
      </c>
      <c r="D167" t="inlineStr">
        <is>
          <t>PHỤ_KIỆN_VAN</t>
        </is>
      </c>
      <c r="E167" t="inlineStr">
        <is>
          <t>MAT-DAMPER-BANH-RANG-VAN-NHOM</t>
        </is>
      </c>
      <c r="F167" t="inlineStr">
        <is>
          <t>Bộ</t>
        </is>
      </c>
      <c r="G167" s="4" t="n">
        <v>1</v>
      </c>
      <c r="H167" s="2">
        <f>XLOOKUP(B167, '00_TONG_HOP_BAO_GIA'!B:B, '00_TONG_HOP_BAO_GIA'!G:G, 1)</f>
        <v/>
      </c>
      <c r="I167" s="5">
        <f>G167*H167</f>
        <v/>
      </c>
      <c r="J167" s="2">
        <f>XLOOKUP(E167, '06_BANG_GIA_VAT_TU_AP_DUNG'!B:B, '06_BANG_GIA_VAT_TU_AP_DUNG'!C:C, "LỖI_MÃ_VT")</f>
        <v/>
      </c>
      <c r="K167" s="2">
        <f>I167*J167</f>
        <v/>
      </c>
      <c r="L167" t="inlineStr">
        <is>
          <t>Cơ cấu liên động bánh răng van</t>
        </is>
      </c>
    </row>
    <row r="168">
      <c r="A168" t="inlineStr">
        <is>
          <t>SW-DAMPER-050-FUSE</t>
        </is>
      </c>
      <c r="B168" t="inlineStr">
        <is>
          <t>SW-DAMPER-050</t>
        </is>
      </c>
      <c r="C168" t="inlineStr">
        <is>
          <t>Cầu chì nhiệt nóng chảy 70°C (Elsie/USA)</t>
        </is>
      </c>
      <c r="D168" t="inlineStr">
        <is>
          <t>PHỤ_KIỆN_VAN</t>
        </is>
      </c>
      <c r="E168" t="inlineStr">
        <is>
          <t>MAT-DAMPER-CAU-CHI-USA-1-400X400</t>
        </is>
      </c>
      <c r="F168" t="inlineStr">
        <is>
          <t>Cái</t>
        </is>
      </c>
      <c r="G168" s="4" t="n">
        <v>1</v>
      </c>
      <c r="H168" s="2">
        <f>XLOOKUP(B168, '00_TONG_HOP_BAO_GIA'!B:B, '00_TONG_HOP_BAO_GIA'!G:G, 1)</f>
        <v/>
      </c>
      <c r="I168" s="5">
        <f>G168*H168</f>
        <v/>
      </c>
      <c r="J168" s="2">
        <f>XLOOKUP(E168, '06_BANG_GIA_VAT_TU_AP_DUNG'!B:B, '06_BANG_GIA_VAT_TU_AP_DUNG'!C:C, "LỖI_MÃ_VT")</f>
        <v/>
      </c>
      <c r="K168" s="2">
        <f>I168*J168</f>
        <v/>
      </c>
      <c r="L168" t="inlineStr">
        <is>
          <t>Cầu chì kiểm định PCCC</t>
        </is>
      </c>
    </row>
    <row r="169">
      <c r="A169" t="inlineStr">
        <is>
          <t>SW-DAMPER-051-BODY</t>
        </is>
      </c>
      <c r="B169" t="inlineStr">
        <is>
          <t>SW-DAMPER-051</t>
        </is>
      </c>
      <c r="C169" t="inlineStr">
        <is>
          <t>Thân vỏ van FD bích TDF (0.75mm)</t>
        </is>
      </c>
      <c r="D169" t="inlineStr">
        <is>
          <t>TÔN_CUỘN_MẠ_KẼM</t>
        </is>
      </c>
      <c r="E169" t="inlineStr">
        <is>
          <t>MAT-STEEL-PN-0.75</t>
        </is>
      </c>
      <c r="F169" t="inlineStr">
        <is>
          <t>kg</t>
        </is>
      </c>
      <c r="G169" s="4" t="n">
        <v>2.452968</v>
      </c>
      <c r="H169" s="2">
        <f>XLOOKUP(B169, '00_TONG_HOP_BAO_GIA'!B:B, '00_TONG_HOP_BAO_GIA'!G:G, 1)</f>
        <v/>
      </c>
      <c r="I169" s="5">
        <f>G169*H169</f>
        <v/>
      </c>
      <c r="J169" s="2">
        <f>XLOOKUP(E169, '06_BANG_GIA_VAT_TU_AP_DUNG'!B:B, '06_BANG_GIA_VAT_TU_AP_DUNG'!C:C, "LỖI_MÃ_VT")</f>
        <v/>
      </c>
      <c r="K169" s="2">
        <f>I169*J169</f>
        <v/>
      </c>
      <c r="L169" t="inlineStr">
        <is>
          <t>Kích thước vỏ 400.0x200.0x250mm</t>
        </is>
      </c>
    </row>
    <row r="170">
      <c r="A170" t="inlineStr">
        <is>
          <t>SW-DAMPER-051-BLADE</t>
        </is>
      </c>
      <c r="B170" t="inlineStr">
        <is>
          <t>SW-DAMPER-051</t>
        </is>
      </c>
      <c r="C170" t="inlineStr">
        <is>
          <t>Lá cánh van (2 cánh overlap)</t>
        </is>
      </c>
      <c r="D170" t="inlineStr">
        <is>
          <t>TÔN_CUỘN_MẠ_KẼM</t>
        </is>
      </c>
      <c r="E170" t="inlineStr">
        <is>
          <t>MAT-STEEL-PN-0.75</t>
        </is>
      </c>
      <c r="F170" t="inlineStr">
        <is>
          <t>kg</t>
        </is>
      </c>
      <c r="G170" s="4" t="n">
        <v>0.610416</v>
      </c>
      <c r="H170" s="2">
        <f>XLOOKUP(B170, '00_TONG_HOP_BAO_GIA'!B:B, '00_TONG_HOP_BAO_GIA'!G:G, 1)</f>
        <v/>
      </c>
      <c r="I170" s="5">
        <f>G170*H170</f>
        <v/>
      </c>
      <c r="J170" s="2">
        <f>XLOOKUP(E170, '06_BANG_GIA_VAT_TU_AP_DUNG'!B:B, '06_BANG_GIA_VAT_TU_AP_DUNG'!C:C, "LỖI_MÃ_VT")</f>
        <v/>
      </c>
      <c r="K170" s="2">
        <f>I170*J170</f>
        <v/>
      </c>
      <c r="L170" t="inlineStr">
        <is>
          <t>2 cánh cao 120mm</t>
        </is>
      </c>
    </row>
    <row r="171">
      <c r="A171" t="inlineStr">
        <is>
          <t>SW-DAMPER-051-AXLE</t>
        </is>
      </c>
      <c r="B171" t="inlineStr">
        <is>
          <t>SW-DAMPER-051</t>
        </is>
      </c>
      <c r="C171" t="inlineStr">
        <is>
          <t>Trục Sus 201 D10</t>
        </is>
      </c>
      <c r="D171" t="inlineStr">
        <is>
          <t>PHỤ_KIỆN_VAN</t>
        </is>
      </c>
      <c r="E171" t="inlineStr">
        <is>
          <t>MAT-DAMPER-TRUC-SUS-201-D10</t>
        </is>
      </c>
      <c r="F171" t="inlineStr">
        <is>
          <t>m</t>
        </is>
      </c>
      <c r="G171" s="4" t="n">
        <v>0.92</v>
      </c>
      <c r="H171" s="2">
        <f>XLOOKUP(B171, '00_TONG_HOP_BAO_GIA'!B:B, '00_TONG_HOP_BAO_GIA'!G:G, 1)</f>
        <v/>
      </c>
      <c r="I171" s="5">
        <f>G171*H171</f>
        <v/>
      </c>
      <c r="J171" s="2">
        <f>XLOOKUP(E171, '06_BANG_GIA_VAT_TU_AP_DUNG'!B:B, '06_BANG_GIA_VAT_TU_AP_DUNG'!C:C, "LỖI_MÃ_VT")</f>
        <v/>
      </c>
      <c r="K171" s="2">
        <f>I171*J171</f>
        <v/>
      </c>
      <c r="L171" t="inlineStr">
        <is>
          <t>2 trục dài 460mm</t>
        </is>
      </c>
    </row>
    <row r="172">
      <c r="A172" t="inlineStr">
        <is>
          <t>SW-DAMPER-051-BEARING</t>
        </is>
      </c>
      <c r="B172" t="inlineStr">
        <is>
          <t>SW-DAMPER-051</t>
        </is>
      </c>
      <c r="C172" t="inlineStr">
        <is>
          <t>Bạc đồng D10</t>
        </is>
      </c>
      <c r="D172" t="inlineStr">
        <is>
          <t>PHỤ_KIỆN_VAN</t>
        </is>
      </c>
      <c r="E172" t="inlineStr">
        <is>
          <t>MAT-DAMPER-BAC-DONG-D10</t>
        </is>
      </c>
      <c r="F172" t="inlineStr">
        <is>
          <t>Đôi</t>
        </is>
      </c>
      <c r="G172" s="4" t="n">
        <v>2</v>
      </c>
      <c r="H172" s="2">
        <f>XLOOKUP(B172, '00_TONG_HOP_BAO_GIA'!B:B, '00_TONG_HOP_BAO_GIA'!G:G, 1)</f>
        <v/>
      </c>
      <c r="I172" s="5">
        <f>G172*H172</f>
        <v/>
      </c>
      <c r="J172" s="2">
        <f>XLOOKUP(E172, '06_BANG_GIA_VAT_TU_AP_DUNG'!B:B, '06_BANG_GIA_VAT_TU_AP_DUNG'!C:C, "LỖI_MÃ_VT")</f>
        <v/>
      </c>
      <c r="K172" s="2">
        <f>I172*J172</f>
        <v/>
      </c>
      <c r="L172" t="inlineStr">
        <is>
          <t>2 đôi bạc đỡ 2 bên thân</t>
        </is>
      </c>
    </row>
    <row r="173">
      <c r="A173" t="inlineStr">
        <is>
          <t>SW-DAMPER-051-GEAR</t>
        </is>
      </c>
      <c r="B173" t="inlineStr">
        <is>
          <t>SW-DAMPER-051</t>
        </is>
      </c>
      <c r="C173" t="inlineStr">
        <is>
          <t>Bánh răng van nhôm</t>
        </is>
      </c>
      <c r="D173" t="inlineStr">
        <is>
          <t>PHỤ_KIỆN_VAN</t>
        </is>
      </c>
      <c r="E173" t="inlineStr">
        <is>
          <t>MAT-DAMPER-BANH-RANG-VAN-NHOM</t>
        </is>
      </c>
      <c r="F173" t="inlineStr">
        <is>
          <t>Bộ</t>
        </is>
      </c>
      <c r="G173" s="4" t="n">
        <v>1</v>
      </c>
      <c r="H173" s="2">
        <f>XLOOKUP(B173, '00_TONG_HOP_BAO_GIA'!B:B, '00_TONG_HOP_BAO_GIA'!G:G, 1)</f>
        <v/>
      </c>
      <c r="I173" s="5">
        <f>G173*H173</f>
        <v/>
      </c>
      <c r="J173" s="2">
        <f>XLOOKUP(E173, '06_BANG_GIA_VAT_TU_AP_DUNG'!B:B, '06_BANG_GIA_VAT_TU_AP_DUNG'!C:C, "LỖI_MÃ_VT")</f>
        <v/>
      </c>
      <c r="K173" s="2">
        <f>I173*J173</f>
        <v/>
      </c>
      <c r="L173" t="inlineStr">
        <is>
          <t>Cơ cấu liên động bánh răng van</t>
        </is>
      </c>
    </row>
    <row r="174">
      <c r="A174" t="inlineStr">
        <is>
          <t>SW-DAMPER-051-FUSE</t>
        </is>
      </c>
      <c r="B174" t="inlineStr">
        <is>
          <t>SW-DAMPER-051</t>
        </is>
      </c>
      <c r="C174" t="inlineStr">
        <is>
          <t>Cầu chì nhiệt nóng chảy 70°C (Elsie/USA)</t>
        </is>
      </c>
      <c r="D174" t="inlineStr">
        <is>
          <t>PHỤ_KIỆN_VAN</t>
        </is>
      </c>
      <c r="E174" t="inlineStr">
        <is>
          <t>MAT-DAMPER-CAU-CHI-USA-2-400X400</t>
        </is>
      </c>
      <c r="F174" t="inlineStr">
        <is>
          <t>Cái</t>
        </is>
      </c>
      <c r="G174" s="4" t="n">
        <v>1</v>
      </c>
      <c r="H174" s="2">
        <f>XLOOKUP(B174, '00_TONG_HOP_BAO_GIA'!B:B, '00_TONG_HOP_BAO_GIA'!G:G, 1)</f>
        <v/>
      </c>
      <c r="I174" s="5">
        <f>G174*H174</f>
        <v/>
      </c>
      <c r="J174" s="2">
        <f>XLOOKUP(E174, '06_BANG_GIA_VAT_TU_AP_DUNG'!B:B, '06_BANG_GIA_VAT_TU_AP_DUNG'!C:C, "LỖI_MÃ_VT")</f>
        <v/>
      </c>
      <c r="K174" s="2">
        <f>I174*J174</f>
        <v/>
      </c>
      <c r="L174" t="inlineStr">
        <is>
          <t>Cầu chì kiểm định PCCC</t>
        </is>
      </c>
    </row>
    <row r="175">
      <c r="A175" t="inlineStr">
        <is>
          <t>SW-DAMPER-052-BODY</t>
        </is>
      </c>
      <c r="B175" t="inlineStr">
        <is>
          <t>SW-DAMPER-052</t>
        </is>
      </c>
      <c r="C175" t="inlineStr">
        <is>
          <t>Thân vỏ van FD bích TDF (0.75mm)</t>
        </is>
      </c>
      <c r="D175" t="inlineStr">
        <is>
          <t>TÔN_CUỘN_MẠ_KẼM</t>
        </is>
      </c>
      <c r="E175" t="inlineStr">
        <is>
          <t>MAT-STEEL-PN-0.75</t>
        </is>
      </c>
      <c r="F175" t="inlineStr">
        <is>
          <t>kg</t>
        </is>
      </c>
      <c r="G175" s="4" t="n">
        <v>2.848608</v>
      </c>
      <c r="H175" s="2">
        <f>XLOOKUP(B175, '00_TONG_HOP_BAO_GIA'!B:B, '00_TONG_HOP_BAO_GIA'!G:G, 1)</f>
        <v/>
      </c>
      <c r="I175" s="5">
        <f>G175*H175</f>
        <v/>
      </c>
      <c r="J175" s="2">
        <f>XLOOKUP(E175, '06_BANG_GIA_VAT_TU_AP_DUNG'!B:B, '06_BANG_GIA_VAT_TU_AP_DUNG'!C:C, "LỖI_MÃ_VT")</f>
        <v/>
      </c>
      <c r="K175" s="2">
        <f>I175*J175</f>
        <v/>
      </c>
      <c r="L175" t="inlineStr">
        <is>
          <t>Kích thước vỏ 400.0x300.0x250mm</t>
        </is>
      </c>
    </row>
    <row r="176">
      <c r="A176" t="inlineStr">
        <is>
          <t>SW-DAMPER-052-BLADE</t>
        </is>
      </c>
      <c r="B176" t="inlineStr">
        <is>
          <t>SW-DAMPER-052</t>
        </is>
      </c>
      <c r="C176" t="inlineStr">
        <is>
          <t>Lá cánh van (2 cánh overlap)</t>
        </is>
      </c>
      <c r="D176" t="inlineStr">
        <is>
          <t>TÔN_CUỘN_MẠ_KẼM</t>
        </is>
      </c>
      <c r="E176" t="inlineStr">
        <is>
          <t>MAT-STEEL-PN-0.75</t>
        </is>
      </c>
      <c r="F176" t="inlineStr">
        <is>
          <t>kg</t>
        </is>
      </c>
      <c r="G176" s="4" t="n">
        <v>0.864756</v>
      </c>
      <c r="H176" s="2">
        <f>XLOOKUP(B176, '00_TONG_HOP_BAO_GIA'!B:B, '00_TONG_HOP_BAO_GIA'!G:G, 1)</f>
        <v/>
      </c>
      <c r="I176" s="5">
        <f>G176*H176</f>
        <v/>
      </c>
      <c r="J176" s="2">
        <f>XLOOKUP(E176, '06_BANG_GIA_VAT_TU_AP_DUNG'!B:B, '06_BANG_GIA_VAT_TU_AP_DUNG'!C:C, "LỖI_MÃ_VT")</f>
        <v/>
      </c>
      <c r="K176" s="2">
        <f>I176*J176</f>
        <v/>
      </c>
      <c r="L176" t="inlineStr">
        <is>
          <t>2 cánh cao 170mm</t>
        </is>
      </c>
    </row>
    <row r="177">
      <c r="A177" t="inlineStr">
        <is>
          <t>SW-DAMPER-052-AXLE</t>
        </is>
      </c>
      <c r="B177" t="inlineStr">
        <is>
          <t>SW-DAMPER-052</t>
        </is>
      </c>
      <c r="C177" t="inlineStr">
        <is>
          <t>Trục Sus 201 D10</t>
        </is>
      </c>
      <c r="D177" t="inlineStr">
        <is>
          <t>PHỤ_KIỆN_VAN</t>
        </is>
      </c>
      <c r="E177" t="inlineStr">
        <is>
          <t>MAT-DAMPER-TRUC-SUS-201-D10</t>
        </is>
      </c>
      <c r="F177" t="inlineStr">
        <is>
          <t>m</t>
        </is>
      </c>
      <c r="G177" s="4" t="n">
        <v>0.92</v>
      </c>
      <c r="H177" s="2">
        <f>XLOOKUP(B177, '00_TONG_HOP_BAO_GIA'!B:B, '00_TONG_HOP_BAO_GIA'!G:G, 1)</f>
        <v/>
      </c>
      <c r="I177" s="5">
        <f>G177*H177</f>
        <v/>
      </c>
      <c r="J177" s="2">
        <f>XLOOKUP(E177, '06_BANG_GIA_VAT_TU_AP_DUNG'!B:B, '06_BANG_GIA_VAT_TU_AP_DUNG'!C:C, "LỖI_MÃ_VT")</f>
        <v/>
      </c>
      <c r="K177" s="2">
        <f>I177*J177</f>
        <v/>
      </c>
      <c r="L177" t="inlineStr">
        <is>
          <t>2 trục dài 460mm</t>
        </is>
      </c>
    </row>
    <row r="178">
      <c r="A178" t="inlineStr">
        <is>
          <t>SW-DAMPER-052-BEARING</t>
        </is>
      </c>
      <c r="B178" t="inlineStr">
        <is>
          <t>SW-DAMPER-052</t>
        </is>
      </c>
      <c r="C178" t="inlineStr">
        <is>
          <t>Bạc đồng D10</t>
        </is>
      </c>
      <c r="D178" t="inlineStr">
        <is>
          <t>PHỤ_KIỆN_VAN</t>
        </is>
      </c>
      <c r="E178" t="inlineStr">
        <is>
          <t>MAT-DAMPER-BAC-DONG-D10</t>
        </is>
      </c>
      <c r="F178" t="inlineStr">
        <is>
          <t>Đôi</t>
        </is>
      </c>
      <c r="G178" s="4" t="n">
        <v>2</v>
      </c>
      <c r="H178" s="2">
        <f>XLOOKUP(B178, '00_TONG_HOP_BAO_GIA'!B:B, '00_TONG_HOP_BAO_GIA'!G:G, 1)</f>
        <v/>
      </c>
      <c r="I178" s="5">
        <f>G178*H178</f>
        <v/>
      </c>
      <c r="J178" s="2">
        <f>XLOOKUP(E178, '06_BANG_GIA_VAT_TU_AP_DUNG'!B:B, '06_BANG_GIA_VAT_TU_AP_DUNG'!C:C, "LỖI_MÃ_VT")</f>
        <v/>
      </c>
      <c r="K178" s="2">
        <f>I178*J178</f>
        <v/>
      </c>
      <c r="L178" t="inlineStr">
        <is>
          <t>2 đôi bạc đỡ 2 bên thân</t>
        </is>
      </c>
    </row>
    <row r="179">
      <c r="A179" t="inlineStr">
        <is>
          <t>SW-DAMPER-052-GEAR</t>
        </is>
      </c>
      <c r="B179" t="inlineStr">
        <is>
          <t>SW-DAMPER-052</t>
        </is>
      </c>
      <c r="C179" t="inlineStr">
        <is>
          <t>Bánh răng van nhôm</t>
        </is>
      </c>
      <c r="D179" t="inlineStr">
        <is>
          <t>PHỤ_KIỆN_VAN</t>
        </is>
      </c>
      <c r="E179" t="inlineStr">
        <is>
          <t>MAT-DAMPER-BANH-RANG-VAN-NHOM</t>
        </is>
      </c>
      <c r="F179" t="inlineStr">
        <is>
          <t>Bộ</t>
        </is>
      </c>
      <c r="G179" s="4" t="n">
        <v>1</v>
      </c>
      <c r="H179" s="2">
        <f>XLOOKUP(B179, '00_TONG_HOP_BAO_GIA'!B:B, '00_TONG_HOP_BAO_GIA'!G:G, 1)</f>
        <v/>
      </c>
      <c r="I179" s="5">
        <f>G179*H179</f>
        <v/>
      </c>
      <c r="J179" s="2">
        <f>XLOOKUP(E179, '06_BANG_GIA_VAT_TU_AP_DUNG'!B:B, '06_BANG_GIA_VAT_TU_AP_DUNG'!C:C, "LỖI_MÃ_VT")</f>
        <v/>
      </c>
      <c r="K179" s="2">
        <f>I179*J179</f>
        <v/>
      </c>
      <c r="L179" t="inlineStr">
        <is>
          <t>Cơ cấu liên động bánh răng van</t>
        </is>
      </c>
    </row>
    <row r="180">
      <c r="A180" t="inlineStr">
        <is>
          <t>SW-DAMPER-052-FUSE</t>
        </is>
      </c>
      <c r="B180" t="inlineStr">
        <is>
          <t>SW-DAMPER-052</t>
        </is>
      </c>
      <c r="C180" t="inlineStr">
        <is>
          <t>Cầu chì nhiệt nóng chảy 70°C (Elsie/USA)</t>
        </is>
      </c>
      <c r="D180" t="inlineStr">
        <is>
          <t>PHỤ_KIỆN_VAN</t>
        </is>
      </c>
      <c r="E180" t="inlineStr">
        <is>
          <t>MAT-DAMPER-CAU-CHI-USA-2-400X400</t>
        </is>
      </c>
      <c r="F180" t="inlineStr">
        <is>
          <t>Cái</t>
        </is>
      </c>
      <c r="G180" s="4" t="n">
        <v>1</v>
      </c>
      <c r="H180" s="2">
        <f>XLOOKUP(B180, '00_TONG_HOP_BAO_GIA'!B:B, '00_TONG_HOP_BAO_GIA'!G:G, 1)</f>
        <v/>
      </c>
      <c r="I180" s="5">
        <f>G180*H180</f>
        <v/>
      </c>
      <c r="J180" s="2">
        <f>XLOOKUP(E180, '06_BANG_GIA_VAT_TU_AP_DUNG'!B:B, '06_BANG_GIA_VAT_TU_AP_DUNG'!C:C, "LỖI_MÃ_VT")</f>
        <v/>
      </c>
      <c r="K180" s="2">
        <f>I180*J180</f>
        <v/>
      </c>
      <c r="L180" t="inlineStr">
        <is>
          <t>Cầu chì kiểm định PCCC</t>
        </is>
      </c>
    </row>
    <row r="181">
      <c r="A181" t="inlineStr">
        <is>
          <t>SW-DAMPER-053-BODY</t>
        </is>
      </c>
      <c r="B181" t="inlineStr">
        <is>
          <t>SW-DAMPER-053</t>
        </is>
      </c>
      <c r="C181" t="inlineStr">
        <is>
          <t>Thân vỏ van FD bích TDF (0.75mm)</t>
        </is>
      </c>
      <c r="D181" t="inlineStr">
        <is>
          <t>TÔN_CUỘN_MẠ_KẼM</t>
        </is>
      </c>
      <c r="E181" t="inlineStr">
        <is>
          <t>MAT-STEEL-PN-0.75</t>
        </is>
      </c>
      <c r="F181" t="inlineStr">
        <is>
          <t>kg</t>
        </is>
      </c>
      <c r="G181" s="4" t="n">
        <v>3.046428</v>
      </c>
      <c r="H181" s="2">
        <f>XLOOKUP(B181, '00_TONG_HOP_BAO_GIA'!B:B, '00_TONG_HOP_BAO_GIA'!G:G, 1)</f>
        <v/>
      </c>
      <c r="I181" s="5">
        <f>G181*H181</f>
        <v/>
      </c>
      <c r="J181" s="2">
        <f>XLOOKUP(E181, '06_BANG_GIA_VAT_TU_AP_DUNG'!B:B, '06_BANG_GIA_VAT_TU_AP_DUNG'!C:C, "LỖI_MÃ_VT")</f>
        <v/>
      </c>
      <c r="K181" s="2">
        <f>I181*J181</f>
        <v/>
      </c>
      <c r="L181" t="inlineStr">
        <is>
          <t>Kích thước vỏ 400.0x350.0x250mm</t>
        </is>
      </c>
    </row>
    <row r="182">
      <c r="A182" t="inlineStr">
        <is>
          <t>SW-DAMPER-053-BLADE</t>
        </is>
      </c>
      <c r="B182" t="inlineStr">
        <is>
          <t>SW-DAMPER-053</t>
        </is>
      </c>
      <c r="C182" t="inlineStr">
        <is>
          <t>Lá cánh van (2 cánh overlap)</t>
        </is>
      </c>
      <c r="D182" t="inlineStr">
        <is>
          <t>TÔN_CUỘN_MẠ_KẼM</t>
        </is>
      </c>
      <c r="E182" t="inlineStr">
        <is>
          <t>MAT-STEEL-PN-0.75</t>
        </is>
      </c>
      <c r="F182" t="inlineStr">
        <is>
          <t>kg</t>
        </is>
      </c>
      <c r="G182" s="4" t="n">
        <v>0.9919260000000002</v>
      </c>
      <c r="H182" s="2">
        <f>XLOOKUP(B182, '00_TONG_HOP_BAO_GIA'!B:B, '00_TONG_HOP_BAO_GIA'!G:G, 1)</f>
        <v/>
      </c>
      <c r="I182" s="5">
        <f>G182*H182</f>
        <v/>
      </c>
      <c r="J182" s="2">
        <f>XLOOKUP(E182, '06_BANG_GIA_VAT_TU_AP_DUNG'!B:B, '06_BANG_GIA_VAT_TU_AP_DUNG'!C:C, "LỖI_MÃ_VT")</f>
        <v/>
      </c>
      <c r="K182" s="2">
        <f>I182*J182</f>
        <v/>
      </c>
      <c r="L182" t="inlineStr">
        <is>
          <t>2 cánh cao 195mm</t>
        </is>
      </c>
    </row>
    <row r="183">
      <c r="A183" t="inlineStr">
        <is>
          <t>SW-DAMPER-053-AXLE</t>
        </is>
      </c>
      <c r="B183" t="inlineStr">
        <is>
          <t>SW-DAMPER-053</t>
        </is>
      </c>
      <c r="C183" t="inlineStr">
        <is>
          <t>Trục Sus 201 D10</t>
        </is>
      </c>
      <c r="D183" t="inlineStr">
        <is>
          <t>PHỤ_KIỆN_VAN</t>
        </is>
      </c>
      <c r="E183" t="inlineStr">
        <is>
          <t>MAT-DAMPER-TRUC-SUS-201-D10</t>
        </is>
      </c>
      <c r="F183" t="inlineStr">
        <is>
          <t>m</t>
        </is>
      </c>
      <c r="G183" s="4" t="n">
        <v>0.92</v>
      </c>
      <c r="H183" s="2">
        <f>XLOOKUP(B183, '00_TONG_HOP_BAO_GIA'!B:B, '00_TONG_HOP_BAO_GIA'!G:G, 1)</f>
        <v/>
      </c>
      <c r="I183" s="5">
        <f>G183*H183</f>
        <v/>
      </c>
      <c r="J183" s="2">
        <f>XLOOKUP(E183, '06_BANG_GIA_VAT_TU_AP_DUNG'!B:B, '06_BANG_GIA_VAT_TU_AP_DUNG'!C:C, "LỖI_MÃ_VT")</f>
        <v/>
      </c>
      <c r="K183" s="2">
        <f>I183*J183</f>
        <v/>
      </c>
      <c r="L183" t="inlineStr">
        <is>
          <t>2 trục dài 460mm</t>
        </is>
      </c>
    </row>
    <row r="184">
      <c r="A184" t="inlineStr">
        <is>
          <t>SW-DAMPER-053-BEARING</t>
        </is>
      </c>
      <c r="B184" t="inlineStr">
        <is>
          <t>SW-DAMPER-053</t>
        </is>
      </c>
      <c r="C184" t="inlineStr">
        <is>
          <t>Bạc đồng D10</t>
        </is>
      </c>
      <c r="D184" t="inlineStr">
        <is>
          <t>PHỤ_KIỆN_VAN</t>
        </is>
      </c>
      <c r="E184" t="inlineStr">
        <is>
          <t>MAT-DAMPER-BAC-DONG-D10</t>
        </is>
      </c>
      <c r="F184" t="inlineStr">
        <is>
          <t>Đôi</t>
        </is>
      </c>
      <c r="G184" s="4" t="n">
        <v>2</v>
      </c>
      <c r="H184" s="2">
        <f>XLOOKUP(B184, '00_TONG_HOP_BAO_GIA'!B:B, '00_TONG_HOP_BAO_GIA'!G:G, 1)</f>
        <v/>
      </c>
      <c r="I184" s="5">
        <f>G184*H184</f>
        <v/>
      </c>
      <c r="J184" s="2">
        <f>XLOOKUP(E184, '06_BANG_GIA_VAT_TU_AP_DUNG'!B:B, '06_BANG_GIA_VAT_TU_AP_DUNG'!C:C, "LỖI_MÃ_VT")</f>
        <v/>
      </c>
      <c r="K184" s="2">
        <f>I184*J184</f>
        <v/>
      </c>
      <c r="L184" t="inlineStr">
        <is>
          <t>2 đôi bạc đỡ 2 bên thân</t>
        </is>
      </c>
    </row>
    <row r="185">
      <c r="A185" t="inlineStr">
        <is>
          <t>SW-DAMPER-053-GEAR</t>
        </is>
      </c>
      <c r="B185" t="inlineStr">
        <is>
          <t>SW-DAMPER-053</t>
        </is>
      </c>
      <c r="C185" t="inlineStr">
        <is>
          <t>Bánh răng van nhôm</t>
        </is>
      </c>
      <c r="D185" t="inlineStr">
        <is>
          <t>PHỤ_KIỆN_VAN</t>
        </is>
      </c>
      <c r="E185" t="inlineStr">
        <is>
          <t>MAT-DAMPER-BANH-RANG-VAN-NHOM</t>
        </is>
      </c>
      <c r="F185" t="inlineStr">
        <is>
          <t>Bộ</t>
        </is>
      </c>
      <c r="G185" s="4" t="n">
        <v>1</v>
      </c>
      <c r="H185" s="2">
        <f>XLOOKUP(B185, '00_TONG_HOP_BAO_GIA'!B:B, '00_TONG_HOP_BAO_GIA'!G:G, 1)</f>
        <v/>
      </c>
      <c r="I185" s="5">
        <f>G185*H185</f>
        <v/>
      </c>
      <c r="J185" s="2">
        <f>XLOOKUP(E185, '06_BANG_GIA_VAT_TU_AP_DUNG'!B:B, '06_BANG_GIA_VAT_TU_AP_DUNG'!C:C, "LỖI_MÃ_VT")</f>
        <v/>
      </c>
      <c r="K185" s="2">
        <f>I185*J185</f>
        <v/>
      </c>
      <c r="L185" t="inlineStr">
        <is>
          <t>Cơ cấu liên động bánh răng van</t>
        </is>
      </c>
    </row>
    <row r="186">
      <c r="A186" t="inlineStr">
        <is>
          <t>SW-DAMPER-053-FUSE</t>
        </is>
      </c>
      <c r="B186" t="inlineStr">
        <is>
          <t>SW-DAMPER-053</t>
        </is>
      </c>
      <c r="C186" t="inlineStr">
        <is>
          <t>Cầu chì nhiệt nóng chảy 70°C (Elsie/USA)</t>
        </is>
      </c>
      <c r="D186" t="inlineStr">
        <is>
          <t>PHỤ_KIỆN_VAN</t>
        </is>
      </c>
      <c r="E186" t="inlineStr">
        <is>
          <t>MAT-DAMPER-CAU-CHI-USA-2-400X400</t>
        </is>
      </c>
      <c r="F186" t="inlineStr">
        <is>
          <t>Cái</t>
        </is>
      </c>
      <c r="G186" s="4" t="n">
        <v>1</v>
      </c>
      <c r="H186" s="2">
        <f>XLOOKUP(B186, '00_TONG_HOP_BAO_GIA'!B:B, '00_TONG_HOP_BAO_GIA'!G:G, 1)</f>
        <v/>
      </c>
      <c r="I186" s="5">
        <f>G186*H186</f>
        <v/>
      </c>
      <c r="J186" s="2">
        <f>XLOOKUP(E186, '06_BANG_GIA_VAT_TU_AP_DUNG'!B:B, '06_BANG_GIA_VAT_TU_AP_DUNG'!C:C, "LỖI_MÃ_VT")</f>
        <v/>
      </c>
      <c r="K186" s="2">
        <f>I186*J186</f>
        <v/>
      </c>
      <c r="L186" t="inlineStr">
        <is>
          <t>Cầu chì kiểm định PCCC</t>
        </is>
      </c>
    </row>
    <row r="187">
      <c r="A187" t="inlineStr">
        <is>
          <t>SW-DAMPER-054-BODY</t>
        </is>
      </c>
      <c r="B187" t="inlineStr">
        <is>
          <t>SW-DAMPER-054</t>
        </is>
      </c>
      <c r="C187" t="inlineStr">
        <is>
          <t>Thân vỏ van FD bích TDF (0.75mm)</t>
        </is>
      </c>
      <c r="D187" t="inlineStr">
        <is>
          <t>TÔN_CUỘN_MẠ_KẼM</t>
        </is>
      </c>
      <c r="E187" t="inlineStr">
        <is>
          <t>MAT-STEEL-PN-0.75</t>
        </is>
      </c>
      <c r="F187" t="inlineStr">
        <is>
          <t>kg</t>
        </is>
      </c>
      <c r="G187" s="4" t="n">
        <v>2.848608</v>
      </c>
      <c r="H187" s="2">
        <f>XLOOKUP(B187, '00_TONG_HOP_BAO_GIA'!B:B, '00_TONG_HOP_BAO_GIA'!G:G, 1)</f>
        <v/>
      </c>
      <c r="I187" s="5">
        <f>G187*H187</f>
        <v/>
      </c>
      <c r="J187" s="2">
        <f>XLOOKUP(E187, '06_BANG_GIA_VAT_TU_AP_DUNG'!B:B, '06_BANG_GIA_VAT_TU_AP_DUNG'!C:C, "LỖI_MÃ_VT")</f>
        <v/>
      </c>
      <c r="K187" s="2">
        <f>I187*J187</f>
        <v/>
      </c>
      <c r="L187" t="inlineStr">
        <is>
          <t>Kích thước vỏ 450.0x250.0x250mm</t>
        </is>
      </c>
    </row>
    <row r="188">
      <c r="A188" t="inlineStr">
        <is>
          <t>SW-DAMPER-054-BLADE</t>
        </is>
      </c>
      <c r="B188" t="inlineStr">
        <is>
          <t>SW-DAMPER-054</t>
        </is>
      </c>
      <c r="C188" t="inlineStr">
        <is>
          <t>Lá cánh van (2 cánh overlap)</t>
        </is>
      </c>
      <c r="D188" t="inlineStr">
        <is>
          <t>TÔN_CUỘN_MẠ_KẼM</t>
        </is>
      </c>
      <c r="E188" t="inlineStr">
        <is>
          <t>MAT-STEEL-PN-0.75</t>
        </is>
      </c>
      <c r="F188" t="inlineStr">
        <is>
          <t>kg</t>
        </is>
      </c>
      <c r="G188" s="4" t="n">
        <v>0.82978425</v>
      </c>
      <c r="H188" s="2">
        <f>XLOOKUP(B188, '00_TONG_HOP_BAO_GIA'!B:B, '00_TONG_HOP_BAO_GIA'!G:G, 1)</f>
        <v/>
      </c>
      <c r="I188" s="5">
        <f>G188*H188</f>
        <v/>
      </c>
      <c r="J188" s="2">
        <f>XLOOKUP(E188, '06_BANG_GIA_VAT_TU_AP_DUNG'!B:B, '06_BANG_GIA_VAT_TU_AP_DUNG'!C:C, "LỖI_MÃ_VT")</f>
        <v/>
      </c>
      <c r="K188" s="2">
        <f>I188*J188</f>
        <v/>
      </c>
      <c r="L188" t="inlineStr">
        <is>
          <t>2 cánh cao 145mm</t>
        </is>
      </c>
    </row>
    <row r="189">
      <c r="A189" t="inlineStr">
        <is>
          <t>SW-DAMPER-054-AXLE</t>
        </is>
      </c>
      <c r="B189" t="inlineStr">
        <is>
          <t>SW-DAMPER-054</t>
        </is>
      </c>
      <c r="C189" t="inlineStr">
        <is>
          <t>Trục Sus 201 D10</t>
        </is>
      </c>
      <c r="D189" t="inlineStr">
        <is>
          <t>PHỤ_KIỆN_VAN</t>
        </is>
      </c>
      <c r="E189" t="inlineStr">
        <is>
          <t>MAT-DAMPER-TRUC-SUS-201-D10</t>
        </is>
      </c>
      <c r="F189" t="inlineStr">
        <is>
          <t>m</t>
        </is>
      </c>
      <c r="G189" s="4" t="n">
        <v>1.02</v>
      </c>
      <c r="H189" s="2">
        <f>XLOOKUP(B189, '00_TONG_HOP_BAO_GIA'!B:B, '00_TONG_HOP_BAO_GIA'!G:G, 1)</f>
        <v/>
      </c>
      <c r="I189" s="5">
        <f>G189*H189</f>
        <v/>
      </c>
      <c r="J189" s="2">
        <f>XLOOKUP(E189, '06_BANG_GIA_VAT_TU_AP_DUNG'!B:B, '06_BANG_GIA_VAT_TU_AP_DUNG'!C:C, "LỖI_MÃ_VT")</f>
        <v/>
      </c>
      <c r="K189" s="2">
        <f>I189*J189</f>
        <v/>
      </c>
      <c r="L189" t="inlineStr">
        <is>
          <t>2 trục dài 510mm</t>
        </is>
      </c>
    </row>
    <row r="190">
      <c r="A190" t="inlineStr">
        <is>
          <t>SW-DAMPER-054-BEARING</t>
        </is>
      </c>
      <c r="B190" t="inlineStr">
        <is>
          <t>SW-DAMPER-054</t>
        </is>
      </c>
      <c r="C190" t="inlineStr">
        <is>
          <t>Bạc đồng D10</t>
        </is>
      </c>
      <c r="D190" t="inlineStr">
        <is>
          <t>PHỤ_KIỆN_VAN</t>
        </is>
      </c>
      <c r="E190" t="inlineStr">
        <is>
          <t>MAT-DAMPER-BAC-DONG-D10</t>
        </is>
      </c>
      <c r="F190" t="inlineStr">
        <is>
          <t>Đôi</t>
        </is>
      </c>
      <c r="G190" s="4" t="n">
        <v>2</v>
      </c>
      <c r="H190" s="2">
        <f>XLOOKUP(B190, '00_TONG_HOP_BAO_GIA'!B:B, '00_TONG_HOP_BAO_GIA'!G:G, 1)</f>
        <v/>
      </c>
      <c r="I190" s="5">
        <f>G190*H190</f>
        <v/>
      </c>
      <c r="J190" s="2">
        <f>XLOOKUP(E190, '06_BANG_GIA_VAT_TU_AP_DUNG'!B:B, '06_BANG_GIA_VAT_TU_AP_DUNG'!C:C, "LỖI_MÃ_VT")</f>
        <v/>
      </c>
      <c r="K190" s="2">
        <f>I190*J190</f>
        <v/>
      </c>
      <c r="L190" t="inlineStr">
        <is>
          <t>2 đôi bạc đỡ 2 bên thân</t>
        </is>
      </c>
    </row>
    <row r="191">
      <c r="A191" t="inlineStr">
        <is>
          <t>SW-DAMPER-054-GEAR</t>
        </is>
      </c>
      <c r="B191" t="inlineStr">
        <is>
          <t>SW-DAMPER-054</t>
        </is>
      </c>
      <c r="C191" t="inlineStr">
        <is>
          <t>Bánh răng van nhôm</t>
        </is>
      </c>
      <c r="D191" t="inlineStr">
        <is>
          <t>PHỤ_KIỆN_VAN</t>
        </is>
      </c>
      <c r="E191" t="inlineStr">
        <is>
          <t>MAT-DAMPER-BANH-RANG-VAN-NHOM</t>
        </is>
      </c>
      <c r="F191" t="inlineStr">
        <is>
          <t>Bộ</t>
        </is>
      </c>
      <c r="G191" s="4" t="n">
        <v>1</v>
      </c>
      <c r="H191" s="2">
        <f>XLOOKUP(B191, '00_TONG_HOP_BAO_GIA'!B:B, '00_TONG_HOP_BAO_GIA'!G:G, 1)</f>
        <v/>
      </c>
      <c r="I191" s="5">
        <f>G191*H191</f>
        <v/>
      </c>
      <c r="J191" s="2">
        <f>XLOOKUP(E191, '06_BANG_GIA_VAT_TU_AP_DUNG'!B:B, '06_BANG_GIA_VAT_TU_AP_DUNG'!C:C, "LỖI_MÃ_VT")</f>
        <v/>
      </c>
      <c r="K191" s="2">
        <f>I191*J191</f>
        <v/>
      </c>
      <c r="L191" t="inlineStr">
        <is>
          <t>Cơ cấu liên động bánh răng van</t>
        </is>
      </c>
    </row>
    <row r="192">
      <c r="A192" t="inlineStr">
        <is>
          <t>SW-DAMPER-054-FUSE</t>
        </is>
      </c>
      <c r="B192" t="inlineStr">
        <is>
          <t>SW-DAMPER-054</t>
        </is>
      </c>
      <c r="C192" t="inlineStr">
        <is>
          <t>Cầu chì nhiệt nóng chảy 70°C (Elsie/USA)</t>
        </is>
      </c>
      <c r="D192" t="inlineStr">
        <is>
          <t>PHỤ_KIỆN_VAN</t>
        </is>
      </c>
      <c r="E192" t="inlineStr">
        <is>
          <t>MAT-DAMPER-CAU-CHI-USA-2-400X400</t>
        </is>
      </c>
      <c r="F192" t="inlineStr">
        <is>
          <t>Cái</t>
        </is>
      </c>
      <c r="G192" s="4" t="n">
        <v>1</v>
      </c>
      <c r="H192" s="2">
        <f>XLOOKUP(B192, '00_TONG_HOP_BAO_GIA'!B:B, '00_TONG_HOP_BAO_GIA'!G:G, 1)</f>
        <v/>
      </c>
      <c r="I192" s="5">
        <f>G192*H192</f>
        <v/>
      </c>
      <c r="J192" s="2">
        <f>XLOOKUP(E192, '06_BANG_GIA_VAT_TU_AP_DUNG'!B:B, '06_BANG_GIA_VAT_TU_AP_DUNG'!C:C, "LỖI_MÃ_VT")</f>
        <v/>
      </c>
      <c r="K192" s="2">
        <f>I192*J192</f>
        <v/>
      </c>
      <c r="L192" t="inlineStr">
        <is>
          <t>Cầu chì kiểm định PCCC</t>
        </is>
      </c>
    </row>
    <row r="193">
      <c r="A193" t="inlineStr">
        <is>
          <t>SW-DAMPER-055-BODY</t>
        </is>
      </c>
      <c r="B193" t="inlineStr">
        <is>
          <t>SW-DAMPER-055</t>
        </is>
      </c>
      <c r="C193" t="inlineStr">
        <is>
          <t>Thân vỏ van FD bích TDF (0.75mm)</t>
        </is>
      </c>
      <c r="D193" t="inlineStr">
        <is>
          <t>TÔN_CUỘN_MẠ_KẼM</t>
        </is>
      </c>
      <c r="E193" t="inlineStr">
        <is>
          <t>MAT-STEEL-PN-0.75</t>
        </is>
      </c>
      <c r="F193" t="inlineStr">
        <is>
          <t>kg</t>
        </is>
      </c>
      <c r="G193" s="4" t="n">
        <v>3.244247999999999</v>
      </c>
      <c r="H193" s="2">
        <f>XLOOKUP(B193, '00_TONG_HOP_BAO_GIA'!B:B, '00_TONG_HOP_BAO_GIA'!G:G, 1)</f>
        <v/>
      </c>
      <c r="I193" s="5">
        <f>G193*H193</f>
        <v/>
      </c>
      <c r="J193" s="2">
        <f>XLOOKUP(E193, '06_BANG_GIA_VAT_TU_AP_DUNG'!B:B, '06_BANG_GIA_VAT_TU_AP_DUNG'!C:C, "LỖI_MÃ_VT")</f>
        <v/>
      </c>
      <c r="K193" s="2">
        <f>I193*J193</f>
        <v/>
      </c>
      <c r="L193" t="inlineStr">
        <is>
          <t>Kích thước vỏ 550.0x250.0x250mm</t>
        </is>
      </c>
    </row>
    <row r="194">
      <c r="A194" t="inlineStr">
        <is>
          <t>SW-DAMPER-055-BLADE</t>
        </is>
      </c>
      <c r="B194" t="inlineStr">
        <is>
          <t>SW-DAMPER-055</t>
        </is>
      </c>
      <c r="C194" t="inlineStr">
        <is>
          <t>Lá cánh van (2 cánh overlap)</t>
        </is>
      </c>
      <c r="D194" t="inlineStr">
        <is>
          <t>TÔN_CUỘN_MẠ_KẼM</t>
        </is>
      </c>
      <c r="E194" t="inlineStr">
        <is>
          <t>MAT-STEEL-PN-0.75</t>
        </is>
      </c>
      <c r="F194" t="inlineStr">
        <is>
          <t>kg</t>
        </is>
      </c>
      <c r="G194" s="4" t="n">
        <v>1.01418075</v>
      </c>
      <c r="H194" s="2">
        <f>XLOOKUP(B194, '00_TONG_HOP_BAO_GIA'!B:B, '00_TONG_HOP_BAO_GIA'!G:G, 1)</f>
        <v/>
      </c>
      <c r="I194" s="5">
        <f>G194*H194</f>
        <v/>
      </c>
      <c r="J194" s="2">
        <f>XLOOKUP(E194, '06_BANG_GIA_VAT_TU_AP_DUNG'!B:B, '06_BANG_GIA_VAT_TU_AP_DUNG'!C:C, "LỖI_MÃ_VT")</f>
        <v/>
      </c>
      <c r="K194" s="2">
        <f>I194*J194</f>
        <v/>
      </c>
      <c r="L194" t="inlineStr">
        <is>
          <t>2 cánh cao 145mm</t>
        </is>
      </c>
    </row>
    <row r="195">
      <c r="A195" t="inlineStr">
        <is>
          <t>SW-DAMPER-055-AXLE</t>
        </is>
      </c>
      <c r="B195" t="inlineStr">
        <is>
          <t>SW-DAMPER-055</t>
        </is>
      </c>
      <c r="C195" t="inlineStr">
        <is>
          <t>Trục Sus 201 D10</t>
        </is>
      </c>
      <c r="D195" t="inlineStr">
        <is>
          <t>PHỤ_KIỆN_VAN</t>
        </is>
      </c>
      <c r="E195" t="inlineStr">
        <is>
          <t>MAT-DAMPER-TRUC-SUS-201-D10</t>
        </is>
      </c>
      <c r="F195" t="inlineStr">
        <is>
          <t>m</t>
        </is>
      </c>
      <c r="G195" s="4" t="n">
        <v>1.22</v>
      </c>
      <c r="H195" s="2">
        <f>XLOOKUP(B195, '00_TONG_HOP_BAO_GIA'!B:B, '00_TONG_HOP_BAO_GIA'!G:G, 1)</f>
        <v/>
      </c>
      <c r="I195" s="5">
        <f>G195*H195</f>
        <v/>
      </c>
      <c r="J195" s="2">
        <f>XLOOKUP(E195, '06_BANG_GIA_VAT_TU_AP_DUNG'!B:B, '06_BANG_GIA_VAT_TU_AP_DUNG'!C:C, "LỖI_MÃ_VT")</f>
        <v/>
      </c>
      <c r="K195" s="2">
        <f>I195*J195</f>
        <v/>
      </c>
      <c r="L195" t="inlineStr">
        <is>
          <t>2 trục dài 610mm</t>
        </is>
      </c>
    </row>
    <row r="196">
      <c r="A196" t="inlineStr">
        <is>
          <t>SW-DAMPER-055-BEARING</t>
        </is>
      </c>
      <c r="B196" t="inlineStr">
        <is>
          <t>SW-DAMPER-055</t>
        </is>
      </c>
      <c r="C196" t="inlineStr">
        <is>
          <t>Bạc đồng D10</t>
        </is>
      </c>
      <c r="D196" t="inlineStr">
        <is>
          <t>PHỤ_KIỆN_VAN</t>
        </is>
      </c>
      <c r="E196" t="inlineStr">
        <is>
          <t>MAT-DAMPER-BAC-DONG-D10</t>
        </is>
      </c>
      <c r="F196" t="inlineStr">
        <is>
          <t>Đôi</t>
        </is>
      </c>
      <c r="G196" s="4" t="n">
        <v>2</v>
      </c>
      <c r="H196" s="2">
        <f>XLOOKUP(B196, '00_TONG_HOP_BAO_GIA'!B:B, '00_TONG_HOP_BAO_GIA'!G:G, 1)</f>
        <v/>
      </c>
      <c r="I196" s="5">
        <f>G196*H196</f>
        <v/>
      </c>
      <c r="J196" s="2">
        <f>XLOOKUP(E196, '06_BANG_GIA_VAT_TU_AP_DUNG'!B:B, '06_BANG_GIA_VAT_TU_AP_DUNG'!C:C, "LỖI_MÃ_VT")</f>
        <v/>
      </c>
      <c r="K196" s="2">
        <f>I196*J196</f>
        <v/>
      </c>
      <c r="L196" t="inlineStr">
        <is>
          <t>2 đôi bạc đỡ 2 bên thân</t>
        </is>
      </c>
    </row>
    <row r="197">
      <c r="A197" t="inlineStr">
        <is>
          <t>SW-DAMPER-055-GEAR</t>
        </is>
      </c>
      <c r="B197" t="inlineStr">
        <is>
          <t>SW-DAMPER-055</t>
        </is>
      </c>
      <c r="C197" t="inlineStr">
        <is>
          <t>Bánh răng van nhôm</t>
        </is>
      </c>
      <c r="D197" t="inlineStr">
        <is>
          <t>PHỤ_KIỆN_VAN</t>
        </is>
      </c>
      <c r="E197" t="inlineStr">
        <is>
          <t>MAT-DAMPER-BANH-RANG-VAN-NHOM</t>
        </is>
      </c>
      <c r="F197" t="inlineStr">
        <is>
          <t>Bộ</t>
        </is>
      </c>
      <c r="G197" s="4" t="n">
        <v>1</v>
      </c>
      <c r="H197" s="2">
        <f>XLOOKUP(B197, '00_TONG_HOP_BAO_GIA'!B:B, '00_TONG_HOP_BAO_GIA'!G:G, 1)</f>
        <v/>
      </c>
      <c r="I197" s="5">
        <f>G197*H197</f>
        <v/>
      </c>
      <c r="J197" s="2">
        <f>XLOOKUP(E197, '06_BANG_GIA_VAT_TU_AP_DUNG'!B:B, '06_BANG_GIA_VAT_TU_AP_DUNG'!C:C, "LỖI_MÃ_VT")</f>
        <v/>
      </c>
      <c r="K197" s="2">
        <f>I197*J197</f>
        <v/>
      </c>
      <c r="L197" t="inlineStr">
        <is>
          <t>Cơ cấu liên động bánh răng van</t>
        </is>
      </c>
    </row>
    <row r="198">
      <c r="A198" t="inlineStr">
        <is>
          <t>SW-DAMPER-055-FUSE</t>
        </is>
      </c>
      <c r="B198" t="inlineStr">
        <is>
          <t>SW-DAMPER-055</t>
        </is>
      </c>
      <c r="C198" t="inlineStr">
        <is>
          <t>Cầu chì nhiệt nóng chảy 70°C (Elsie/USA)</t>
        </is>
      </c>
      <c r="D198" t="inlineStr">
        <is>
          <t>PHỤ_KIỆN_VAN</t>
        </is>
      </c>
      <c r="E198" t="inlineStr">
        <is>
          <t>MAT-DAMPER-CAU-CHI-USA-2-400X400</t>
        </is>
      </c>
      <c r="F198" t="inlineStr">
        <is>
          <t>Cái</t>
        </is>
      </c>
      <c r="G198" s="4" t="n">
        <v>1</v>
      </c>
      <c r="H198" s="2">
        <f>XLOOKUP(B198, '00_TONG_HOP_BAO_GIA'!B:B, '00_TONG_HOP_BAO_GIA'!G:G, 1)</f>
        <v/>
      </c>
      <c r="I198" s="5">
        <f>G198*H198</f>
        <v/>
      </c>
      <c r="J198" s="2">
        <f>XLOOKUP(E198, '06_BANG_GIA_VAT_TU_AP_DUNG'!B:B, '06_BANG_GIA_VAT_TU_AP_DUNG'!C:C, "LỖI_MÃ_VT")</f>
        <v/>
      </c>
      <c r="K198" s="2">
        <f>I198*J198</f>
        <v/>
      </c>
      <c r="L198" t="inlineStr">
        <is>
          <t>Cầu chì kiểm định PCCC</t>
        </is>
      </c>
    </row>
    <row r="199">
      <c r="A199" t="inlineStr">
        <is>
          <t>SW-DAMPER-056-BODY</t>
        </is>
      </c>
      <c r="B199" t="inlineStr">
        <is>
          <t>SW-DAMPER-056</t>
        </is>
      </c>
      <c r="C199" t="inlineStr">
        <is>
          <t>Thân vỏ van FD bích TDF (0.75mm)</t>
        </is>
      </c>
      <c r="D199" t="inlineStr">
        <is>
          <t>TÔN_CUỘN_MẠ_KẼM</t>
        </is>
      </c>
      <c r="E199" t="inlineStr">
        <is>
          <t>MAT-STEEL-PN-0.75</t>
        </is>
      </c>
      <c r="F199" t="inlineStr">
        <is>
          <t>kg</t>
        </is>
      </c>
      <c r="G199" s="4" t="n">
        <v>3.639888</v>
      </c>
      <c r="H199" s="2">
        <f>XLOOKUP(B199, '00_TONG_HOP_BAO_GIA'!B:B, '00_TONG_HOP_BAO_GIA'!G:G, 1)</f>
        <v/>
      </c>
      <c r="I199" s="5">
        <f>G199*H199</f>
        <v/>
      </c>
      <c r="J199" s="2">
        <f>XLOOKUP(E199, '06_BANG_GIA_VAT_TU_AP_DUNG'!B:B, '06_BANG_GIA_VAT_TU_AP_DUNG'!C:C, "LỖI_MÃ_VT")</f>
        <v/>
      </c>
      <c r="K199" s="2">
        <f>I199*J199</f>
        <v/>
      </c>
      <c r="L199" t="inlineStr">
        <is>
          <t>Kích thước vỏ 550.0x350.0x250mm</t>
        </is>
      </c>
    </row>
    <row r="200">
      <c r="A200" t="inlineStr">
        <is>
          <t>SW-DAMPER-056-BLADE</t>
        </is>
      </c>
      <c r="B200" t="inlineStr">
        <is>
          <t>SW-DAMPER-056</t>
        </is>
      </c>
      <c r="C200" t="inlineStr">
        <is>
          <t>Lá cánh van (2 cánh overlap)</t>
        </is>
      </c>
      <c r="D200" t="inlineStr">
        <is>
          <t>TÔN_CUỘN_MẠ_KẼM</t>
        </is>
      </c>
      <c r="E200" t="inlineStr">
        <is>
          <t>MAT-STEEL-PN-0.75</t>
        </is>
      </c>
      <c r="F200" t="inlineStr">
        <is>
          <t>kg</t>
        </is>
      </c>
      <c r="G200" s="4" t="n">
        <v>1.36389825</v>
      </c>
      <c r="H200" s="2">
        <f>XLOOKUP(B200, '00_TONG_HOP_BAO_GIA'!B:B, '00_TONG_HOP_BAO_GIA'!G:G, 1)</f>
        <v/>
      </c>
      <c r="I200" s="5">
        <f>G200*H200</f>
        <v/>
      </c>
      <c r="J200" s="2">
        <f>XLOOKUP(E200, '06_BANG_GIA_VAT_TU_AP_DUNG'!B:B, '06_BANG_GIA_VAT_TU_AP_DUNG'!C:C, "LỖI_MÃ_VT")</f>
        <v/>
      </c>
      <c r="K200" s="2">
        <f>I200*J200</f>
        <v/>
      </c>
      <c r="L200" t="inlineStr">
        <is>
          <t>2 cánh cao 195mm</t>
        </is>
      </c>
    </row>
    <row r="201">
      <c r="A201" t="inlineStr">
        <is>
          <t>SW-DAMPER-056-AXLE</t>
        </is>
      </c>
      <c r="B201" t="inlineStr">
        <is>
          <t>SW-DAMPER-056</t>
        </is>
      </c>
      <c r="C201" t="inlineStr">
        <is>
          <t>Trục Sus 201 D10</t>
        </is>
      </c>
      <c r="D201" t="inlineStr">
        <is>
          <t>PHỤ_KIỆN_VAN</t>
        </is>
      </c>
      <c r="E201" t="inlineStr">
        <is>
          <t>MAT-DAMPER-TRUC-SUS-201-D10</t>
        </is>
      </c>
      <c r="F201" t="inlineStr">
        <is>
          <t>m</t>
        </is>
      </c>
      <c r="G201" s="4" t="n">
        <v>1.22</v>
      </c>
      <c r="H201" s="2">
        <f>XLOOKUP(B201, '00_TONG_HOP_BAO_GIA'!B:B, '00_TONG_HOP_BAO_GIA'!G:G, 1)</f>
        <v/>
      </c>
      <c r="I201" s="5">
        <f>G201*H201</f>
        <v/>
      </c>
      <c r="J201" s="2">
        <f>XLOOKUP(E201, '06_BANG_GIA_VAT_TU_AP_DUNG'!B:B, '06_BANG_GIA_VAT_TU_AP_DUNG'!C:C, "LỖI_MÃ_VT")</f>
        <v/>
      </c>
      <c r="K201" s="2">
        <f>I201*J201</f>
        <v/>
      </c>
      <c r="L201" t="inlineStr">
        <is>
          <t>2 trục dài 610mm</t>
        </is>
      </c>
    </row>
    <row r="202">
      <c r="A202" t="inlineStr">
        <is>
          <t>SW-DAMPER-056-BEARING</t>
        </is>
      </c>
      <c r="B202" t="inlineStr">
        <is>
          <t>SW-DAMPER-056</t>
        </is>
      </c>
      <c r="C202" t="inlineStr">
        <is>
          <t>Bạc đồng D10</t>
        </is>
      </c>
      <c r="D202" t="inlineStr">
        <is>
          <t>PHỤ_KIỆN_VAN</t>
        </is>
      </c>
      <c r="E202" t="inlineStr">
        <is>
          <t>MAT-DAMPER-BAC-DONG-D10</t>
        </is>
      </c>
      <c r="F202" t="inlineStr">
        <is>
          <t>Đôi</t>
        </is>
      </c>
      <c r="G202" s="4" t="n">
        <v>2</v>
      </c>
      <c r="H202" s="2">
        <f>XLOOKUP(B202, '00_TONG_HOP_BAO_GIA'!B:B, '00_TONG_HOP_BAO_GIA'!G:G, 1)</f>
        <v/>
      </c>
      <c r="I202" s="5">
        <f>G202*H202</f>
        <v/>
      </c>
      <c r="J202" s="2">
        <f>XLOOKUP(E202, '06_BANG_GIA_VAT_TU_AP_DUNG'!B:B, '06_BANG_GIA_VAT_TU_AP_DUNG'!C:C, "LỖI_MÃ_VT")</f>
        <v/>
      </c>
      <c r="K202" s="2">
        <f>I202*J202</f>
        <v/>
      </c>
      <c r="L202" t="inlineStr">
        <is>
          <t>2 đôi bạc đỡ 2 bên thân</t>
        </is>
      </c>
    </row>
    <row r="203">
      <c r="A203" t="inlineStr">
        <is>
          <t>SW-DAMPER-056-GEAR</t>
        </is>
      </c>
      <c r="B203" t="inlineStr">
        <is>
          <t>SW-DAMPER-056</t>
        </is>
      </c>
      <c r="C203" t="inlineStr">
        <is>
          <t>Bánh răng van nhôm</t>
        </is>
      </c>
      <c r="D203" t="inlineStr">
        <is>
          <t>PHỤ_KIỆN_VAN</t>
        </is>
      </c>
      <c r="E203" t="inlineStr">
        <is>
          <t>MAT-DAMPER-BANH-RANG-VAN-NHOM</t>
        </is>
      </c>
      <c r="F203" t="inlineStr">
        <is>
          <t>Bộ</t>
        </is>
      </c>
      <c r="G203" s="4" t="n">
        <v>1</v>
      </c>
      <c r="H203" s="2">
        <f>XLOOKUP(B203, '00_TONG_HOP_BAO_GIA'!B:B, '00_TONG_HOP_BAO_GIA'!G:G, 1)</f>
        <v/>
      </c>
      <c r="I203" s="5">
        <f>G203*H203</f>
        <v/>
      </c>
      <c r="J203" s="2">
        <f>XLOOKUP(E203, '06_BANG_GIA_VAT_TU_AP_DUNG'!B:B, '06_BANG_GIA_VAT_TU_AP_DUNG'!C:C, "LỖI_MÃ_VT")</f>
        <v/>
      </c>
      <c r="K203" s="2">
        <f>I203*J203</f>
        <v/>
      </c>
      <c r="L203" t="inlineStr">
        <is>
          <t>Cơ cấu liên động bánh răng van</t>
        </is>
      </c>
    </row>
    <row r="204">
      <c r="A204" t="inlineStr">
        <is>
          <t>SW-DAMPER-056-FUSE</t>
        </is>
      </c>
      <c r="B204" t="inlineStr">
        <is>
          <t>SW-DAMPER-056</t>
        </is>
      </c>
      <c r="C204" t="inlineStr">
        <is>
          <t>Cầu chì nhiệt nóng chảy 70°C (Elsie/USA)</t>
        </is>
      </c>
      <c r="D204" t="inlineStr">
        <is>
          <t>PHỤ_KIỆN_VAN</t>
        </is>
      </c>
      <c r="E204" t="inlineStr">
        <is>
          <t>MAT-DAMPER-CAU-CHI-USA-2-400X400</t>
        </is>
      </c>
      <c r="F204" t="inlineStr">
        <is>
          <t>Cái</t>
        </is>
      </c>
      <c r="G204" s="4" t="n">
        <v>1</v>
      </c>
      <c r="H204" s="2">
        <f>XLOOKUP(B204, '00_TONG_HOP_BAO_GIA'!B:B, '00_TONG_HOP_BAO_GIA'!G:G, 1)</f>
        <v/>
      </c>
      <c r="I204" s="5">
        <f>G204*H204</f>
        <v/>
      </c>
      <c r="J204" s="2">
        <f>XLOOKUP(E204, '06_BANG_GIA_VAT_TU_AP_DUNG'!B:B, '06_BANG_GIA_VAT_TU_AP_DUNG'!C:C, "LỖI_MÃ_VT")</f>
        <v/>
      </c>
      <c r="K204" s="2">
        <f>I204*J204</f>
        <v/>
      </c>
      <c r="L204" t="inlineStr">
        <is>
          <t>Cầu chì kiểm định PCCC</t>
        </is>
      </c>
    </row>
    <row r="205">
      <c r="A205" t="inlineStr">
        <is>
          <t>SW-DAMPER-057-BODY</t>
        </is>
      </c>
      <c r="B205" t="inlineStr">
        <is>
          <t>SW-DAMPER-057</t>
        </is>
      </c>
      <c r="C205" t="inlineStr">
        <is>
          <t>Thân vỏ van FD bích TDF (0.75mm)</t>
        </is>
      </c>
      <c r="D205" t="inlineStr">
        <is>
          <t>TÔN_CUỘN_MẠ_KẼM</t>
        </is>
      </c>
      <c r="E205" t="inlineStr">
        <is>
          <t>MAT-STEEL-PN-0.75</t>
        </is>
      </c>
      <c r="F205" t="inlineStr">
        <is>
          <t>kg</t>
        </is>
      </c>
      <c r="G205" s="4" t="n">
        <v>3.639888</v>
      </c>
      <c r="H205" s="2">
        <f>XLOOKUP(B205, '00_TONG_HOP_BAO_GIA'!B:B, '00_TONG_HOP_BAO_GIA'!G:G, 1)</f>
        <v/>
      </c>
      <c r="I205" s="5">
        <f>G205*H205</f>
        <v/>
      </c>
      <c r="J205" s="2">
        <f>XLOOKUP(E205, '06_BANG_GIA_VAT_TU_AP_DUNG'!B:B, '06_BANG_GIA_VAT_TU_AP_DUNG'!C:C, "LỖI_MÃ_VT")</f>
        <v/>
      </c>
      <c r="K205" s="2">
        <f>I205*J205</f>
        <v/>
      </c>
      <c r="L205" t="inlineStr">
        <is>
          <t>Kích thước vỏ 600.0x300.0x250mm</t>
        </is>
      </c>
    </row>
    <row r="206">
      <c r="A206" t="inlineStr">
        <is>
          <t>SW-DAMPER-057-BLADE</t>
        </is>
      </c>
      <c r="B206" t="inlineStr">
        <is>
          <t>SW-DAMPER-057</t>
        </is>
      </c>
      <c r="C206" t="inlineStr">
        <is>
          <t>Lá cánh van (2 cánh overlap)</t>
        </is>
      </c>
      <c r="D206" t="inlineStr">
        <is>
          <t>TÔN_CUỘN_MẠ_KẼM</t>
        </is>
      </c>
      <c r="E206" t="inlineStr">
        <is>
          <t>MAT-STEEL-PN-0.75</t>
        </is>
      </c>
      <c r="F206" t="inlineStr">
        <is>
          <t>kg</t>
        </is>
      </c>
      <c r="G206" s="4" t="n">
        <v>1.297134</v>
      </c>
      <c r="H206" s="2">
        <f>XLOOKUP(B206, '00_TONG_HOP_BAO_GIA'!B:B, '00_TONG_HOP_BAO_GIA'!G:G, 1)</f>
        <v/>
      </c>
      <c r="I206" s="5">
        <f>G206*H206</f>
        <v/>
      </c>
      <c r="J206" s="2">
        <f>XLOOKUP(E206, '06_BANG_GIA_VAT_TU_AP_DUNG'!B:B, '06_BANG_GIA_VAT_TU_AP_DUNG'!C:C, "LỖI_MÃ_VT")</f>
        <v/>
      </c>
      <c r="K206" s="2">
        <f>I206*J206</f>
        <v/>
      </c>
      <c r="L206" t="inlineStr">
        <is>
          <t>2 cánh cao 170mm</t>
        </is>
      </c>
    </row>
    <row r="207">
      <c r="A207" t="inlineStr">
        <is>
          <t>SW-DAMPER-057-AXLE</t>
        </is>
      </c>
      <c r="B207" t="inlineStr">
        <is>
          <t>SW-DAMPER-057</t>
        </is>
      </c>
      <c r="C207" t="inlineStr">
        <is>
          <t>Trục Sus 201 D10</t>
        </is>
      </c>
      <c r="D207" t="inlineStr">
        <is>
          <t>PHỤ_KIỆN_VAN</t>
        </is>
      </c>
      <c r="E207" t="inlineStr">
        <is>
          <t>MAT-DAMPER-TRUC-SUS-201-D10</t>
        </is>
      </c>
      <c r="F207" t="inlineStr">
        <is>
          <t>m</t>
        </is>
      </c>
      <c r="G207" s="4" t="n">
        <v>1.32</v>
      </c>
      <c r="H207" s="2">
        <f>XLOOKUP(B207, '00_TONG_HOP_BAO_GIA'!B:B, '00_TONG_HOP_BAO_GIA'!G:G, 1)</f>
        <v/>
      </c>
      <c r="I207" s="5">
        <f>G207*H207</f>
        <v/>
      </c>
      <c r="J207" s="2">
        <f>XLOOKUP(E207, '06_BANG_GIA_VAT_TU_AP_DUNG'!B:B, '06_BANG_GIA_VAT_TU_AP_DUNG'!C:C, "LỖI_MÃ_VT")</f>
        <v/>
      </c>
      <c r="K207" s="2">
        <f>I207*J207</f>
        <v/>
      </c>
      <c r="L207" t="inlineStr">
        <is>
          <t>2 trục dài 660mm</t>
        </is>
      </c>
    </row>
    <row r="208">
      <c r="A208" t="inlineStr">
        <is>
          <t>SW-DAMPER-057-BEARING</t>
        </is>
      </c>
      <c r="B208" t="inlineStr">
        <is>
          <t>SW-DAMPER-057</t>
        </is>
      </c>
      <c r="C208" t="inlineStr">
        <is>
          <t>Bạc đồng D10</t>
        </is>
      </c>
      <c r="D208" t="inlineStr">
        <is>
          <t>PHỤ_KIỆN_VAN</t>
        </is>
      </c>
      <c r="E208" t="inlineStr">
        <is>
          <t>MAT-DAMPER-BAC-DONG-D10</t>
        </is>
      </c>
      <c r="F208" t="inlineStr">
        <is>
          <t>Đôi</t>
        </is>
      </c>
      <c r="G208" s="4" t="n">
        <v>2</v>
      </c>
      <c r="H208" s="2">
        <f>XLOOKUP(B208, '00_TONG_HOP_BAO_GIA'!B:B, '00_TONG_HOP_BAO_GIA'!G:G, 1)</f>
        <v/>
      </c>
      <c r="I208" s="5">
        <f>G208*H208</f>
        <v/>
      </c>
      <c r="J208" s="2">
        <f>XLOOKUP(E208, '06_BANG_GIA_VAT_TU_AP_DUNG'!B:B, '06_BANG_GIA_VAT_TU_AP_DUNG'!C:C, "LỖI_MÃ_VT")</f>
        <v/>
      </c>
      <c r="K208" s="2">
        <f>I208*J208</f>
        <v/>
      </c>
      <c r="L208" t="inlineStr">
        <is>
          <t>2 đôi bạc đỡ 2 bên thân</t>
        </is>
      </c>
    </row>
    <row r="209">
      <c r="A209" t="inlineStr">
        <is>
          <t>SW-DAMPER-057-GEAR</t>
        </is>
      </c>
      <c r="B209" t="inlineStr">
        <is>
          <t>SW-DAMPER-057</t>
        </is>
      </c>
      <c r="C209" t="inlineStr">
        <is>
          <t>Bánh răng van nhôm</t>
        </is>
      </c>
      <c r="D209" t="inlineStr">
        <is>
          <t>PHỤ_KIỆN_VAN</t>
        </is>
      </c>
      <c r="E209" t="inlineStr">
        <is>
          <t>MAT-DAMPER-BANH-RANG-VAN-NHOM</t>
        </is>
      </c>
      <c r="F209" t="inlineStr">
        <is>
          <t>Bộ</t>
        </is>
      </c>
      <c r="G209" s="4" t="n">
        <v>1</v>
      </c>
      <c r="H209" s="2">
        <f>XLOOKUP(B209, '00_TONG_HOP_BAO_GIA'!B:B, '00_TONG_HOP_BAO_GIA'!G:G, 1)</f>
        <v/>
      </c>
      <c r="I209" s="5">
        <f>G209*H209</f>
        <v/>
      </c>
      <c r="J209" s="2">
        <f>XLOOKUP(E209, '06_BANG_GIA_VAT_TU_AP_DUNG'!B:B, '06_BANG_GIA_VAT_TU_AP_DUNG'!C:C, "LỖI_MÃ_VT")</f>
        <v/>
      </c>
      <c r="K209" s="2">
        <f>I209*J209</f>
        <v/>
      </c>
      <c r="L209" t="inlineStr">
        <is>
          <t>Cơ cấu liên động bánh răng van</t>
        </is>
      </c>
    </row>
    <row r="210">
      <c r="A210" t="inlineStr">
        <is>
          <t>SW-DAMPER-057-FUSE</t>
        </is>
      </c>
      <c r="B210" t="inlineStr">
        <is>
          <t>SW-DAMPER-057</t>
        </is>
      </c>
      <c r="C210" t="inlineStr">
        <is>
          <t>Cầu chì nhiệt nóng chảy 70°C (Elsie/USA)</t>
        </is>
      </c>
      <c r="D210" t="inlineStr">
        <is>
          <t>PHỤ_KIỆN_VAN</t>
        </is>
      </c>
      <c r="E210" t="inlineStr">
        <is>
          <t>MAT-DAMPER-CAU-CHI-USA-2-400X400</t>
        </is>
      </c>
      <c r="F210" t="inlineStr">
        <is>
          <t>Cái</t>
        </is>
      </c>
      <c r="G210" s="4" t="n">
        <v>1</v>
      </c>
      <c r="H210" s="2">
        <f>XLOOKUP(B210, '00_TONG_HOP_BAO_GIA'!B:B, '00_TONG_HOP_BAO_GIA'!G:G, 1)</f>
        <v/>
      </c>
      <c r="I210" s="5">
        <f>G210*H210</f>
        <v/>
      </c>
      <c r="J210" s="2">
        <f>XLOOKUP(E210, '06_BANG_GIA_VAT_TU_AP_DUNG'!B:B, '06_BANG_GIA_VAT_TU_AP_DUNG'!C:C, "LỖI_MÃ_VT")</f>
        <v/>
      </c>
      <c r="K210" s="2">
        <f>I210*J210</f>
        <v/>
      </c>
      <c r="L210" t="inlineStr">
        <is>
          <t>Cầu chì kiểm định PCCC</t>
        </is>
      </c>
    </row>
    <row r="211">
      <c r="A211" t="inlineStr">
        <is>
          <t>SW-DAMPER-058-BODY</t>
        </is>
      </c>
      <c r="B211" t="inlineStr">
        <is>
          <t>SW-DAMPER-058</t>
        </is>
      </c>
      <c r="C211" t="inlineStr">
        <is>
          <t>Thân vỏ van FD bích TDF (0.75mm)</t>
        </is>
      </c>
      <c r="D211" t="inlineStr">
        <is>
          <t>TÔN_CUỘN_MẠ_KẼM</t>
        </is>
      </c>
      <c r="E211" t="inlineStr">
        <is>
          <t>MAT-STEEL-PN-0.75</t>
        </is>
      </c>
      <c r="F211" t="inlineStr">
        <is>
          <t>kg</t>
        </is>
      </c>
      <c r="G211" s="4" t="n">
        <v>4.233348</v>
      </c>
      <c r="H211" s="2">
        <f>XLOOKUP(B211, '00_TONG_HOP_BAO_GIA'!B:B, '00_TONG_HOP_BAO_GIA'!G:G, 1)</f>
        <v/>
      </c>
      <c r="I211" s="5">
        <f>G211*H211</f>
        <v/>
      </c>
      <c r="J211" s="2">
        <f>XLOOKUP(E211, '06_BANG_GIA_VAT_TU_AP_DUNG'!B:B, '06_BANG_GIA_VAT_TU_AP_DUNG'!C:C, "LỖI_MÃ_VT")</f>
        <v/>
      </c>
      <c r="K211" s="2">
        <f>I211*J211</f>
        <v/>
      </c>
      <c r="L211" t="inlineStr">
        <is>
          <t>Kích thước vỏ 600.0x450.0x250mm</t>
        </is>
      </c>
    </row>
    <row r="212">
      <c r="A212" t="inlineStr">
        <is>
          <t>SW-DAMPER-058-BLADE</t>
        </is>
      </c>
      <c r="B212" t="inlineStr">
        <is>
          <t>SW-DAMPER-058</t>
        </is>
      </c>
      <c r="C212" t="inlineStr">
        <is>
          <t>Lá cánh van (3 cánh overlap)</t>
        </is>
      </c>
      <c r="D212" t="inlineStr">
        <is>
          <t>TÔN_CUỘN_MẠ_KẼM</t>
        </is>
      </c>
      <c r="E212" t="inlineStr">
        <is>
          <t>MAT-STEEL-PN-0.75</t>
        </is>
      </c>
      <c r="F212" t="inlineStr">
        <is>
          <t>kg</t>
        </is>
      </c>
      <c r="G212" s="4" t="n">
        <v>1.945701</v>
      </c>
      <c r="H212" s="2">
        <f>XLOOKUP(B212, '00_TONG_HOP_BAO_GIA'!B:B, '00_TONG_HOP_BAO_GIA'!G:G, 1)</f>
        <v/>
      </c>
      <c r="I212" s="5">
        <f>G212*H212</f>
        <v/>
      </c>
      <c r="J212" s="2">
        <f>XLOOKUP(E212, '06_BANG_GIA_VAT_TU_AP_DUNG'!B:B, '06_BANG_GIA_VAT_TU_AP_DUNG'!C:C, "LỖI_MÃ_VT")</f>
        <v/>
      </c>
      <c r="K212" s="2">
        <f>I212*J212</f>
        <v/>
      </c>
      <c r="L212" t="inlineStr">
        <is>
          <t>3 cánh cao 170mm</t>
        </is>
      </c>
    </row>
    <row r="213">
      <c r="A213" t="inlineStr">
        <is>
          <t>SW-DAMPER-058-AXLE</t>
        </is>
      </c>
      <c r="B213" t="inlineStr">
        <is>
          <t>SW-DAMPER-058</t>
        </is>
      </c>
      <c r="C213" t="inlineStr">
        <is>
          <t>Trục Sus 201 D10</t>
        </is>
      </c>
      <c r="D213" t="inlineStr">
        <is>
          <t>PHỤ_KIỆN_VAN</t>
        </is>
      </c>
      <c r="E213" t="inlineStr">
        <is>
          <t>MAT-DAMPER-TRUC-SUS-201-D10</t>
        </is>
      </c>
      <c r="F213" t="inlineStr">
        <is>
          <t>m</t>
        </is>
      </c>
      <c r="G213" s="4" t="n">
        <v>1.98</v>
      </c>
      <c r="H213" s="2">
        <f>XLOOKUP(B213, '00_TONG_HOP_BAO_GIA'!B:B, '00_TONG_HOP_BAO_GIA'!G:G, 1)</f>
        <v/>
      </c>
      <c r="I213" s="5">
        <f>G213*H213</f>
        <v/>
      </c>
      <c r="J213" s="2">
        <f>XLOOKUP(E213, '06_BANG_GIA_VAT_TU_AP_DUNG'!B:B, '06_BANG_GIA_VAT_TU_AP_DUNG'!C:C, "LỖI_MÃ_VT")</f>
        <v/>
      </c>
      <c r="K213" s="2">
        <f>I213*J213</f>
        <v/>
      </c>
      <c r="L213" t="inlineStr">
        <is>
          <t>3 trục dài 660mm</t>
        </is>
      </c>
    </row>
    <row r="214">
      <c r="A214" t="inlineStr">
        <is>
          <t>SW-DAMPER-058-BEARING</t>
        </is>
      </c>
      <c r="B214" t="inlineStr">
        <is>
          <t>SW-DAMPER-058</t>
        </is>
      </c>
      <c r="C214" t="inlineStr">
        <is>
          <t>Bạc đồng D10</t>
        </is>
      </c>
      <c r="D214" t="inlineStr">
        <is>
          <t>PHỤ_KIỆN_VAN</t>
        </is>
      </c>
      <c r="E214" t="inlineStr">
        <is>
          <t>MAT-DAMPER-BAC-DONG-D10</t>
        </is>
      </c>
      <c r="F214" t="inlineStr">
        <is>
          <t>Đôi</t>
        </is>
      </c>
      <c r="G214" s="4" t="n">
        <v>3</v>
      </c>
      <c r="H214" s="2">
        <f>XLOOKUP(B214, '00_TONG_HOP_BAO_GIA'!B:B, '00_TONG_HOP_BAO_GIA'!G:G, 1)</f>
        <v/>
      </c>
      <c r="I214" s="5">
        <f>G214*H214</f>
        <v/>
      </c>
      <c r="J214" s="2">
        <f>XLOOKUP(E214, '06_BANG_GIA_VAT_TU_AP_DUNG'!B:B, '06_BANG_GIA_VAT_TU_AP_DUNG'!C:C, "LỖI_MÃ_VT")</f>
        <v/>
      </c>
      <c r="K214" s="2">
        <f>I214*J214</f>
        <v/>
      </c>
      <c r="L214" t="inlineStr">
        <is>
          <t>3 đôi bạc đỡ 2 bên thân</t>
        </is>
      </c>
    </row>
    <row r="215">
      <c r="A215" t="inlineStr">
        <is>
          <t>SW-DAMPER-058-GEAR</t>
        </is>
      </c>
      <c r="B215" t="inlineStr">
        <is>
          <t>SW-DAMPER-058</t>
        </is>
      </c>
      <c r="C215" t="inlineStr">
        <is>
          <t>Bánh răng van nhôm</t>
        </is>
      </c>
      <c r="D215" t="inlineStr">
        <is>
          <t>PHỤ_KIỆN_VAN</t>
        </is>
      </c>
      <c r="E215" t="inlineStr">
        <is>
          <t>MAT-DAMPER-BANH-RANG-VAN-NHOM</t>
        </is>
      </c>
      <c r="F215" t="inlineStr">
        <is>
          <t>Bộ</t>
        </is>
      </c>
      <c r="G215" s="4" t="n">
        <v>1</v>
      </c>
      <c r="H215" s="2">
        <f>XLOOKUP(B215, '00_TONG_HOP_BAO_GIA'!B:B, '00_TONG_HOP_BAO_GIA'!G:G, 1)</f>
        <v/>
      </c>
      <c r="I215" s="5">
        <f>G215*H215</f>
        <v/>
      </c>
      <c r="J215" s="2">
        <f>XLOOKUP(E215, '06_BANG_GIA_VAT_TU_AP_DUNG'!B:B, '06_BANG_GIA_VAT_TU_AP_DUNG'!C:C, "LỖI_MÃ_VT")</f>
        <v/>
      </c>
      <c r="K215" s="2">
        <f>I215*J215</f>
        <v/>
      </c>
      <c r="L215" t="inlineStr">
        <is>
          <t>Cơ cấu liên động bánh răng van</t>
        </is>
      </c>
    </row>
    <row r="216">
      <c r="A216" t="inlineStr">
        <is>
          <t>SW-DAMPER-058-FUSE</t>
        </is>
      </c>
      <c r="B216" t="inlineStr">
        <is>
          <t>SW-DAMPER-058</t>
        </is>
      </c>
      <c r="C216" t="inlineStr">
        <is>
          <t>Cầu chì nhiệt nóng chảy 70°C (Elsie/USA)</t>
        </is>
      </c>
      <c r="D216" t="inlineStr">
        <is>
          <t>PHỤ_KIỆN_VAN</t>
        </is>
      </c>
      <c r="E216" t="inlineStr">
        <is>
          <t>MAT-DAMPER-CAU-CHI-USA-2-400X400</t>
        </is>
      </c>
      <c r="F216" t="inlineStr">
        <is>
          <t>Cái</t>
        </is>
      </c>
      <c r="G216" s="4" t="n">
        <v>1</v>
      </c>
      <c r="H216" s="2">
        <f>XLOOKUP(B216, '00_TONG_HOP_BAO_GIA'!B:B, '00_TONG_HOP_BAO_GIA'!G:G, 1)</f>
        <v/>
      </c>
      <c r="I216" s="5">
        <f>G216*H216</f>
        <v/>
      </c>
      <c r="J216" s="2">
        <f>XLOOKUP(E216, '06_BANG_GIA_VAT_TU_AP_DUNG'!B:B, '06_BANG_GIA_VAT_TU_AP_DUNG'!C:C, "LỖI_MÃ_VT")</f>
        <v/>
      </c>
      <c r="K216" s="2">
        <f>I216*J216</f>
        <v/>
      </c>
      <c r="L216" t="inlineStr">
        <is>
          <t>Cầu chì kiểm định PCCC</t>
        </is>
      </c>
    </row>
    <row r="217">
      <c r="A217" t="inlineStr">
        <is>
          <t>SW-DAMPER-059-BODY</t>
        </is>
      </c>
      <c r="B217" t="inlineStr">
        <is>
          <t>SW-DAMPER-059</t>
        </is>
      </c>
      <c r="C217" t="inlineStr">
        <is>
          <t>Thân vỏ van FD bích TDF (0.75mm)</t>
        </is>
      </c>
      <c r="D217" t="inlineStr">
        <is>
          <t>TÔN_CUỘN_MẠ_KẼM</t>
        </is>
      </c>
      <c r="E217" t="inlineStr">
        <is>
          <t>MAT-STEEL-PN-0.75</t>
        </is>
      </c>
      <c r="F217" t="inlineStr">
        <is>
          <t>kg</t>
        </is>
      </c>
      <c r="G217" s="4" t="n">
        <v>3.639888</v>
      </c>
      <c r="H217" s="2">
        <f>XLOOKUP(B217, '00_TONG_HOP_BAO_GIA'!B:B, '00_TONG_HOP_BAO_GIA'!G:G, 1)</f>
        <v/>
      </c>
      <c r="I217" s="5">
        <f>G217*H217</f>
        <v/>
      </c>
      <c r="J217" s="2">
        <f>XLOOKUP(E217, '06_BANG_GIA_VAT_TU_AP_DUNG'!B:B, '06_BANG_GIA_VAT_TU_AP_DUNG'!C:C, "LỖI_MÃ_VT")</f>
        <v/>
      </c>
      <c r="K217" s="2">
        <f>I217*J217</f>
        <v/>
      </c>
      <c r="L217" t="inlineStr">
        <is>
          <t>Kích thước vỏ 650.0x250.0x250mm</t>
        </is>
      </c>
    </row>
    <row r="218">
      <c r="A218" t="inlineStr">
        <is>
          <t>SW-DAMPER-059-BLADE</t>
        </is>
      </c>
      <c r="B218" t="inlineStr">
        <is>
          <t>SW-DAMPER-059</t>
        </is>
      </c>
      <c r="C218" t="inlineStr">
        <is>
          <t>Lá cánh van (2 cánh overlap)</t>
        </is>
      </c>
      <c r="D218" t="inlineStr">
        <is>
          <t>TÔN_CUỘN_MẠ_KẼM</t>
        </is>
      </c>
      <c r="E218" t="inlineStr">
        <is>
          <t>MAT-STEEL-PN-0.75</t>
        </is>
      </c>
      <c r="F218" t="inlineStr">
        <is>
          <t>kg</t>
        </is>
      </c>
      <c r="G218" s="4" t="n">
        <v>1.19857725</v>
      </c>
      <c r="H218" s="2">
        <f>XLOOKUP(B218, '00_TONG_HOP_BAO_GIA'!B:B, '00_TONG_HOP_BAO_GIA'!G:G, 1)</f>
        <v/>
      </c>
      <c r="I218" s="5">
        <f>G218*H218</f>
        <v/>
      </c>
      <c r="J218" s="2">
        <f>XLOOKUP(E218, '06_BANG_GIA_VAT_TU_AP_DUNG'!B:B, '06_BANG_GIA_VAT_TU_AP_DUNG'!C:C, "LỖI_MÃ_VT")</f>
        <v/>
      </c>
      <c r="K218" s="2">
        <f>I218*J218</f>
        <v/>
      </c>
      <c r="L218" t="inlineStr">
        <is>
          <t>2 cánh cao 145mm</t>
        </is>
      </c>
    </row>
    <row r="219">
      <c r="A219" t="inlineStr">
        <is>
          <t>SW-DAMPER-059-AXLE</t>
        </is>
      </c>
      <c r="B219" t="inlineStr">
        <is>
          <t>SW-DAMPER-059</t>
        </is>
      </c>
      <c r="C219" t="inlineStr">
        <is>
          <t>Trục Sus 201 D10</t>
        </is>
      </c>
      <c r="D219" t="inlineStr">
        <is>
          <t>PHỤ_KIỆN_VAN</t>
        </is>
      </c>
      <c r="E219" t="inlineStr">
        <is>
          <t>MAT-DAMPER-TRUC-SUS-201-D10</t>
        </is>
      </c>
      <c r="F219" t="inlineStr">
        <is>
          <t>m</t>
        </is>
      </c>
      <c r="G219" s="4" t="n">
        <v>1.42</v>
      </c>
      <c r="H219" s="2">
        <f>XLOOKUP(B219, '00_TONG_HOP_BAO_GIA'!B:B, '00_TONG_HOP_BAO_GIA'!G:G, 1)</f>
        <v/>
      </c>
      <c r="I219" s="5">
        <f>G219*H219</f>
        <v/>
      </c>
      <c r="J219" s="2">
        <f>XLOOKUP(E219, '06_BANG_GIA_VAT_TU_AP_DUNG'!B:B, '06_BANG_GIA_VAT_TU_AP_DUNG'!C:C, "LỖI_MÃ_VT")</f>
        <v/>
      </c>
      <c r="K219" s="2">
        <f>I219*J219</f>
        <v/>
      </c>
      <c r="L219" t="inlineStr">
        <is>
          <t>2 trục dài 710mm</t>
        </is>
      </c>
    </row>
    <row r="220">
      <c r="A220" t="inlineStr">
        <is>
          <t>SW-DAMPER-059-BEARING</t>
        </is>
      </c>
      <c r="B220" t="inlineStr">
        <is>
          <t>SW-DAMPER-059</t>
        </is>
      </c>
      <c r="C220" t="inlineStr">
        <is>
          <t>Bạc đồng D10</t>
        </is>
      </c>
      <c r="D220" t="inlineStr">
        <is>
          <t>PHỤ_KIỆN_VAN</t>
        </is>
      </c>
      <c r="E220" t="inlineStr">
        <is>
          <t>MAT-DAMPER-BAC-DONG-D10</t>
        </is>
      </c>
      <c r="F220" t="inlineStr">
        <is>
          <t>Đôi</t>
        </is>
      </c>
      <c r="G220" s="4" t="n">
        <v>2</v>
      </c>
      <c r="H220" s="2">
        <f>XLOOKUP(B220, '00_TONG_HOP_BAO_GIA'!B:B, '00_TONG_HOP_BAO_GIA'!G:G, 1)</f>
        <v/>
      </c>
      <c r="I220" s="5">
        <f>G220*H220</f>
        <v/>
      </c>
      <c r="J220" s="2">
        <f>XLOOKUP(E220, '06_BANG_GIA_VAT_TU_AP_DUNG'!B:B, '06_BANG_GIA_VAT_TU_AP_DUNG'!C:C, "LỖI_MÃ_VT")</f>
        <v/>
      </c>
      <c r="K220" s="2">
        <f>I220*J220</f>
        <v/>
      </c>
      <c r="L220" t="inlineStr">
        <is>
          <t>2 đôi bạc đỡ 2 bên thân</t>
        </is>
      </c>
    </row>
    <row r="221">
      <c r="A221" t="inlineStr">
        <is>
          <t>SW-DAMPER-059-GEAR</t>
        </is>
      </c>
      <c r="B221" t="inlineStr">
        <is>
          <t>SW-DAMPER-059</t>
        </is>
      </c>
      <c r="C221" t="inlineStr">
        <is>
          <t>Bánh răng van nhôm</t>
        </is>
      </c>
      <c r="D221" t="inlineStr">
        <is>
          <t>PHỤ_KIỆN_VAN</t>
        </is>
      </c>
      <c r="E221" t="inlineStr">
        <is>
          <t>MAT-DAMPER-BANH-RANG-VAN-NHOM</t>
        </is>
      </c>
      <c r="F221" t="inlineStr">
        <is>
          <t>Bộ</t>
        </is>
      </c>
      <c r="G221" s="4" t="n">
        <v>1</v>
      </c>
      <c r="H221" s="2">
        <f>XLOOKUP(B221, '00_TONG_HOP_BAO_GIA'!B:B, '00_TONG_HOP_BAO_GIA'!G:G, 1)</f>
        <v/>
      </c>
      <c r="I221" s="5">
        <f>G221*H221</f>
        <v/>
      </c>
      <c r="J221" s="2">
        <f>XLOOKUP(E221, '06_BANG_GIA_VAT_TU_AP_DUNG'!B:B, '06_BANG_GIA_VAT_TU_AP_DUNG'!C:C, "LỖI_MÃ_VT")</f>
        <v/>
      </c>
      <c r="K221" s="2">
        <f>I221*J221</f>
        <v/>
      </c>
      <c r="L221" t="inlineStr">
        <is>
          <t>Cơ cấu liên động bánh răng van</t>
        </is>
      </c>
    </row>
    <row r="222">
      <c r="A222" t="inlineStr">
        <is>
          <t>SW-DAMPER-059-FUSE</t>
        </is>
      </c>
      <c r="B222" t="inlineStr">
        <is>
          <t>SW-DAMPER-059</t>
        </is>
      </c>
      <c r="C222" t="inlineStr">
        <is>
          <t>Cầu chì nhiệt nóng chảy 70°C (Elsie/USA)</t>
        </is>
      </c>
      <c r="D222" t="inlineStr">
        <is>
          <t>PHỤ_KIỆN_VAN</t>
        </is>
      </c>
      <c r="E222" t="inlineStr">
        <is>
          <t>MAT-DAMPER-CAU-CHI-USA-2-400X400</t>
        </is>
      </c>
      <c r="F222" t="inlineStr">
        <is>
          <t>Cái</t>
        </is>
      </c>
      <c r="G222" s="4" t="n">
        <v>1</v>
      </c>
      <c r="H222" s="2">
        <f>XLOOKUP(B222, '00_TONG_HOP_BAO_GIA'!B:B, '00_TONG_HOP_BAO_GIA'!G:G, 1)</f>
        <v/>
      </c>
      <c r="I222" s="5">
        <f>G222*H222</f>
        <v/>
      </c>
      <c r="J222" s="2">
        <f>XLOOKUP(E222, '06_BANG_GIA_VAT_TU_AP_DUNG'!B:B, '06_BANG_GIA_VAT_TU_AP_DUNG'!C:C, "LỖI_MÃ_VT")</f>
        <v/>
      </c>
      <c r="K222" s="2">
        <f>I222*J222</f>
        <v/>
      </c>
      <c r="L222" t="inlineStr">
        <is>
          <t>Cầu chì kiểm định PCCC</t>
        </is>
      </c>
    </row>
    <row r="223">
      <c r="A223" t="inlineStr">
        <is>
          <t>SW-DAMPER-060-BODY</t>
        </is>
      </c>
      <c r="B223" t="inlineStr">
        <is>
          <t>SW-DAMPER-060</t>
        </is>
      </c>
      <c r="C223" t="inlineStr">
        <is>
          <t>Thân vỏ van FD bích TDF (0.75mm)</t>
        </is>
      </c>
      <c r="D223" t="inlineStr">
        <is>
          <t>TÔN_CUỘN_MẠ_KẼM</t>
        </is>
      </c>
      <c r="E223" t="inlineStr">
        <is>
          <t>MAT-STEEL-PN-0.75</t>
        </is>
      </c>
      <c r="F223" t="inlineStr">
        <is>
          <t>kg</t>
        </is>
      </c>
      <c r="G223" s="4" t="n">
        <v>3.837708</v>
      </c>
      <c r="H223" s="2">
        <f>XLOOKUP(B223, '00_TONG_HOP_BAO_GIA'!B:B, '00_TONG_HOP_BAO_GIA'!G:G, 1)</f>
        <v/>
      </c>
      <c r="I223" s="5">
        <f>G223*H223</f>
        <v/>
      </c>
      <c r="J223" s="2">
        <f>XLOOKUP(E223, '06_BANG_GIA_VAT_TU_AP_DUNG'!B:B, '06_BANG_GIA_VAT_TU_AP_DUNG'!C:C, "LỖI_MÃ_VT")</f>
        <v/>
      </c>
      <c r="K223" s="2">
        <f>I223*J223</f>
        <v/>
      </c>
      <c r="L223" t="inlineStr">
        <is>
          <t>Kích thước vỏ 650.0x300.0x250mm</t>
        </is>
      </c>
    </row>
    <row r="224">
      <c r="A224" t="inlineStr">
        <is>
          <t>SW-DAMPER-060-BLADE</t>
        </is>
      </c>
      <c r="B224" t="inlineStr">
        <is>
          <t>SW-DAMPER-060</t>
        </is>
      </c>
      <c r="C224" t="inlineStr">
        <is>
          <t>Lá cánh van (2 cánh overlap)</t>
        </is>
      </c>
      <c r="D224" t="inlineStr">
        <is>
          <t>TÔN_CUỘN_MẠ_KẼM</t>
        </is>
      </c>
      <c r="E224" t="inlineStr">
        <is>
          <t>MAT-STEEL-PN-0.75</t>
        </is>
      </c>
      <c r="F224" t="inlineStr">
        <is>
          <t>kg</t>
        </is>
      </c>
      <c r="G224" s="4" t="n">
        <v>1.4052285</v>
      </c>
      <c r="H224" s="2">
        <f>XLOOKUP(B224, '00_TONG_HOP_BAO_GIA'!B:B, '00_TONG_HOP_BAO_GIA'!G:G, 1)</f>
        <v/>
      </c>
      <c r="I224" s="5">
        <f>G224*H224</f>
        <v/>
      </c>
      <c r="J224" s="2">
        <f>XLOOKUP(E224, '06_BANG_GIA_VAT_TU_AP_DUNG'!B:B, '06_BANG_GIA_VAT_TU_AP_DUNG'!C:C, "LỖI_MÃ_VT")</f>
        <v/>
      </c>
      <c r="K224" s="2">
        <f>I224*J224</f>
        <v/>
      </c>
      <c r="L224" t="inlineStr">
        <is>
          <t>2 cánh cao 170mm</t>
        </is>
      </c>
    </row>
    <row r="225">
      <c r="A225" t="inlineStr">
        <is>
          <t>SW-DAMPER-060-AXLE</t>
        </is>
      </c>
      <c r="B225" t="inlineStr">
        <is>
          <t>SW-DAMPER-060</t>
        </is>
      </c>
      <c r="C225" t="inlineStr">
        <is>
          <t>Trục Sus 201 D10</t>
        </is>
      </c>
      <c r="D225" t="inlineStr">
        <is>
          <t>PHỤ_KIỆN_VAN</t>
        </is>
      </c>
      <c r="E225" t="inlineStr">
        <is>
          <t>MAT-DAMPER-TRUC-SUS-201-D10</t>
        </is>
      </c>
      <c r="F225" t="inlineStr">
        <is>
          <t>m</t>
        </is>
      </c>
      <c r="G225" s="4" t="n">
        <v>1.42</v>
      </c>
      <c r="H225" s="2">
        <f>XLOOKUP(B225, '00_TONG_HOP_BAO_GIA'!B:B, '00_TONG_HOP_BAO_GIA'!G:G, 1)</f>
        <v/>
      </c>
      <c r="I225" s="5">
        <f>G225*H225</f>
        <v/>
      </c>
      <c r="J225" s="2">
        <f>XLOOKUP(E225, '06_BANG_GIA_VAT_TU_AP_DUNG'!B:B, '06_BANG_GIA_VAT_TU_AP_DUNG'!C:C, "LỖI_MÃ_VT")</f>
        <v/>
      </c>
      <c r="K225" s="2">
        <f>I225*J225</f>
        <v/>
      </c>
      <c r="L225" t="inlineStr">
        <is>
          <t>2 trục dài 710mm</t>
        </is>
      </c>
    </row>
    <row r="226">
      <c r="A226" t="inlineStr">
        <is>
          <t>SW-DAMPER-060-BEARING</t>
        </is>
      </c>
      <c r="B226" t="inlineStr">
        <is>
          <t>SW-DAMPER-060</t>
        </is>
      </c>
      <c r="C226" t="inlineStr">
        <is>
          <t>Bạc đồng D10</t>
        </is>
      </c>
      <c r="D226" t="inlineStr">
        <is>
          <t>PHỤ_KIỆN_VAN</t>
        </is>
      </c>
      <c r="E226" t="inlineStr">
        <is>
          <t>MAT-DAMPER-BAC-DONG-D10</t>
        </is>
      </c>
      <c r="F226" t="inlineStr">
        <is>
          <t>Đôi</t>
        </is>
      </c>
      <c r="G226" s="4" t="n">
        <v>2</v>
      </c>
      <c r="H226" s="2">
        <f>XLOOKUP(B226, '00_TONG_HOP_BAO_GIA'!B:B, '00_TONG_HOP_BAO_GIA'!G:G, 1)</f>
        <v/>
      </c>
      <c r="I226" s="5">
        <f>G226*H226</f>
        <v/>
      </c>
      <c r="J226" s="2">
        <f>XLOOKUP(E226, '06_BANG_GIA_VAT_TU_AP_DUNG'!B:B, '06_BANG_GIA_VAT_TU_AP_DUNG'!C:C, "LỖI_MÃ_VT")</f>
        <v/>
      </c>
      <c r="K226" s="2">
        <f>I226*J226</f>
        <v/>
      </c>
      <c r="L226" t="inlineStr">
        <is>
          <t>2 đôi bạc đỡ 2 bên thân</t>
        </is>
      </c>
    </row>
    <row r="227">
      <c r="A227" t="inlineStr">
        <is>
          <t>SW-DAMPER-060-GEAR</t>
        </is>
      </c>
      <c r="B227" t="inlineStr">
        <is>
          <t>SW-DAMPER-060</t>
        </is>
      </c>
      <c r="C227" t="inlineStr">
        <is>
          <t>Bánh răng van nhôm</t>
        </is>
      </c>
      <c r="D227" t="inlineStr">
        <is>
          <t>PHỤ_KIỆN_VAN</t>
        </is>
      </c>
      <c r="E227" t="inlineStr">
        <is>
          <t>MAT-DAMPER-BANH-RANG-VAN-NHOM</t>
        </is>
      </c>
      <c r="F227" t="inlineStr">
        <is>
          <t>Bộ</t>
        </is>
      </c>
      <c r="G227" s="4" t="n">
        <v>1</v>
      </c>
      <c r="H227" s="2">
        <f>XLOOKUP(B227, '00_TONG_HOP_BAO_GIA'!B:B, '00_TONG_HOP_BAO_GIA'!G:G, 1)</f>
        <v/>
      </c>
      <c r="I227" s="5">
        <f>G227*H227</f>
        <v/>
      </c>
      <c r="J227" s="2">
        <f>XLOOKUP(E227, '06_BANG_GIA_VAT_TU_AP_DUNG'!B:B, '06_BANG_GIA_VAT_TU_AP_DUNG'!C:C, "LỖI_MÃ_VT")</f>
        <v/>
      </c>
      <c r="K227" s="2">
        <f>I227*J227</f>
        <v/>
      </c>
      <c r="L227" t="inlineStr">
        <is>
          <t>Cơ cấu liên động bánh răng van</t>
        </is>
      </c>
    </row>
    <row r="228">
      <c r="A228" t="inlineStr">
        <is>
          <t>SW-DAMPER-060-FUSE</t>
        </is>
      </c>
      <c r="B228" t="inlineStr">
        <is>
          <t>SW-DAMPER-060</t>
        </is>
      </c>
      <c r="C228" t="inlineStr">
        <is>
          <t>Cầu chì nhiệt nóng chảy 70°C (Elsie/USA)</t>
        </is>
      </c>
      <c r="D228" t="inlineStr">
        <is>
          <t>PHỤ_KIỆN_VAN</t>
        </is>
      </c>
      <c r="E228" t="inlineStr">
        <is>
          <t>MAT-DAMPER-CAU-CHI-USA-2-400X400</t>
        </is>
      </c>
      <c r="F228" t="inlineStr">
        <is>
          <t>Cái</t>
        </is>
      </c>
      <c r="G228" s="4" t="n">
        <v>1</v>
      </c>
      <c r="H228" s="2">
        <f>XLOOKUP(B228, '00_TONG_HOP_BAO_GIA'!B:B, '00_TONG_HOP_BAO_GIA'!G:G, 1)</f>
        <v/>
      </c>
      <c r="I228" s="5">
        <f>G228*H228</f>
        <v/>
      </c>
      <c r="J228" s="2">
        <f>XLOOKUP(E228, '06_BANG_GIA_VAT_TU_AP_DUNG'!B:B, '06_BANG_GIA_VAT_TU_AP_DUNG'!C:C, "LỖI_MÃ_VT")</f>
        <v/>
      </c>
      <c r="K228" s="2">
        <f>I228*J228</f>
        <v/>
      </c>
      <c r="L228" t="inlineStr">
        <is>
          <t>Cầu chì kiểm định PCCC</t>
        </is>
      </c>
    </row>
    <row r="229">
      <c r="A229" t="inlineStr">
        <is>
          <t>SW-DAMPER-061-BODY</t>
        </is>
      </c>
      <c r="B229" t="inlineStr">
        <is>
          <t>SW-DAMPER-061</t>
        </is>
      </c>
      <c r="C229" t="inlineStr">
        <is>
          <t>Thân vỏ van FD bích TDF (0.75mm)</t>
        </is>
      </c>
      <c r="D229" t="inlineStr">
        <is>
          <t>TÔN_CUỘN_MẠ_KẼM</t>
        </is>
      </c>
      <c r="E229" t="inlineStr">
        <is>
          <t>MAT-STEEL-PN-0.75</t>
        </is>
      </c>
      <c r="F229" t="inlineStr">
        <is>
          <t>kg</t>
        </is>
      </c>
      <c r="G229" s="4" t="n">
        <v>4.035528</v>
      </c>
      <c r="H229" s="2">
        <f>XLOOKUP(B229, '00_TONG_HOP_BAO_GIA'!B:B, '00_TONG_HOP_BAO_GIA'!G:G, 1)</f>
        <v/>
      </c>
      <c r="I229" s="5">
        <f>G229*H229</f>
        <v/>
      </c>
      <c r="J229" s="2">
        <f>XLOOKUP(E229, '06_BANG_GIA_VAT_TU_AP_DUNG'!B:B, '06_BANG_GIA_VAT_TU_AP_DUNG'!C:C, "LỖI_MÃ_VT")</f>
        <v/>
      </c>
      <c r="K229" s="2">
        <f>I229*J229</f>
        <v/>
      </c>
      <c r="L229" t="inlineStr">
        <is>
          <t>Kích thước vỏ 650.0x350.0x250mm</t>
        </is>
      </c>
    </row>
    <row r="230">
      <c r="A230" t="inlineStr">
        <is>
          <t>SW-DAMPER-061-BLADE</t>
        </is>
      </c>
      <c r="B230" t="inlineStr">
        <is>
          <t>SW-DAMPER-061</t>
        </is>
      </c>
      <c r="C230" t="inlineStr">
        <is>
          <t>Lá cánh van (2 cánh overlap)</t>
        </is>
      </c>
      <c r="D230" t="inlineStr">
        <is>
          <t>TÔN_CUỘN_MẠ_KẼM</t>
        </is>
      </c>
      <c r="E230" t="inlineStr">
        <is>
          <t>MAT-STEEL-PN-0.75</t>
        </is>
      </c>
      <c r="F230" t="inlineStr">
        <is>
          <t>kg</t>
        </is>
      </c>
      <c r="G230" s="4" t="n">
        <v>1.61187975</v>
      </c>
      <c r="H230" s="2">
        <f>XLOOKUP(B230, '00_TONG_HOP_BAO_GIA'!B:B, '00_TONG_HOP_BAO_GIA'!G:G, 1)</f>
        <v/>
      </c>
      <c r="I230" s="5">
        <f>G230*H230</f>
        <v/>
      </c>
      <c r="J230" s="2">
        <f>XLOOKUP(E230, '06_BANG_GIA_VAT_TU_AP_DUNG'!B:B, '06_BANG_GIA_VAT_TU_AP_DUNG'!C:C, "LỖI_MÃ_VT")</f>
        <v/>
      </c>
      <c r="K230" s="2">
        <f>I230*J230</f>
        <v/>
      </c>
      <c r="L230" t="inlineStr">
        <is>
          <t>2 cánh cao 195mm</t>
        </is>
      </c>
    </row>
    <row r="231">
      <c r="A231" t="inlineStr">
        <is>
          <t>SW-DAMPER-061-AXLE</t>
        </is>
      </c>
      <c r="B231" t="inlineStr">
        <is>
          <t>SW-DAMPER-061</t>
        </is>
      </c>
      <c r="C231" t="inlineStr">
        <is>
          <t>Trục Sus 201 D10</t>
        </is>
      </c>
      <c r="D231" t="inlineStr">
        <is>
          <t>PHỤ_KIỆN_VAN</t>
        </is>
      </c>
      <c r="E231" t="inlineStr">
        <is>
          <t>MAT-DAMPER-TRUC-SUS-201-D10</t>
        </is>
      </c>
      <c r="F231" t="inlineStr">
        <is>
          <t>m</t>
        </is>
      </c>
      <c r="G231" s="4" t="n">
        <v>1.42</v>
      </c>
      <c r="H231" s="2">
        <f>XLOOKUP(B231, '00_TONG_HOP_BAO_GIA'!B:B, '00_TONG_HOP_BAO_GIA'!G:G, 1)</f>
        <v/>
      </c>
      <c r="I231" s="5">
        <f>G231*H231</f>
        <v/>
      </c>
      <c r="J231" s="2">
        <f>XLOOKUP(E231, '06_BANG_GIA_VAT_TU_AP_DUNG'!B:B, '06_BANG_GIA_VAT_TU_AP_DUNG'!C:C, "LỖI_MÃ_VT")</f>
        <v/>
      </c>
      <c r="K231" s="2">
        <f>I231*J231</f>
        <v/>
      </c>
      <c r="L231" t="inlineStr">
        <is>
          <t>2 trục dài 710mm</t>
        </is>
      </c>
    </row>
    <row r="232">
      <c r="A232" t="inlineStr">
        <is>
          <t>SW-DAMPER-061-BEARING</t>
        </is>
      </c>
      <c r="B232" t="inlineStr">
        <is>
          <t>SW-DAMPER-061</t>
        </is>
      </c>
      <c r="C232" t="inlineStr">
        <is>
          <t>Bạc đồng D10</t>
        </is>
      </c>
      <c r="D232" t="inlineStr">
        <is>
          <t>PHỤ_KIỆN_VAN</t>
        </is>
      </c>
      <c r="E232" t="inlineStr">
        <is>
          <t>MAT-DAMPER-BAC-DONG-D10</t>
        </is>
      </c>
      <c r="F232" t="inlineStr">
        <is>
          <t>Đôi</t>
        </is>
      </c>
      <c r="G232" s="4" t="n">
        <v>2</v>
      </c>
      <c r="H232" s="2">
        <f>XLOOKUP(B232, '00_TONG_HOP_BAO_GIA'!B:B, '00_TONG_HOP_BAO_GIA'!G:G, 1)</f>
        <v/>
      </c>
      <c r="I232" s="5">
        <f>G232*H232</f>
        <v/>
      </c>
      <c r="J232" s="2">
        <f>XLOOKUP(E232, '06_BANG_GIA_VAT_TU_AP_DUNG'!B:B, '06_BANG_GIA_VAT_TU_AP_DUNG'!C:C, "LỖI_MÃ_VT")</f>
        <v/>
      </c>
      <c r="K232" s="2">
        <f>I232*J232</f>
        <v/>
      </c>
      <c r="L232" t="inlineStr">
        <is>
          <t>2 đôi bạc đỡ 2 bên thân</t>
        </is>
      </c>
    </row>
    <row r="233">
      <c r="A233" t="inlineStr">
        <is>
          <t>SW-DAMPER-061-GEAR</t>
        </is>
      </c>
      <c r="B233" t="inlineStr">
        <is>
          <t>SW-DAMPER-061</t>
        </is>
      </c>
      <c r="C233" t="inlineStr">
        <is>
          <t>Bánh răng van nhôm</t>
        </is>
      </c>
      <c r="D233" t="inlineStr">
        <is>
          <t>PHỤ_KIỆN_VAN</t>
        </is>
      </c>
      <c r="E233" t="inlineStr">
        <is>
          <t>MAT-DAMPER-BANH-RANG-VAN-NHOM</t>
        </is>
      </c>
      <c r="F233" t="inlineStr">
        <is>
          <t>Bộ</t>
        </is>
      </c>
      <c r="G233" s="4" t="n">
        <v>1</v>
      </c>
      <c r="H233" s="2">
        <f>XLOOKUP(B233, '00_TONG_HOP_BAO_GIA'!B:B, '00_TONG_HOP_BAO_GIA'!G:G, 1)</f>
        <v/>
      </c>
      <c r="I233" s="5">
        <f>G233*H233</f>
        <v/>
      </c>
      <c r="J233" s="2">
        <f>XLOOKUP(E233, '06_BANG_GIA_VAT_TU_AP_DUNG'!B:B, '06_BANG_GIA_VAT_TU_AP_DUNG'!C:C, "LỖI_MÃ_VT")</f>
        <v/>
      </c>
      <c r="K233" s="2">
        <f>I233*J233</f>
        <v/>
      </c>
      <c r="L233" t="inlineStr">
        <is>
          <t>Cơ cấu liên động bánh răng van</t>
        </is>
      </c>
    </row>
    <row r="234">
      <c r="A234" t="inlineStr">
        <is>
          <t>SW-DAMPER-061-FUSE</t>
        </is>
      </c>
      <c r="B234" t="inlineStr">
        <is>
          <t>SW-DAMPER-061</t>
        </is>
      </c>
      <c r="C234" t="inlineStr">
        <is>
          <t>Cầu chì nhiệt nóng chảy 70°C (Elsie/USA)</t>
        </is>
      </c>
      <c r="D234" t="inlineStr">
        <is>
          <t>PHỤ_KIỆN_VAN</t>
        </is>
      </c>
      <c r="E234" t="inlineStr">
        <is>
          <t>MAT-DAMPER-CAU-CHI-USA-2-400X400</t>
        </is>
      </c>
      <c r="F234" t="inlineStr">
        <is>
          <t>Cái</t>
        </is>
      </c>
      <c r="G234" s="4" t="n">
        <v>1</v>
      </c>
      <c r="H234" s="2">
        <f>XLOOKUP(B234, '00_TONG_HOP_BAO_GIA'!B:B, '00_TONG_HOP_BAO_GIA'!G:G, 1)</f>
        <v/>
      </c>
      <c r="I234" s="5">
        <f>G234*H234</f>
        <v/>
      </c>
      <c r="J234" s="2">
        <f>XLOOKUP(E234, '06_BANG_GIA_VAT_TU_AP_DUNG'!B:B, '06_BANG_GIA_VAT_TU_AP_DUNG'!C:C, "LỖI_MÃ_VT")</f>
        <v/>
      </c>
      <c r="K234" s="2">
        <f>I234*J234</f>
        <v/>
      </c>
      <c r="L234" t="inlineStr">
        <is>
          <t>Cầu chì kiểm định PCCC</t>
        </is>
      </c>
    </row>
    <row r="235">
      <c r="A235" t="inlineStr">
        <is>
          <t>SW-DAMPER-062-BODY</t>
        </is>
      </c>
      <c r="B235" t="inlineStr">
        <is>
          <t>SW-DAMPER-062</t>
        </is>
      </c>
      <c r="C235" t="inlineStr">
        <is>
          <t>Thân vỏ van FD bích TDF (0.75mm)</t>
        </is>
      </c>
      <c r="D235" t="inlineStr">
        <is>
          <t>TÔN_CUỘN_MẠ_KẼM</t>
        </is>
      </c>
      <c r="E235" t="inlineStr">
        <is>
          <t>MAT-STEEL-PN-0.75</t>
        </is>
      </c>
      <c r="F235" t="inlineStr">
        <is>
          <t>kg</t>
        </is>
      </c>
      <c r="G235" s="4" t="n">
        <v>4.233348</v>
      </c>
      <c r="H235" s="2">
        <f>XLOOKUP(B235, '00_TONG_HOP_BAO_GIA'!B:B, '00_TONG_HOP_BAO_GIA'!G:G, 1)</f>
        <v/>
      </c>
      <c r="I235" s="5">
        <f>G235*H235</f>
        <v/>
      </c>
      <c r="J235" s="2">
        <f>XLOOKUP(E235, '06_BANG_GIA_VAT_TU_AP_DUNG'!B:B, '06_BANG_GIA_VAT_TU_AP_DUNG'!C:C, "LỖI_MÃ_VT")</f>
        <v/>
      </c>
      <c r="K235" s="2">
        <f>I235*J235</f>
        <v/>
      </c>
      <c r="L235" t="inlineStr">
        <is>
          <t>Kích thước vỏ 650.0x400.0x250mm</t>
        </is>
      </c>
    </row>
    <row r="236">
      <c r="A236" t="inlineStr">
        <is>
          <t>SW-DAMPER-062-BLADE</t>
        </is>
      </c>
      <c r="B236" t="inlineStr">
        <is>
          <t>SW-DAMPER-062</t>
        </is>
      </c>
      <c r="C236" t="inlineStr">
        <is>
          <t>Lá cánh van (3 cánh overlap)</t>
        </is>
      </c>
      <c r="D236" t="inlineStr">
        <is>
          <t>TÔN_CUỘN_MẠ_KẼM</t>
        </is>
      </c>
      <c r="E236" t="inlineStr">
        <is>
          <t>MAT-STEEL-PN-0.75</t>
        </is>
      </c>
      <c r="F236" t="inlineStr">
        <is>
          <t>kg</t>
        </is>
      </c>
      <c r="G236" s="4" t="n">
        <v>1.9011915</v>
      </c>
      <c r="H236" s="2">
        <f>XLOOKUP(B236, '00_TONG_HOP_BAO_GIA'!B:B, '00_TONG_HOP_BAO_GIA'!G:G, 1)</f>
        <v/>
      </c>
      <c r="I236" s="5">
        <f>G236*H236</f>
        <v/>
      </c>
      <c r="J236" s="2">
        <f>XLOOKUP(E236, '06_BANG_GIA_VAT_TU_AP_DUNG'!B:B, '06_BANG_GIA_VAT_TU_AP_DUNG'!C:C, "LỖI_MÃ_VT")</f>
        <v/>
      </c>
      <c r="K236" s="2">
        <f>I236*J236</f>
        <v/>
      </c>
      <c r="L236" t="inlineStr">
        <is>
          <t>3 cánh cao 153mm</t>
        </is>
      </c>
    </row>
    <row r="237">
      <c r="A237" t="inlineStr">
        <is>
          <t>SW-DAMPER-062-AXLE</t>
        </is>
      </c>
      <c r="B237" t="inlineStr">
        <is>
          <t>SW-DAMPER-062</t>
        </is>
      </c>
      <c r="C237" t="inlineStr">
        <is>
          <t>Trục Sus 201 D10</t>
        </is>
      </c>
      <c r="D237" t="inlineStr">
        <is>
          <t>PHỤ_KIỆN_VAN</t>
        </is>
      </c>
      <c r="E237" t="inlineStr">
        <is>
          <t>MAT-DAMPER-TRUC-SUS-201-D10</t>
        </is>
      </c>
      <c r="F237" t="inlineStr">
        <is>
          <t>m</t>
        </is>
      </c>
      <c r="G237" s="4" t="n">
        <v>2.13</v>
      </c>
      <c r="H237" s="2">
        <f>XLOOKUP(B237, '00_TONG_HOP_BAO_GIA'!B:B, '00_TONG_HOP_BAO_GIA'!G:G, 1)</f>
        <v/>
      </c>
      <c r="I237" s="5">
        <f>G237*H237</f>
        <v/>
      </c>
      <c r="J237" s="2">
        <f>XLOOKUP(E237, '06_BANG_GIA_VAT_TU_AP_DUNG'!B:B, '06_BANG_GIA_VAT_TU_AP_DUNG'!C:C, "LỖI_MÃ_VT")</f>
        <v/>
      </c>
      <c r="K237" s="2">
        <f>I237*J237</f>
        <v/>
      </c>
      <c r="L237" t="inlineStr">
        <is>
          <t>3 trục dài 710mm</t>
        </is>
      </c>
    </row>
    <row r="238">
      <c r="A238" t="inlineStr">
        <is>
          <t>SW-DAMPER-062-BEARING</t>
        </is>
      </c>
      <c r="B238" t="inlineStr">
        <is>
          <t>SW-DAMPER-062</t>
        </is>
      </c>
      <c r="C238" t="inlineStr">
        <is>
          <t>Bạc đồng D10</t>
        </is>
      </c>
      <c r="D238" t="inlineStr">
        <is>
          <t>PHỤ_KIỆN_VAN</t>
        </is>
      </c>
      <c r="E238" t="inlineStr">
        <is>
          <t>MAT-DAMPER-BAC-DONG-D10</t>
        </is>
      </c>
      <c r="F238" t="inlineStr">
        <is>
          <t>Đôi</t>
        </is>
      </c>
      <c r="G238" s="4" t="n">
        <v>3</v>
      </c>
      <c r="H238" s="2">
        <f>XLOOKUP(B238, '00_TONG_HOP_BAO_GIA'!B:B, '00_TONG_HOP_BAO_GIA'!G:G, 1)</f>
        <v/>
      </c>
      <c r="I238" s="5">
        <f>G238*H238</f>
        <v/>
      </c>
      <c r="J238" s="2">
        <f>XLOOKUP(E238, '06_BANG_GIA_VAT_TU_AP_DUNG'!B:B, '06_BANG_GIA_VAT_TU_AP_DUNG'!C:C, "LỖI_MÃ_VT")</f>
        <v/>
      </c>
      <c r="K238" s="2">
        <f>I238*J238</f>
        <v/>
      </c>
      <c r="L238" t="inlineStr">
        <is>
          <t>3 đôi bạc đỡ 2 bên thân</t>
        </is>
      </c>
    </row>
    <row r="239">
      <c r="A239" t="inlineStr">
        <is>
          <t>SW-DAMPER-062-GEAR</t>
        </is>
      </c>
      <c r="B239" t="inlineStr">
        <is>
          <t>SW-DAMPER-062</t>
        </is>
      </c>
      <c r="C239" t="inlineStr">
        <is>
          <t>Bánh răng van nhôm</t>
        </is>
      </c>
      <c r="D239" t="inlineStr">
        <is>
          <t>PHỤ_KIỆN_VAN</t>
        </is>
      </c>
      <c r="E239" t="inlineStr">
        <is>
          <t>MAT-DAMPER-BANH-RANG-VAN-NHOM</t>
        </is>
      </c>
      <c r="F239" t="inlineStr">
        <is>
          <t>Bộ</t>
        </is>
      </c>
      <c r="G239" s="4" t="n">
        <v>1</v>
      </c>
      <c r="H239" s="2">
        <f>XLOOKUP(B239, '00_TONG_HOP_BAO_GIA'!B:B, '00_TONG_HOP_BAO_GIA'!G:G, 1)</f>
        <v/>
      </c>
      <c r="I239" s="5">
        <f>G239*H239</f>
        <v/>
      </c>
      <c r="J239" s="2">
        <f>XLOOKUP(E239, '06_BANG_GIA_VAT_TU_AP_DUNG'!B:B, '06_BANG_GIA_VAT_TU_AP_DUNG'!C:C, "LỖI_MÃ_VT")</f>
        <v/>
      </c>
      <c r="K239" s="2">
        <f>I239*J239</f>
        <v/>
      </c>
      <c r="L239" t="inlineStr">
        <is>
          <t>Cơ cấu liên động bánh răng van</t>
        </is>
      </c>
    </row>
    <row r="240">
      <c r="A240" t="inlineStr">
        <is>
          <t>SW-DAMPER-062-FUSE</t>
        </is>
      </c>
      <c r="B240" t="inlineStr">
        <is>
          <t>SW-DAMPER-062</t>
        </is>
      </c>
      <c r="C240" t="inlineStr">
        <is>
          <t>Cầu chì nhiệt nóng chảy 70°C (Elsie/USA)</t>
        </is>
      </c>
      <c r="D240" t="inlineStr">
        <is>
          <t>PHỤ_KIỆN_VAN</t>
        </is>
      </c>
      <c r="E240" t="inlineStr">
        <is>
          <t>MAT-DAMPER-CAU-CHI-USA-2-400X400</t>
        </is>
      </c>
      <c r="F240" t="inlineStr">
        <is>
          <t>Cái</t>
        </is>
      </c>
      <c r="G240" s="4" t="n">
        <v>1</v>
      </c>
      <c r="H240" s="2">
        <f>XLOOKUP(B240, '00_TONG_HOP_BAO_GIA'!B:B, '00_TONG_HOP_BAO_GIA'!G:G, 1)</f>
        <v/>
      </c>
      <c r="I240" s="5">
        <f>G240*H240</f>
        <v/>
      </c>
      <c r="J240" s="2">
        <f>XLOOKUP(E240, '06_BANG_GIA_VAT_TU_AP_DUNG'!B:B, '06_BANG_GIA_VAT_TU_AP_DUNG'!C:C, "LỖI_MÃ_VT")</f>
        <v/>
      </c>
      <c r="K240" s="2">
        <f>I240*J240</f>
        <v/>
      </c>
      <c r="L240" t="inlineStr">
        <is>
          <t>Cầu chì kiểm định PCCC</t>
        </is>
      </c>
    </row>
    <row r="241">
      <c r="A241" t="inlineStr">
        <is>
          <t>SW-DAMPER-063-BODY</t>
        </is>
      </c>
      <c r="B241" t="inlineStr">
        <is>
          <t>SW-DAMPER-063</t>
        </is>
      </c>
      <c r="C241" t="inlineStr">
        <is>
          <t>Thân vỏ van FD bích TDF (0.75mm)</t>
        </is>
      </c>
      <c r="D241" t="inlineStr">
        <is>
          <t>TÔN_CUỘN_MẠ_KẼM</t>
        </is>
      </c>
      <c r="E241" t="inlineStr">
        <is>
          <t>MAT-STEEL-PN-0.75</t>
        </is>
      </c>
      <c r="F241" t="inlineStr">
        <is>
          <t>kg</t>
        </is>
      </c>
      <c r="G241" s="4" t="n">
        <v>4.233348</v>
      </c>
      <c r="H241" s="2">
        <f>XLOOKUP(B241, '00_TONG_HOP_BAO_GIA'!B:B, '00_TONG_HOP_BAO_GIA'!G:G, 1)</f>
        <v/>
      </c>
      <c r="I241" s="5">
        <f>G241*H241</f>
        <v/>
      </c>
      <c r="J241" s="2">
        <f>XLOOKUP(E241, '06_BANG_GIA_VAT_TU_AP_DUNG'!B:B, '06_BANG_GIA_VAT_TU_AP_DUNG'!C:C, "LỖI_MÃ_VT")</f>
        <v/>
      </c>
      <c r="K241" s="2">
        <f>I241*J241</f>
        <v/>
      </c>
      <c r="L241" t="inlineStr">
        <is>
          <t>Kích thước vỏ 700.0x350.0x250mm</t>
        </is>
      </c>
    </row>
    <row r="242">
      <c r="A242" t="inlineStr">
        <is>
          <t>SW-DAMPER-063-BLADE</t>
        </is>
      </c>
      <c r="B242" t="inlineStr">
        <is>
          <t>SW-DAMPER-063</t>
        </is>
      </c>
      <c r="C242" t="inlineStr">
        <is>
          <t>Lá cánh van (2 cánh overlap)</t>
        </is>
      </c>
      <c r="D242" t="inlineStr">
        <is>
          <t>TÔN_CUỘN_MẠ_KẼM</t>
        </is>
      </c>
      <c r="E242" t="inlineStr">
        <is>
          <t>MAT-STEEL-PN-0.75</t>
        </is>
      </c>
      <c r="F242" t="inlineStr">
        <is>
          <t>kg</t>
        </is>
      </c>
      <c r="G242" s="4" t="n">
        <v>1.7358705</v>
      </c>
      <c r="H242" s="2">
        <f>XLOOKUP(B242, '00_TONG_HOP_BAO_GIA'!B:B, '00_TONG_HOP_BAO_GIA'!G:G, 1)</f>
        <v/>
      </c>
      <c r="I242" s="5">
        <f>G242*H242</f>
        <v/>
      </c>
      <c r="J242" s="2">
        <f>XLOOKUP(E242, '06_BANG_GIA_VAT_TU_AP_DUNG'!B:B, '06_BANG_GIA_VAT_TU_AP_DUNG'!C:C, "LỖI_MÃ_VT")</f>
        <v/>
      </c>
      <c r="K242" s="2">
        <f>I242*J242</f>
        <v/>
      </c>
      <c r="L242" t="inlineStr">
        <is>
          <t>2 cánh cao 195mm</t>
        </is>
      </c>
    </row>
    <row r="243">
      <c r="A243" t="inlineStr">
        <is>
          <t>SW-DAMPER-063-AXLE</t>
        </is>
      </c>
      <c r="B243" t="inlineStr">
        <is>
          <t>SW-DAMPER-063</t>
        </is>
      </c>
      <c r="C243" t="inlineStr">
        <is>
          <t>Trục Sus 201 D10</t>
        </is>
      </c>
      <c r="D243" t="inlineStr">
        <is>
          <t>PHỤ_KIỆN_VAN</t>
        </is>
      </c>
      <c r="E243" t="inlineStr">
        <is>
          <t>MAT-DAMPER-TRUC-SUS-201-D10</t>
        </is>
      </c>
      <c r="F243" t="inlineStr">
        <is>
          <t>m</t>
        </is>
      </c>
      <c r="G243" s="4" t="n">
        <v>1.52</v>
      </c>
      <c r="H243" s="2">
        <f>XLOOKUP(B243, '00_TONG_HOP_BAO_GIA'!B:B, '00_TONG_HOP_BAO_GIA'!G:G, 1)</f>
        <v/>
      </c>
      <c r="I243" s="5">
        <f>G243*H243</f>
        <v/>
      </c>
      <c r="J243" s="2">
        <f>XLOOKUP(E243, '06_BANG_GIA_VAT_TU_AP_DUNG'!B:B, '06_BANG_GIA_VAT_TU_AP_DUNG'!C:C, "LỖI_MÃ_VT")</f>
        <v/>
      </c>
      <c r="K243" s="2">
        <f>I243*J243</f>
        <v/>
      </c>
      <c r="L243" t="inlineStr">
        <is>
          <t>2 trục dài 760mm</t>
        </is>
      </c>
    </row>
    <row r="244">
      <c r="A244" t="inlineStr">
        <is>
          <t>SW-DAMPER-063-BEARING</t>
        </is>
      </c>
      <c r="B244" t="inlineStr">
        <is>
          <t>SW-DAMPER-063</t>
        </is>
      </c>
      <c r="C244" t="inlineStr">
        <is>
          <t>Bạc đồng D10</t>
        </is>
      </c>
      <c r="D244" t="inlineStr">
        <is>
          <t>PHỤ_KIỆN_VAN</t>
        </is>
      </c>
      <c r="E244" t="inlineStr">
        <is>
          <t>MAT-DAMPER-BAC-DONG-D10</t>
        </is>
      </c>
      <c r="F244" t="inlineStr">
        <is>
          <t>Đôi</t>
        </is>
      </c>
      <c r="G244" s="4" t="n">
        <v>2</v>
      </c>
      <c r="H244" s="2">
        <f>XLOOKUP(B244, '00_TONG_HOP_BAO_GIA'!B:B, '00_TONG_HOP_BAO_GIA'!G:G, 1)</f>
        <v/>
      </c>
      <c r="I244" s="5">
        <f>G244*H244</f>
        <v/>
      </c>
      <c r="J244" s="2">
        <f>XLOOKUP(E244, '06_BANG_GIA_VAT_TU_AP_DUNG'!B:B, '06_BANG_GIA_VAT_TU_AP_DUNG'!C:C, "LỖI_MÃ_VT")</f>
        <v/>
      </c>
      <c r="K244" s="2">
        <f>I244*J244</f>
        <v/>
      </c>
      <c r="L244" t="inlineStr">
        <is>
          <t>2 đôi bạc đỡ 2 bên thân</t>
        </is>
      </c>
    </row>
    <row r="245">
      <c r="A245" t="inlineStr">
        <is>
          <t>SW-DAMPER-063-GEAR</t>
        </is>
      </c>
      <c r="B245" t="inlineStr">
        <is>
          <t>SW-DAMPER-063</t>
        </is>
      </c>
      <c r="C245" t="inlineStr">
        <is>
          <t>Bánh răng van nhôm</t>
        </is>
      </c>
      <c r="D245" t="inlineStr">
        <is>
          <t>PHỤ_KIỆN_VAN</t>
        </is>
      </c>
      <c r="E245" t="inlineStr">
        <is>
          <t>MAT-DAMPER-BANH-RANG-VAN-NHOM</t>
        </is>
      </c>
      <c r="F245" t="inlineStr">
        <is>
          <t>Bộ</t>
        </is>
      </c>
      <c r="G245" s="4" t="n">
        <v>1</v>
      </c>
      <c r="H245" s="2">
        <f>XLOOKUP(B245, '00_TONG_HOP_BAO_GIA'!B:B, '00_TONG_HOP_BAO_GIA'!G:G, 1)</f>
        <v/>
      </c>
      <c r="I245" s="5">
        <f>G245*H245</f>
        <v/>
      </c>
      <c r="J245" s="2">
        <f>XLOOKUP(E245, '06_BANG_GIA_VAT_TU_AP_DUNG'!B:B, '06_BANG_GIA_VAT_TU_AP_DUNG'!C:C, "LỖI_MÃ_VT")</f>
        <v/>
      </c>
      <c r="K245" s="2">
        <f>I245*J245</f>
        <v/>
      </c>
      <c r="L245" t="inlineStr">
        <is>
          <t>Cơ cấu liên động bánh răng van</t>
        </is>
      </c>
    </row>
    <row r="246">
      <c r="A246" t="inlineStr">
        <is>
          <t>SW-DAMPER-063-FUSE</t>
        </is>
      </c>
      <c r="B246" t="inlineStr">
        <is>
          <t>SW-DAMPER-063</t>
        </is>
      </c>
      <c r="C246" t="inlineStr">
        <is>
          <t>Cầu chì nhiệt nóng chảy 70°C (Elsie/USA)</t>
        </is>
      </c>
      <c r="D246" t="inlineStr">
        <is>
          <t>PHỤ_KIỆN_VAN</t>
        </is>
      </c>
      <c r="E246" t="inlineStr">
        <is>
          <t>MAT-DAMPER-CAU-CHI-USA-2-400X400</t>
        </is>
      </c>
      <c r="F246" t="inlineStr">
        <is>
          <t>Cái</t>
        </is>
      </c>
      <c r="G246" s="4" t="n">
        <v>1</v>
      </c>
      <c r="H246" s="2">
        <f>XLOOKUP(B246, '00_TONG_HOP_BAO_GIA'!B:B, '00_TONG_HOP_BAO_GIA'!G:G, 1)</f>
        <v/>
      </c>
      <c r="I246" s="5">
        <f>G246*H246</f>
        <v/>
      </c>
      <c r="J246" s="2">
        <f>XLOOKUP(E246, '06_BANG_GIA_VAT_TU_AP_DUNG'!B:B, '06_BANG_GIA_VAT_TU_AP_DUNG'!C:C, "LỖI_MÃ_VT")</f>
        <v/>
      </c>
      <c r="K246" s="2">
        <f>I246*J246</f>
        <v/>
      </c>
      <c r="L246" t="inlineStr">
        <is>
          <t>Cầu chì kiểm định PCCC</t>
        </is>
      </c>
    </row>
    <row r="247">
      <c r="A247" t="inlineStr">
        <is>
          <t>SW-DAMPER-064-BODY</t>
        </is>
      </c>
      <c r="B247" t="inlineStr">
        <is>
          <t>SW-DAMPER-064</t>
        </is>
      </c>
      <c r="C247" t="inlineStr">
        <is>
          <t>Thân vỏ van FD bích TDF (0.75mm)</t>
        </is>
      </c>
      <c r="D247" t="inlineStr">
        <is>
          <t>TÔN_CUỘN_MẠ_KẼM</t>
        </is>
      </c>
      <c r="E247" t="inlineStr">
        <is>
          <t>MAT-STEEL-PN-0.75</t>
        </is>
      </c>
      <c r="F247" t="inlineStr">
        <is>
          <t>kg</t>
        </is>
      </c>
      <c r="G247" s="4" t="n">
        <v>5.618087999999999</v>
      </c>
      <c r="H247" s="2">
        <f>XLOOKUP(B247, '00_TONG_HOP_BAO_GIA'!B:B, '00_TONG_HOP_BAO_GIA'!G:G, 1)</f>
        <v/>
      </c>
      <c r="I247" s="5">
        <f>G247*H247</f>
        <v/>
      </c>
      <c r="J247" s="2">
        <f>XLOOKUP(E247, '06_BANG_GIA_VAT_TU_AP_DUNG'!B:B, '06_BANG_GIA_VAT_TU_AP_DUNG'!C:C, "LỖI_MÃ_VT")</f>
        <v/>
      </c>
      <c r="K247" s="2">
        <f>I247*J247</f>
        <v/>
      </c>
      <c r="L247" t="inlineStr">
        <is>
          <t>Kích thước vỏ 800.0x600.0x250mm</t>
        </is>
      </c>
    </row>
    <row r="248">
      <c r="A248" t="inlineStr">
        <is>
          <t>SW-DAMPER-064-BLADE</t>
        </is>
      </c>
      <c r="B248" t="inlineStr">
        <is>
          <t>SW-DAMPER-064</t>
        </is>
      </c>
      <c r="C248" t="inlineStr">
        <is>
          <t>Lá cánh van (4 cánh overlap)</t>
        </is>
      </c>
      <c r="D248" t="inlineStr">
        <is>
          <t>TÔN_CUỘN_MẠ_KẼM</t>
        </is>
      </c>
      <c r="E248" t="inlineStr">
        <is>
          <t>MAT-STEEL-PN-0.75</t>
        </is>
      </c>
      <c r="F248" t="inlineStr">
        <is>
          <t>kg</t>
        </is>
      </c>
      <c r="G248" s="4" t="n">
        <v>3.459024</v>
      </c>
      <c r="H248" s="2">
        <f>XLOOKUP(B248, '00_TONG_HOP_BAO_GIA'!B:B, '00_TONG_HOP_BAO_GIA'!G:G, 1)</f>
        <v/>
      </c>
      <c r="I248" s="5">
        <f>G248*H248</f>
        <v/>
      </c>
      <c r="J248" s="2">
        <f>XLOOKUP(E248, '06_BANG_GIA_VAT_TU_AP_DUNG'!B:B, '06_BANG_GIA_VAT_TU_AP_DUNG'!C:C, "LỖI_MÃ_VT")</f>
        <v/>
      </c>
      <c r="K248" s="2">
        <f>I248*J248</f>
        <v/>
      </c>
      <c r="L248" t="inlineStr">
        <is>
          <t>4 cánh cao 170mm</t>
        </is>
      </c>
    </row>
    <row r="249">
      <c r="A249" t="inlineStr">
        <is>
          <t>SW-DAMPER-064-AXLE</t>
        </is>
      </c>
      <c r="B249" t="inlineStr">
        <is>
          <t>SW-DAMPER-064</t>
        </is>
      </c>
      <c r="C249" t="inlineStr">
        <is>
          <t>Trục Sus 201 D10</t>
        </is>
      </c>
      <c r="D249" t="inlineStr">
        <is>
          <t>PHỤ_KIỆN_VAN</t>
        </is>
      </c>
      <c r="E249" t="inlineStr">
        <is>
          <t>MAT-DAMPER-TRUC-SUS-201-D10</t>
        </is>
      </c>
      <c r="F249" t="inlineStr">
        <is>
          <t>m</t>
        </is>
      </c>
      <c r="G249" s="4" t="n">
        <v>3.44</v>
      </c>
      <c r="H249" s="2">
        <f>XLOOKUP(B249, '00_TONG_HOP_BAO_GIA'!B:B, '00_TONG_HOP_BAO_GIA'!G:G, 1)</f>
        <v/>
      </c>
      <c r="I249" s="5">
        <f>G249*H249</f>
        <v/>
      </c>
      <c r="J249" s="2">
        <f>XLOOKUP(E249, '06_BANG_GIA_VAT_TU_AP_DUNG'!B:B, '06_BANG_GIA_VAT_TU_AP_DUNG'!C:C, "LỖI_MÃ_VT")</f>
        <v/>
      </c>
      <c r="K249" s="2">
        <f>I249*J249</f>
        <v/>
      </c>
      <c r="L249" t="inlineStr">
        <is>
          <t>4 trục dài 860mm</t>
        </is>
      </c>
    </row>
    <row r="250">
      <c r="A250" t="inlineStr">
        <is>
          <t>SW-DAMPER-064-BEARING</t>
        </is>
      </c>
      <c r="B250" t="inlineStr">
        <is>
          <t>SW-DAMPER-064</t>
        </is>
      </c>
      <c r="C250" t="inlineStr">
        <is>
          <t>Bạc đồng D10</t>
        </is>
      </c>
      <c r="D250" t="inlineStr">
        <is>
          <t>PHỤ_KIỆN_VAN</t>
        </is>
      </c>
      <c r="E250" t="inlineStr">
        <is>
          <t>MAT-DAMPER-BAC-DONG-D10</t>
        </is>
      </c>
      <c r="F250" t="inlineStr">
        <is>
          <t>Đôi</t>
        </is>
      </c>
      <c r="G250" s="4" t="n">
        <v>4</v>
      </c>
      <c r="H250" s="2">
        <f>XLOOKUP(B250, '00_TONG_HOP_BAO_GIA'!B:B, '00_TONG_HOP_BAO_GIA'!G:G, 1)</f>
        <v/>
      </c>
      <c r="I250" s="5">
        <f>G250*H250</f>
        <v/>
      </c>
      <c r="J250" s="2">
        <f>XLOOKUP(E250, '06_BANG_GIA_VAT_TU_AP_DUNG'!B:B, '06_BANG_GIA_VAT_TU_AP_DUNG'!C:C, "LỖI_MÃ_VT")</f>
        <v/>
      </c>
      <c r="K250" s="2">
        <f>I250*J250</f>
        <v/>
      </c>
      <c r="L250" t="inlineStr">
        <is>
          <t>4 đôi bạc đỡ 2 bên thân</t>
        </is>
      </c>
    </row>
    <row r="251">
      <c r="A251" t="inlineStr">
        <is>
          <t>SW-DAMPER-064-GEAR</t>
        </is>
      </c>
      <c r="B251" t="inlineStr">
        <is>
          <t>SW-DAMPER-064</t>
        </is>
      </c>
      <c r="C251" t="inlineStr">
        <is>
          <t>Bánh răng van nhôm</t>
        </is>
      </c>
      <c r="D251" t="inlineStr">
        <is>
          <t>PHỤ_KIỆN_VAN</t>
        </is>
      </c>
      <c r="E251" t="inlineStr">
        <is>
          <t>MAT-DAMPER-BANH-RANG-VAN-NHOM</t>
        </is>
      </c>
      <c r="F251" t="inlineStr">
        <is>
          <t>Bộ</t>
        </is>
      </c>
      <c r="G251" s="4" t="n">
        <v>1</v>
      </c>
      <c r="H251" s="2">
        <f>XLOOKUP(B251, '00_TONG_HOP_BAO_GIA'!B:B, '00_TONG_HOP_BAO_GIA'!G:G, 1)</f>
        <v/>
      </c>
      <c r="I251" s="5">
        <f>G251*H251</f>
        <v/>
      </c>
      <c r="J251" s="2">
        <f>XLOOKUP(E251, '06_BANG_GIA_VAT_TU_AP_DUNG'!B:B, '06_BANG_GIA_VAT_TU_AP_DUNG'!C:C, "LỖI_MÃ_VT")</f>
        <v/>
      </c>
      <c r="K251" s="2">
        <f>I251*J251</f>
        <v/>
      </c>
      <c r="L251" t="inlineStr">
        <is>
          <t>Cơ cấu liên động bánh răng van</t>
        </is>
      </c>
    </row>
    <row r="252">
      <c r="A252" t="inlineStr">
        <is>
          <t>SW-DAMPER-064-FUSE</t>
        </is>
      </c>
      <c r="B252" t="inlineStr">
        <is>
          <t>SW-DAMPER-064</t>
        </is>
      </c>
      <c r="C252" t="inlineStr">
        <is>
          <t>Cầu chì nhiệt nóng chảy 70°C (Elsie/USA)</t>
        </is>
      </c>
      <c r="D252" t="inlineStr">
        <is>
          <t>PHỤ_KIỆN_VAN</t>
        </is>
      </c>
      <c r="E252" t="inlineStr">
        <is>
          <t>MAT-DAMPER-CAU-CHI-USA-2-400X400</t>
        </is>
      </c>
      <c r="F252" t="inlineStr">
        <is>
          <t>Cái</t>
        </is>
      </c>
      <c r="G252" s="4" t="n">
        <v>1</v>
      </c>
      <c r="H252" s="2">
        <f>XLOOKUP(B252, '00_TONG_HOP_BAO_GIA'!B:B, '00_TONG_HOP_BAO_GIA'!G:G, 1)</f>
        <v/>
      </c>
      <c r="I252" s="5">
        <f>G252*H252</f>
        <v/>
      </c>
      <c r="J252" s="2">
        <f>XLOOKUP(E252, '06_BANG_GIA_VAT_TU_AP_DUNG'!B:B, '06_BANG_GIA_VAT_TU_AP_DUNG'!C:C, "LỖI_MÃ_VT")</f>
        <v/>
      </c>
      <c r="K252" s="2">
        <f>I252*J252</f>
        <v/>
      </c>
      <c r="L252" t="inlineStr">
        <is>
          <t>Cầu chì kiểm định PCCC</t>
        </is>
      </c>
    </row>
    <row r="253">
      <c r="A253" t="inlineStr">
        <is>
          <t>SW-DAMPER-065-BODY</t>
        </is>
      </c>
      <c r="B253" t="inlineStr">
        <is>
          <t>SW-DAMPER-065</t>
        </is>
      </c>
      <c r="C253" t="inlineStr">
        <is>
          <t>Thân vỏ van FD bích TDF (0.75mm)</t>
        </is>
      </c>
      <c r="D253" t="inlineStr">
        <is>
          <t>TÔN_CUỘN_MẠ_KẼM</t>
        </is>
      </c>
      <c r="E253" t="inlineStr">
        <is>
          <t>MAT-STEEL-PN-0.75</t>
        </is>
      </c>
      <c r="F253" t="inlineStr">
        <is>
          <t>kg</t>
        </is>
      </c>
      <c r="G253" s="4" t="n">
        <v>6.409368000000001</v>
      </c>
      <c r="H253" s="2">
        <f>XLOOKUP(B253, '00_TONG_HOP_BAO_GIA'!B:B, '00_TONG_HOP_BAO_GIA'!G:G, 1)</f>
        <v/>
      </c>
      <c r="I253" s="5">
        <f>G253*H253</f>
        <v/>
      </c>
      <c r="J253" s="2">
        <f>XLOOKUP(E253, '06_BANG_GIA_VAT_TU_AP_DUNG'!B:B, '06_BANG_GIA_VAT_TU_AP_DUNG'!C:C, "LỖI_MÃ_VT")</f>
        <v/>
      </c>
      <c r="K253" s="2">
        <f>I253*J253</f>
        <v/>
      </c>
      <c r="L253" t="inlineStr">
        <is>
          <t>Kích thước vỏ 800.0x800.0x250mm</t>
        </is>
      </c>
    </row>
    <row r="254">
      <c r="A254" t="inlineStr">
        <is>
          <t>SW-DAMPER-065-BLADE</t>
        </is>
      </c>
      <c r="B254" t="inlineStr">
        <is>
          <t>SW-DAMPER-065</t>
        </is>
      </c>
      <c r="C254" t="inlineStr">
        <is>
          <t>Lá cánh van (5 cánh overlap)</t>
        </is>
      </c>
      <c r="D254" t="inlineStr">
        <is>
          <t>TÔN_CUỘN_MẠ_KẼM</t>
        </is>
      </c>
      <c r="E254" t="inlineStr">
        <is>
          <t>MAT-STEEL-PN-0.75</t>
        </is>
      </c>
      <c r="F254" t="inlineStr">
        <is>
          <t>kg</t>
        </is>
      </c>
      <c r="G254" s="4" t="n">
        <v>4.57812</v>
      </c>
      <c r="H254" s="2">
        <f>XLOOKUP(B254, '00_TONG_HOP_BAO_GIA'!B:B, '00_TONG_HOP_BAO_GIA'!G:G, 1)</f>
        <v/>
      </c>
      <c r="I254" s="5">
        <f>G254*H254</f>
        <v/>
      </c>
      <c r="J254" s="2">
        <f>XLOOKUP(E254, '06_BANG_GIA_VAT_TU_AP_DUNG'!B:B, '06_BANG_GIA_VAT_TU_AP_DUNG'!C:C, "LỖI_MÃ_VT")</f>
        <v/>
      </c>
      <c r="K254" s="2">
        <f>I254*J254</f>
        <v/>
      </c>
      <c r="L254" t="inlineStr">
        <is>
          <t>5 cánh cao 180mm</t>
        </is>
      </c>
    </row>
    <row r="255">
      <c r="A255" t="inlineStr">
        <is>
          <t>SW-DAMPER-065-AXLE</t>
        </is>
      </c>
      <c r="B255" t="inlineStr">
        <is>
          <t>SW-DAMPER-065</t>
        </is>
      </c>
      <c r="C255" t="inlineStr">
        <is>
          <t>Trục Sus 201 D10</t>
        </is>
      </c>
      <c r="D255" t="inlineStr">
        <is>
          <t>PHỤ_KIỆN_VAN</t>
        </is>
      </c>
      <c r="E255" t="inlineStr">
        <is>
          <t>MAT-DAMPER-TRUC-SUS-201-D10</t>
        </is>
      </c>
      <c r="F255" t="inlineStr">
        <is>
          <t>m</t>
        </is>
      </c>
      <c r="G255" s="4" t="n">
        <v>4.3</v>
      </c>
      <c r="H255" s="2">
        <f>XLOOKUP(B255, '00_TONG_HOP_BAO_GIA'!B:B, '00_TONG_HOP_BAO_GIA'!G:G, 1)</f>
        <v/>
      </c>
      <c r="I255" s="5">
        <f>G255*H255</f>
        <v/>
      </c>
      <c r="J255" s="2">
        <f>XLOOKUP(E255, '06_BANG_GIA_VAT_TU_AP_DUNG'!B:B, '06_BANG_GIA_VAT_TU_AP_DUNG'!C:C, "LỖI_MÃ_VT")</f>
        <v/>
      </c>
      <c r="K255" s="2">
        <f>I255*J255</f>
        <v/>
      </c>
      <c r="L255" t="inlineStr">
        <is>
          <t>5 trục dài 860mm</t>
        </is>
      </c>
    </row>
    <row r="256">
      <c r="A256" t="inlineStr">
        <is>
          <t>SW-DAMPER-065-BEARING</t>
        </is>
      </c>
      <c r="B256" t="inlineStr">
        <is>
          <t>SW-DAMPER-065</t>
        </is>
      </c>
      <c r="C256" t="inlineStr">
        <is>
          <t>Bạc đồng D10</t>
        </is>
      </c>
      <c r="D256" t="inlineStr">
        <is>
          <t>PHỤ_KIỆN_VAN</t>
        </is>
      </c>
      <c r="E256" t="inlineStr">
        <is>
          <t>MAT-DAMPER-BAC-DONG-D10</t>
        </is>
      </c>
      <c r="F256" t="inlineStr">
        <is>
          <t>Đôi</t>
        </is>
      </c>
      <c r="G256" s="4" t="n">
        <v>5</v>
      </c>
      <c r="H256" s="2">
        <f>XLOOKUP(B256, '00_TONG_HOP_BAO_GIA'!B:B, '00_TONG_HOP_BAO_GIA'!G:G, 1)</f>
        <v/>
      </c>
      <c r="I256" s="5">
        <f>G256*H256</f>
        <v/>
      </c>
      <c r="J256" s="2">
        <f>XLOOKUP(E256, '06_BANG_GIA_VAT_TU_AP_DUNG'!B:B, '06_BANG_GIA_VAT_TU_AP_DUNG'!C:C, "LỖI_MÃ_VT")</f>
        <v/>
      </c>
      <c r="K256" s="2">
        <f>I256*J256</f>
        <v/>
      </c>
      <c r="L256" t="inlineStr">
        <is>
          <t>5 đôi bạc đỡ 2 bên thân</t>
        </is>
      </c>
    </row>
    <row r="257">
      <c r="A257" t="inlineStr">
        <is>
          <t>SW-DAMPER-065-GEAR</t>
        </is>
      </c>
      <c r="B257" t="inlineStr">
        <is>
          <t>SW-DAMPER-065</t>
        </is>
      </c>
      <c r="C257" t="inlineStr">
        <is>
          <t>Bánh răng van nhôm</t>
        </is>
      </c>
      <c r="D257" t="inlineStr">
        <is>
          <t>PHỤ_KIỆN_VAN</t>
        </is>
      </c>
      <c r="E257" t="inlineStr">
        <is>
          <t>MAT-DAMPER-BANH-RANG-VAN-NHOM</t>
        </is>
      </c>
      <c r="F257" t="inlineStr">
        <is>
          <t>Bộ</t>
        </is>
      </c>
      <c r="G257" s="4" t="n">
        <v>1</v>
      </c>
      <c r="H257" s="2">
        <f>XLOOKUP(B257, '00_TONG_HOP_BAO_GIA'!B:B, '00_TONG_HOP_BAO_GIA'!G:G, 1)</f>
        <v/>
      </c>
      <c r="I257" s="5">
        <f>G257*H257</f>
        <v/>
      </c>
      <c r="J257" s="2">
        <f>XLOOKUP(E257, '06_BANG_GIA_VAT_TU_AP_DUNG'!B:B, '06_BANG_GIA_VAT_TU_AP_DUNG'!C:C, "LỖI_MÃ_VT")</f>
        <v/>
      </c>
      <c r="K257" s="2">
        <f>I257*J257</f>
        <v/>
      </c>
      <c r="L257" t="inlineStr">
        <is>
          <t>Cơ cấu liên động bánh răng van</t>
        </is>
      </c>
    </row>
    <row r="258">
      <c r="A258" t="inlineStr">
        <is>
          <t>SW-DAMPER-065-FUSE</t>
        </is>
      </c>
      <c r="B258" t="inlineStr">
        <is>
          <t>SW-DAMPER-065</t>
        </is>
      </c>
      <c r="C258" t="inlineStr">
        <is>
          <t>Cầu chì nhiệt nóng chảy 70°C (Elsie/USA)</t>
        </is>
      </c>
      <c r="D258" t="inlineStr">
        <is>
          <t>PHỤ_KIỆN_VAN</t>
        </is>
      </c>
      <c r="E258" t="inlineStr">
        <is>
          <t>MAT-DAMPER-CAU-CHI-USA-2-400X400</t>
        </is>
      </c>
      <c r="F258" t="inlineStr">
        <is>
          <t>Cái</t>
        </is>
      </c>
      <c r="G258" s="4" t="n">
        <v>1</v>
      </c>
      <c r="H258" s="2">
        <f>XLOOKUP(B258, '00_TONG_HOP_BAO_GIA'!B:B, '00_TONG_HOP_BAO_GIA'!G:G, 1)</f>
        <v/>
      </c>
      <c r="I258" s="5">
        <f>G258*H258</f>
        <v/>
      </c>
      <c r="J258" s="2">
        <f>XLOOKUP(E258, '06_BANG_GIA_VAT_TU_AP_DUNG'!B:B, '06_BANG_GIA_VAT_TU_AP_DUNG'!C:C, "LỖI_MÃ_VT")</f>
        <v/>
      </c>
      <c r="K258" s="2">
        <f>I258*J258</f>
        <v/>
      </c>
      <c r="L258" t="inlineStr">
        <is>
          <t>Cầu chì kiểm định PCCC</t>
        </is>
      </c>
    </row>
    <row r="259">
      <c r="A259" t="inlineStr">
        <is>
          <t>SW-DAMPER-066-BODY</t>
        </is>
      </c>
      <c r="B259" t="inlineStr">
        <is>
          <t>SW-DAMPER-066</t>
        </is>
      </c>
      <c r="C259" t="inlineStr">
        <is>
          <t>Thân vỏ van FD bích TDF (0.95mm)</t>
        </is>
      </c>
      <c r="D259" t="inlineStr">
        <is>
          <t>TÔN_CUỘN_MẠ_KẼM</t>
        </is>
      </c>
      <c r="E259" t="inlineStr">
        <is>
          <t>MAT-STEEL-PN-0.95</t>
        </is>
      </c>
      <c r="F259" t="inlineStr">
        <is>
          <t>kg</t>
        </is>
      </c>
      <c r="G259" s="4" t="n">
        <v>6.6151008</v>
      </c>
      <c r="H259" s="2">
        <f>XLOOKUP(B259, '00_TONG_HOP_BAO_GIA'!B:B, '00_TONG_HOP_BAO_GIA'!G:G, 1)</f>
        <v/>
      </c>
      <c r="I259" s="5">
        <f>G259*H259</f>
        <v/>
      </c>
      <c r="J259" s="2">
        <f>XLOOKUP(E259, '06_BANG_GIA_VAT_TU_AP_DUNG'!B:B, '06_BANG_GIA_VAT_TU_AP_DUNG'!C:C, "LỖI_MÃ_VT")</f>
        <v/>
      </c>
      <c r="K259" s="2">
        <f>I259*J259</f>
        <v/>
      </c>
      <c r="L259" t="inlineStr">
        <is>
          <t>Kích thước vỏ 850.0x450.0x250mm</t>
        </is>
      </c>
    </row>
    <row r="260">
      <c r="A260" t="inlineStr">
        <is>
          <t>SW-DAMPER-066-BLADE</t>
        </is>
      </c>
      <c r="B260" t="inlineStr">
        <is>
          <t>SW-DAMPER-066</t>
        </is>
      </c>
      <c r="C260" t="inlineStr">
        <is>
          <t>Lá cánh van (3 cánh overlap)</t>
        </is>
      </c>
      <c r="D260" t="inlineStr">
        <is>
          <t>TÔN_CUỘN_MẠ_KẼM</t>
        </is>
      </c>
      <c r="E260" t="inlineStr">
        <is>
          <t>MAT-STEEL-PN-0.75</t>
        </is>
      </c>
      <c r="F260" t="inlineStr">
        <is>
          <t>kg</t>
        </is>
      </c>
      <c r="G260" s="4" t="n">
        <v>2.75640975</v>
      </c>
      <c r="H260" s="2">
        <f>XLOOKUP(B260, '00_TONG_HOP_BAO_GIA'!B:B, '00_TONG_HOP_BAO_GIA'!G:G, 1)</f>
        <v/>
      </c>
      <c r="I260" s="5">
        <f>G260*H260</f>
        <v/>
      </c>
      <c r="J260" s="2">
        <f>XLOOKUP(E260, '06_BANG_GIA_VAT_TU_AP_DUNG'!B:B, '06_BANG_GIA_VAT_TU_AP_DUNG'!C:C, "LỖI_MÃ_VT")</f>
        <v/>
      </c>
      <c r="K260" s="2">
        <f>I260*J260</f>
        <v/>
      </c>
      <c r="L260" t="inlineStr">
        <is>
          <t>3 cánh cao 170mm</t>
        </is>
      </c>
    </row>
    <row r="261">
      <c r="A261" t="inlineStr">
        <is>
          <t>SW-DAMPER-066-AXLE</t>
        </is>
      </c>
      <c r="B261" t="inlineStr">
        <is>
          <t>SW-DAMPER-066</t>
        </is>
      </c>
      <c r="C261" t="inlineStr">
        <is>
          <t>Trục Sus 201 D10</t>
        </is>
      </c>
      <c r="D261" t="inlineStr">
        <is>
          <t>PHỤ_KIỆN_VAN</t>
        </is>
      </c>
      <c r="E261" t="inlineStr">
        <is>
          <t>MAT-DAMPER-TRUC-SUS-201-D10</t>
        </is>
      </c>
      <c r="F261" t="inlineStr">
        <is>
          <t>m</t>
        </is>
      </c>
      <c r="G261" s="4" t="n">
        <v>2.73</v>
      </c>
      <c r="H261" s="2">
        <f>XLOOKUP(B261, '00_TONG_HOP_BAO_GIA'!B:B, '00_TONG_HOP_BAO_GIA'!G:G, 1)</f>
        <v/>
      </c>
      <c r="I261" s="5">
        <f>G261*H261</f>
        <v/>
      </c>
      <c r="J261" s="2">
        <f>XLOOKUP(E261, '06_BANG_GIA_VAT_TU_AP_DUNG'!B:B, '06_BANG_GIA_VAT_TU_AP_DUNG'!C:C, "LỖI_MÃ_VT")</f>
        <v/>
      </c>
      <c r="K261" s="2">
        <f>I261*J261</f>
        <v/>
      </c>
      <c r="L261" t="inlineStr">
        <is>
          <t>3 trục dài 910mm</t>
        </is>
      </c>
    </row>
    <row r="262">
      <c r="A262" t="inlineStr">
        <is>
          <t>SW-DAMPER-066-BEARING</t>
        </is>
      </c>
      <c r="B262" t="inlineStr">
        <is>
          <t>SW-DAMPER-066</t>
        </is>
      </c>
      <c r="C262" t="inlineStr">
        <is>
          <t>Bạc đồng D10</t>
        </is>
      </c>
      <c r="D262" t="inlineStr">
        <is>
          <t>PHỤ_KIỆN_VAN</t>
        </is>
      </c>
      <c r="E262" t="inlineStr">
        <is>
          <t>MAT-DAMPER-BAC-DONG-D10</t>
        </is>
      </c>
      <c r="F262" t="inlineStr">
        <is>
          <t>Đôi</t>
        </is>
      </c>
      <c r="G262" s="4" t="n">
        <v>3</v>
      </c>
      <c r="H262" s="2">
        <f>XLOOKUP(B262, '00_TONG_HOP_BAO_GIA'!B:B, '00_TONG_HOP_BAO_GIA'!G:G, 1)</f>
        <v/>
      </c>
      <c r="I262" s="5">
        <f>G262*H262</f>
        <v/>
      </c>
      <c r="J262" s="2">
        <f>XLOOKUP(E262, '06_BANG_GIA_VAT_TU_AP_DUNG'!B:B, '06_BANG_GIA_VAT_TU_AP_DUNG'!C:C, "LỖI_MÃ_VT")</f>
        <v/>
      </c>
      <c r="K262" s="2">
        <f>I262*J262</f>
        <v/>
      </c>
      <c r="L262" t="inlineStr">
        <is>
          <t>3 đôi bạc đỡ 2 bên thân</t>
        </is>
      </c>
    </row>
    <row r="263">
      <c r="A263" t="inlineStr">
        <is>
          <t>SW-DAMPER-066-GEAR</t>
        </is>
      </c>
      <c r="B263" t="inlineStr">
        <is>
          <t>SW-DAMPER-066</t>
        </is>
      </c>
      <c r="C263" t="inlineStr">
        <is>
          <t>Bánh răng van nhôm</t>
        </is>
      </c>
      <c r="D263" t="inlineStr">
        <is>
          <t>PHỤ_KIỆN_VAN</t>
        </is>
      </c>
      <c r="E263" t="inlineStr">
        <is>
          <t>MAT-DAMPER-BANH-RANG-VAN-NHOM</t>
        </is>
      </c>
      <c r="F263" t="inlineStr">
        <is>
          <t>Bộ</t>
        </is>
      </c>
      <c r="G263" s="4" t="n">
        <v>1</v>
      </c>
      <c r="H263" s="2">
        <f>XLOOKUP(B263, '00_TONG_HOP_BAO_GIA'!B:B, '00_TONG_HOP_BAO_GIA'!G:G, 1)</f>
        <v/>
      </c>
      <c r="I263" s="5">
        <f>G263*H263</f>
        <v/>
      </c>
      <c r="J263" s="2">
        <f>XLOOKUP(E263, '06_BANG_GIA_VAT_TU_AP_DUNG'!B:B, '06_BANG_GIA_VAT_TU_AP_DUNG'!C:C, "LỖI_MÃ_VT")</f>
        <v/>
      </c>
      <c r="K263" s="2">
        <f>I263*J263</f>
        <v/>
      </c>
      <c r="L263" t="inlineStr">
        <is>
          <t>Cơ cấu liên động bánh răng van</t>
        </is>
      </c>
    </row>
    <row r="264">
      <c r="A264" t="inlineStr">
        <is>
          <t>SW-DAMPER-066-FUSE</t>
        </is>
      </c>
      <c r="B264" t="inlineStr">
        <is>
          <t>SW-DAMPER-066</t>
        </is>
      </c>
      <c r="C264" t="inlineStr">
        <is>
          <t>Cầu chì nhiệt nóng chảy 70°C (Elsie/USA)</t>
        </is>
      </c>
      <c r="D264" t="inlineStr">
        <is>
          <t>PHỤ_KIỆN_VAN</t>
        </is>
      </c>
      <c r="E264" t="inlineStr">
        <is>
          <t>MAT-DAMPER-CAU-CHI-USA-2-400X400</t>
        </is>
      </c>
      <c r="F264" t="inlineStr">
        <is>
          <t>Cái</t>
        </is>
      </c>
      <c r="G264" s="4" t="n">
        <v>1</v>
      </c>
      <c r="H264" s="2">
        <f>XLOOKUP(B264, '00_TONG_HOP_BAO_GIA'!B:B, '00_TONG_HOP_BAO_GIA'!G:G, 1)</f>
        <v/>
      </c>
      <c r="I264" s="5">
        <f>G264*H264</f>
        <v/>
      </c>
      <c r="J264" s="2">
        <f>XLOOKUP(E264, '06_BANG_GIA_VAT_TU_AP_DUNG'!B:B, '06_BANG_GIA_VAT_TU_AP_DUNG'!C:C, "LỖI_MÃ_VT")</f>
        <v/>
      </c>
      <c r="K264" s="2">
        <f>I264*J264</f>
        <v/>
      </c>
      <c r="L264" t="inlineStr">
        <is>
          <t>Cầu chì kiểm định PCCC</t>
        </is>
      </c>
    </row>
    <row r="265">
      <c r="A265" t="inlineStr">
        <is>
          <t>SW-DAMPER-067-BODY</t>
        </is>
      </c>
      <c r="B265" t="inlineStr">
        <is>
          <t>SW-DAMPER-067</t>
        </is>
      </c>
      <c r="C265" t="inlineStr">
        <is>
          <t>Thân vỏ van FD bích TDF (0.95mm)</t>
        </is>
      </c>
      <c r="D265" t="inlineStr">
        <is>
          <t>TÔN_CUỘN_MẠ_KẼM</t>
        </is>
      </c>
      <c r="E265" t="inlineStr">
        <is>
          <t>MAT-STEEL-PN-0.95</t>
        </is>
      </c>
      <c r="F265" t="inlineStr">
        <is>
          <t>kg</t>
        </is>
      </c>
      <c r="G265" s="4" t="n">
        <v>7.617388800000001</v>
      </c>
      <c r="H265" s="2">
        <f>XLOOKUP(B265, '00_TONG_HOP_BAO_GIA'!B:B, '00_TONG_HOP_BAO_GIA'!G:G, 1)</f>
        <v/>
      </c>
      <c r="I265" s="5">
        <f>G265*H265</f>
        <v/>
      </c>
      <c r="J265" s="2">
        <f>XLOOKUP(E265, '06_BANG_GIA_VAT_TU_AP_DUNG'!B:B, '06_BANG_GIA_VAT_TU_AP_DUNG'!C:C, "LỖI_MÃ_VT")</f>
        <v/>
      </c>
      <c r="K265" s="2">
        <f>I265*J265</f>
        <v/>
      </c>
      <c r="L265" t="inlineStr">
        <is>
          <t>Kích thước vỏ 1000.0x500.0x250mm</t>
        </is>
      </c>
    </row>
    <row r="266">
      <c r="A266" t="inlineStr">
        <is>
          <t>SW-DAMPER-067-BLADE</t>
        </is>
      </c>
      <c r="B266" t="inlineStr">
        <is>
          <t>SW-DAMPER-067</t>
        </is>
      </c>
      <c r="C266" t="inlineStr">
        <is>
          <t>Lá cánh van (3 cánh overlap)</t>
        </is>
      </c>
      <c r="D266" t="inlineStr">
        <is>
          <t>TÔN_CUỘN_MẠ_KẼM</t>
        </is>
      </c>
      <c r="E266" t="inlineStr">
        <is>
          <t>MAT-STEEL-PN-0.75</t>
        </is>
      </c>
      <c r="F266" t="inlineStr">
        <is>
          <t>kg</t>
        </is>
      </c>
      <c r="G266" s="4" t="n">
        <v>3.56076</v>
      </c>
      <c r="H266" s="2">
        <f>XLOOKUP(B266, '00_TONG_HOP_BAO_GIA'!B:B, '00_TONG_HOP_BAO_GIA'!G:G, 1)</f>
        <v/>
      </c>
      <c r="I266" s="5">
        <f>G266*H266</f>
        <v/>
      </c>
      <c r="J266" s="2">
        <f>XLOOKUP(E266, '06_BANG_GIA_VAT_TU_AP_DUNG'!B:B, '06_BANG_GIA_VAT_TU_AP_DUNG'!C:C, "LỖI_MÃ_VT")</f>
        <v/>
      </c>
      <c r="K266" s="2">
        <f>I266*J266</f>
        <v/>
      </c>
      <c r="L266" t="inlineStr">
        <is>
          <t>3 cánh cao 187mm</t>
        </is>
      </c>
    </row>
    <row r="267">
      <c r="A267" t="inlineStr">
        <is>
          <t>SW-DAMPER-067-AXLE</t>
        </is>
      </c>
      <c r="B267" t="inlineStr">
        <is>
          <t>SW-DAMPER-067</t>
        </is>
      </c>
      <c r="C267" t="inlineStr">
        <is>
          <t>Trục Sus 201 D10</t>
        </is>
      </c>
      <c r="D267" t="inlineStr">
        <is>
          <t>PHỤ_KIỆN_VAN</t>
        </is>
      </c>
      <c r="E267" t="inlineStr">
        <is>
          <t>MAT-DAMPER-TRUC-SUS-201-D10</t>
        </is>
      </c>
      <c r="F267" t="inlineStr">
        <is>
          <t>m</t>
        </is>
      </c>
      <c r="G267" s="4" t="n">
        <v>3.18</v>
      </c>
      <c r="H267" s="2">
        <f>XLOOKUP(B267, '00_TONG_HOP_BAO_GIA'!B:B, '00_TONG_HOP_BAO_GIA'!G:G, 1)</f>
        <v/>
      </c>
      <c r="I267" s="5">
        <f>G267*H267</f>
        <v/>
      </c>
      <c r="J267" s="2">
        <f>XLOOKUP(E267, '06_BANG_GIA_VAT_TU_AP_DUNG'!B:B, '06_BANG_GIA_VAT_TU_AP_DUNG'!C:C, "LỖI_MÃ_VT")</f>
        <v/>
      </c>
      <c r="K267" s="2">
        <f>I267*J267</f>
        <v/>
      </c>
      <c r="L267" t="inlineStr">
        <is>
          <t>3 trục dài 1060mm</t>
        </is>
      </c>
    </row>
    <row r="268">
      <c r="A268" t="inlineStr">
        <is>
          <t>SW-DAMPER-067-BEARING</t>
        </is>
      </c>
      <c r="B268" t="inlineStr">
        <is>
          <t>SW-DAMPER-067</t>
        </is>
      </c>
      <c r="C268" t="inlineStr">
        <is>
          <t>Bạc đồng D10</t>
        </is>
      </c>
      <c r="D268" t="inlineStr">
        <is>
          <t>PHỤ_KIỆN_VAN</t>
        </is>
      </c>
      <c r="E268" t="inlineStr">
        <is>
          <t>MAT-DAMPER-BAC-DONG-D10</t>
        </is>
      </c>
      <c r="F268" t="inlineStr">
        <is>
          <t>Đôi</t>
        </is>
      </c>
      <c r="G268" s="4" t="n">
        <v>3</v>
      </c>
      <c r="H268" s="2">
        <f>XLOOKUP(B268, '00_TONG_HOP_BAO_GIA'!B:B, '00_TONG_HOP_BAO_GIA'!G:G, 1)</f>
        <v/>
      </c>
      <c r="I268" s="5">
        <f>G268*H268</f>
        <v/>
      </c>
      <c r="J268" s="2">
        <f>XLOOKUP(E268, '06_BANG_GIA_VAT_TU_AP_DUNG'!B:B, '06_BANG_GIA_VAT_TU_AP_DUNG'!C:C, "LỖI_MÃ_VT")</f>
        <v/>
      </c>
      <c r="K268" s="2">
        <f>I268*J268</f>
        <v/>
      </c>
      <c r="L268" t="inlineStr">
        <is>
          <t>3 đôi bạc đỡ 2 bên thân</t>
        </is>
      </c>
    </row>
    <row r="269">
      <c r="A269" t="inlineStr">
        <is>
          <t>SW-DAMPER-067-GEAR</t>
        </is>
      </c>
      <c r="B269" t="inlineStr">
        <is>
          <t>SW-DAMPER-067</t>
        </is>
      </c>
      <c r="C269" t="inlineStr">
        <is>
          <t>Bánh răng van nhôm</t>
        </is>
      </c>
      <c r="D269" t="inlineStr">
        <is>
          <t>PHỤ_KIỆN_VAN</t>
        </is>
      </c>
      <c r="E269" t="inlineStr">
        <is>
          <t>MAT-DAMPER-BANH-RANG-VAN-NHOM</t>
        </is>
      </c>
      <c r="F269" t="inlineStr">
        <is>
          <t>Bộ</t>
        </is>
      </c>
      <c r="G269" s="4" t="n">
        <v>1</v>
      </c>
      <c r="H269" s="2">
        <f>XLOOKUP(B269, '00_TONG_HOP_BAO_GIA'!B:B, '00_TONG_HOP_BAO_GIA'!G:G, 1)</f>
        <v/>
      </c>
      <c r="I269" s="5">
        <f>G269*H269</f>
        <v/>
      </c>
      <c r="J269" s="2">
        <f>XLOOKUP(E269, '06_BANG_GIA_VAT_TU_AP_DUNG'!B:B, '06_BANG_GIA_VAT_TU_AP_DUNG'!C:C, "LỖI_MÃ_VT")</f>
        <v/>
      </c>
      <c r="K269" s="2">
        <f>I269*J269</f>
        <v/>
      </c>
      <c r="L269" t="inlineStr">
        <is>
          <t>Cơ cấu liên động bánh răng van</t>
        </is>
      </c>
    </row>
    <row r="270">
      <c r="A270" t="inlineStr">
        <is>
          <t>SW-DAMPER-067-FUSE</t>
        </is>
      </c>
      <c r="B270" t="inlineStr">
        <is>
          <t>SW-DAMPER-067</t>
        </is>
      </c>
      <c r="C270" t="inlineStr">
        <is>
          <t>Cầu chì nhiệt nóng chảy 70°C (Elsie/USA)</t>
        </is>
      </c>
      <c r="D270" t="inlineStr">
        <is>
          <t>PHỤ_KIỆN_VAN</t>
        </is>
      </c>
      <c r="E270" t="inlineStr">
        <is>
          <t>MAT-DAMPER-CAU-CHI-USA-2-400X400</t>
        </is>
      </c>
      <c r="F270" t="inlineStr">
        <is>
          <t>Cái</t>
        </is>
      </c>
      <c r="G270" s="4" t="n">
        <v>1</v>
      </c>
      <c r="H270" s="2">
        <f>XLOOKUP(B270, '00_TONG_HOP_BAO_GIA'!B:B, '00_TONG_HOP_BAO_GIA'!G:G, 1)</f>
        <v/>
      </c>
      <c r="I270" s="5">
        <f>G270*H270</f>
        <v/>
      </c>
      <c r="J270" s="2">
        <f>XLOOKUP(E270, '06_BANG_GIA_VAT_TU_AP_DUNG'!B:B, '06_BANG_GIA_VAT_TU_AP_DUNG'!C:C, "LỖI_MÃ_VT")</f>
        <v/>
      </c>
      <c r="K270" s="2">
        <f>I270*J270</f>
        <v/>
      </c>
      <c r="L270" t="inlineStr">
        <is>
          <t>Cầu chì kiểm định PCCC</t>
        </is>
      </c>
    </row>
    <row r="271">
      <c r="A271" t="inlineStr">
        <is>
          <t>SW-DAMPER-068-BODY</t>
        </is>
      </c>
      <c r="B271" t="inlineStr">
        <is>
          <t>SW-DAMPER-068</t>
        </is>
      </c>
      <c r="C271" t="inlineStr">
        <is>
          <t>Thân vỏ van FD bích TDF (0.95mm)</t>
        </is>
      </c>
      <c r="D271" t="inlineStr">
        <is>
          <t>TÔN_CUỘN_MẠ_KẼM</t>
        </is>
      </c>
      <c r="E271" t="inlineStr">
        <is>
          <t>MAT-STEEL-PN-0.95</t>
        </is>
      </c>
      <c r="F271" t="inlineStr">
        <is>
          <t>kg</t>
        </is>
      </c>
      <c r="G271" s="4" t="n">
        <v>10.1231088</v>
      </c>
      <c r="H271" s="2">
        <f>XLOOKUP(B271, '00_TONG_HOP_BAO_GIA'!B:B, '00_TONG_HOP_BAO_GIA'!G:G, 1)</f>
        <v/>
      </c>
      <c r="I271" s="5">
        <f>G271*H271</f>
        <v/>
      </c>
      <c r="J271" s="2">
        <f>XLOOKUP(E271, '06_BANG_GIA_VAT_TU_AP_DUNG'!B:B, '06_BANG_GIA_VAT_TU_AP_DUNG'!C:C, "LỖI_MÃ_VT")</f>
        <v/>
      </c>
      <c r="K271" s="2">
        <f>I271*J271</f>
        <v/>
      </c>
      <c r="L271" t="inlineStr">
        <is>
          <t>Kích thước vỏ 1000.0x1000.0x250mm</t>
        </is>
      </c>
    </row>
    <row r="272">
      <c r="A272" t="inlineStr">
        <is>
          <t>SW-DAMPER-068-BLADE</t>
        </is>
      </c>
      <c r="B272" t="inlineStr">
        <is>
          <t>SW-DAMPER-068</t>
        </is>
      </c>
      <c r="C272" t="inlineStr">
        <is>
          <t>Lá cánh van (6 cánh overlap)</t>
        </is>
      </c>
      <c r="D272" t="inlineStr">
        <is>
          <t>TÔN_CUỘN_MẠ_KẼM</t>
        </is>
      </c>
      <c r="E272" t="inlineStr">
        <is>
          <t>MAT-STEEL-PN-0.75</t>
        </is>
      </c>
      <c r="F272" t="inlineStr">
        <is>
          <t>kg</t>
        </is>
      </c>
      <c r="G272" s="4" t="n">
        <v>7.121519999999999</v>
      </c>
      <c r="H272" s="2">
        <f>XLOOKUP(B272, '00_TONG_HOP_BAO_GIA'!B:B, '00_TONG_HOP_BAO_GIA'!G:G, 1)</f>
        <v/>
      </c>
      <c r="I272" s="5">
        <f>G272*H272</f>
        <v/>
      </c>
      <c r="J272" s="2">
        <f>XLOOKUP(E272, '06_BANG_GIA_VAT_TU_AP_DUNG'!B:B, '06_BANG_GIA_VAT_TU_AP_DUNG'!C:C, "LỖI_MÃ_VT")</f>
        <v/>
      </c>
      <c r="K272" s="2">
        <f>I272*J272</f>
        <v/>
      </c>
      <c r="L272" t="inlineStr">
        <is>
          <t>6 cánh cao 187mm</t>
        </is>
      </c>
    </row>
    <row r="273">
      <c r="A273" t="inlineStr">
        <is>
          <t>SW-DAMPER-068-AXLE</t>
        </is>
      </c>
      <c r="B273" t="inlineStr">
        <is>
          <t>SW-DAMPER-068</t>
        </is>
      </c>
      <c r="C273" t="inlineStr">
        <is>
          <t>Trục Sus 201 D10</t>
        </is>
      </c>
      <c r="D273" t="inlineStr">
        <is>
          <t>PHỤ_KIỆN_VAN</t>
        </is>
      </c>
      <c r="E273" t="inlineStr">
        <is>
          <t>MAT-DAMPER-TRUC-SUS-201-D10</t>
        </is>
      </c>
      <c r="F273" t="inlineStr">
        <is>
          <t>m</t>
        </is>
      </c>
      <c r="G273" s="4" t="n">
        <v>6.36</v>
      </c>
      <c r="H273" s="2">
        <f>XLOOKUP(B273, '00_TONG_HOP_BAO_GIA'!B:B, '00_TONG_HOP_BAO_GIA'!G:G, 1)</f>
        <v/>
      </c>
      <c r="I273" s="5">
        <f>G273*H273</f>
        <v/>
      </c>
      <c r="J273" s="2">
        <f>XLOOKUP(E273, '06_BANG_GIA_VAT_TU_AP_DUNG'!B:B, '06_BANG_GIA_VAT_TU_AP_DUNG'!C:C, "LỖI_MÃ_VT")</f>
        <v/>
      </c>
      <c r="K273" s="2">
        <f>I273*J273</f>
        <v/>
      </c>
      <c r="L273" t="inlineStr">
        <is>
          <t>6 trục dài 1060mm</t>
        </is>
      </c>
    </row>
    <row r="274">
      <c r="A274" t="inlineStr">
        <is>
          <t>SW-DAMPER-068-BEARING</t>
        </is>
      </c>
      <c r="B274" t="inlineStr">
        <is>
          <t>SW-DAMPER-068</t>
        </is>
      </c>
      <c r="C274" t="inlineStr">
        <is>
          <t>Bạc đồng D10</t>
        </is>
      </c>
      <c r="D274" t="inlineStr">
        <is>
          <t>PHỤ_KIỆN_VAN</t>
        </is>
      </c>
      <c r="E274" t="inlineStr">
        <is>
          <t>MAT-DAMPER-BAC-DONG-D10</t>
        </is>
      </c>
      <c r="F274" t="inlineStr">
        <is>
          <t>Đôi</t>
        </is>
      </c>
      <c r="G274" s="4" t="n">
        <v>6</v>
      </c>
      <c r="H274" s="2">
        <f>XLOOKUP(B274, '00_TONG_HOP_BAO_GIA'!B:B, '00_TONG_HOP_BAO_GIA'!G:G, 1)</f>
        <v/>
      </c>
      <c r="I274" s="5">
        <f>G274*H274</f>
        <v/>
      </c>
      <c r="J274" s="2">
        <f>XLOOKUP(E274, '06_BANG_GIA_VAT_TU_AP_DUNG'!B:B, '06_BANG_GIA_VAT_TU_AP_DUNG'!C:C, "LỖI_MÃ_VT")</f>
        <v/>
      </c>
      <c r="K274" s="2">
        <f>I274*J274</f>
        <v/>
      </c>
      <c r="L274" t="inlineStr">
        <is>
          <t>6 đôi bạc đỡ 2 bên thân</t>
        </is>
      </c>
    </row>
    <row r="275">
      <c r="A275" t="inlineStr">
        <is>
          <t>SW-DAMPER-068-GEAR</t>
        </is>
      </c>
      <c r="B275" t="inlineStr">
        <is>
          <t>SW-DAMPER-068</t>
        </is>
      </c>
      <c r="C275" t="inlineStr">
        <is>
          <t>Bánh răng van nhôm</t>
        </is>
      </c>
      <c r="D275" t="inlineStr">
        <is>
          <t>PHỤ_KIỆN_VAN</t>
        </is>
      </c>
      <c r="E275" t="inlineStr">
        <is>
          <t>MAT-DAMPER-BANH-RANG-VAN-NHOM</t>
        </is>
      </c>
      <c r="F275" t="inlineStr">
        <is>
          <t>Bộ</t>
        </is>
      </c>
      <c r="G275" s="4" t="n">
        <v>1</v>
      </c>
      <c r="H275" s="2">
        <f>XLOOKUP(B275, '00_TONG_HOP_BAO_GIA'!B:B, '00_TONG_HOP_BAO_GIA'!G:G, 1)</f>
        <v/>
      </c>
      <c r="I275" s="5">
        <f>G275*H275</f>
        <v/>
      </c>
      <c r="J275" s="2">
        <f>XLOOKUP(E275, '06_BANG_GIA_VAT_TU_AP_DUNG'!B:B, '06_BANG_GIA_VAT_TU_AP_DUNG'!C:C, "LỖI_MÃ_VT")</f>
        <v/>
      </c>
      <c r="K275" s="2">
        <f>I275*J275</f>
        <v/>
      </c>
      <c r="L275" t="inlineStr">
        <is>
          <t>Cơ cấu liên động bánh răng van</t>
        </is>
      </c>
    </row>
    <row r="276">
      <c r="A276" t="inlineStr">
        <is>
          <t>SW-DAMPER-068-FUSE</t>
        </is>
      </c>
      <c r="B276" t="inlineStr">
        <is>
          <t>SW-DAMPER-068</t>
        </is>
      </c>
      <c r="C276" t="inlineStr">
        <is>
          <t>Cầu chì nhiệt nóng chảy 70°C (Elsie/USA)</t>
        </is>
      </c>
      <c r="D276" t="inlineStr">
        <is>
          <t>PHỤ_KIỆN_VAN</t>
        </is>
      </c>
      <c r="E276" t="inlineStr">
        <is>
          <t>MAT-DAMPER-CAU-CHI-USA-2-400X400</t>
        </is>
      </c>
      <c r="F276" t="inlineStr">
        <is>
          <t>Cái</t>
        </is>
      </c>
      <c r="G276" s="4" t="n">
        <v>1</v>
      </c>
      <c r="H276" s="2">
        <f>XLOOKUP(B276, '00_TONG_HOP_BAO_GIA'!B:B, '00_TONG_HOP_BAO_GIA'!G:G, 1)</f>
        <v/>
      </c>
      <c r="I276" s="5">
        <f>G276*H276</f>
        <v/>
      </c>
      <c r="J276" s="2">
        <f>XLOOKUP(E276, '06_BANG_GIA_VAT_TU_AP_DUNG'!B:B, '06_BANG_GIA_VAT_TU_AP_DUNG'!C:C, "LỖI_MÃ_VT")</f>
        <v/>
      </c>
      <c r="K276" s="2">
        <f>I276*J276</f>
        <v/>
      </c>
      <c r="L276" t="inlineStr">
        <is>
          <t>Cầu chì kiểm định PCCC</t>
        </is>
      </c>
    </row>
    <row r="277">
      <c r="A277" t="inlineStr">
        <is>
          <t>SW-DAMPER-069-BODY</t>
        </is>
      </c>
      <c r="B277" t="inlineStr">
        <is>
          <t>SW-DAMPER-069</t>
        </is>
      </c>
      <c r="C277" t="inlineStr">
        <is>
          <t>Thân vỏ van FD bích TDF (0.95mm)</t>
        </is>
      </c>
      <c r="D277" t="inlineStr">
        <is>
          <t>TÔN_CUỘN_MẠ_KẼM</t>
        </is>
      </c>
      <c r="E277" t="inlineStr">
        <is>
          <t>MAT-STEEL-PN-0.95</t>
        </is>
      </c>
      <c r="F277" t="inlineStr">
        <is>
          <t>kg</t>
        </is>
      </c>
      <c r="G277" s="4" t="n">
        <v>12.1276848</v>
      </c>
      <c r="H277" s="2">
        <f>XLOOKUP(B277, '00_TONG_HOP_BAO_GIA'!B:B, '00_TONG_HOP_BAO_GIA'!G:G, 1)</f>
        <v/>
      </c>
      <c r="I277" s="5">
        <f>G277*H277</f>
        <v/>
      </c>
      <c r="J277" s="2">
        <f>XLOOKUP(E277, '06_BANG_GIA_VAT_TU_AP_DUNG'!B:B, '06_BANG_GIA_VAT_TU_AP_DUNG'!C:C, "LỖI_MÃ_VT")</f>
        <v/>
      </c>
      <c r="K277" s="2">
        <f>I277*J277</f>
        <v/>
      </c>
      <c r="L277" t="inlineStr">
        <is>
          <t>Kích thước vỏ 1800.0x600.0x250mm</t>
        </is>
      </c>
    </row>
    <row r="278">
      <c r="A278" t="inlineStr">
        <is>
          <t>SW-DAMPER-069-BLADE</t>
        </is>
      </c>
      <c r="B278" t="inlineStr">
        <is>
          <t>SW-DAMPER-069</t>
        </is>
      </c>
      <c r="C278" t="inlineStr">
        <is>
          <t>Lá cánh van (4 cánh overlap)</t>
        </is>
      </c>
      <c r="D278" t="inlineStr">
        <is>
          <t>TÔN_CUỘN_MẠ_KẼM</t>
        </is>
      </c>
      <c r="E278" t="inlineStr">
        <is>
          <t>MAT-STEEL-PN-0.75</t>
        </is>
      </c>
      <c r="F278" t="inlineStr">
        <is>
          <t>kg</t>
        </is>
      </c>
      <c r="G278" s="4" t="n">
        <v>7.782804</v>
      </c>
      <c r="H278" s="2">
        <f>XLOOKUP(B278, '00_TONG_HOP_BAO_GIA'!B:B, '00_TONG_HOP_BAO_GIA'!G:G, 1)</f>
        <v/>
      </c>
      <c r="I278" s="5">
        <f>G278*H278</f>
        <v/>
      </c>
      <c r="J278" s="2">
        <f>XLOOKUP(E278, '06_BANG_GIA_VAT_TU_AP_DUNG'!B:B, '06_BANG_GIA_VAT_TU_AP_DUNG'!C:C, "LỖI_MÃ_VT")</f>
        <v/>
      </c>
      <c r="K278" s="2">
        <f>I278*J278</f>
        <v/>
      </c>
      <c r="L278" t="inlineStr">
        <is>
          <t>4 cánh cao 170mm</t>
        </is>
      </c>
    </row>
    <row r="279">
      <c r="A279" t="inlineStr">
        <is>
          <t>SW-DAMPER-069-AXLE</t>
        </is>
      </c>
      <c r="B279" t="inlineStr">
        <is>
          <t>SW-DAMPER-069</t>
        </is>
      </c>
      <c r="C279" t="inlineStr">
        <is>
          <t>Trục Sus 201 D10</t>
        </is>
      </c>
      <c r="D279" t="inlineStr">
        <is>
          <t>PHỤ_KIỆN_VAN</t>
        </is>
      </c>
      <c r="E279" t="inlineStr">
        <is>
          <t>MAT-DAMPER-TRUC-SUS-201-D10</t>
        </is>
      </c>
      <c r="F279" t="inlineStr">
        <is>
          <t>m</t>
        </is>
      </c>
      <c r="G279" s="4" t="n">
        <v>7.44</v>
      </c>
      <c r="H279" s="2">
        <f>XLOOKUP(B279, '00_TONG_HOP_BAO_GIA'!B:B, '00_TONG_HOP_BAO_GIA'!G:G, 1)</f>
        <v/>
      </c>
      <c r="I279" s="5">
        <f>G279*H279</f>
        <v/>
      </c>
      <c r="J279" s="2">
        <f>XLOOKUP(E279, '06_BANG_GIA_VAT_TU_AP_DUNG'!B:B, '06_BANG_GIA_VAT_TU_AP_DUNG'!C:C, "LỖI_MÃ_VT")</f>
        <v/>
      </c>
      <c r="K279" s="2">
        <f>I279*J279</f>
        <v/>
      </c>
      <c r="L279" t="inlineStr">
        <is>
          <t>4 trục dài 1860mm</t>
        </is>
      </c>
    </row>
    <row r="280">
      <c r="A280" t="inlineStr">
        <is>
          <t>SW-DAMPER-069-BEARING</t>
        </is>
      </c>
      <c r="B280" t="inlineStr">
        <is>
          <t>SW-DAMPER-069</t>
        </is>
      </c>
      <c r="C280" t="inlineStr">
        <is>
          <t>Bạc đồng D10</t>
        </is>
      </c>
      <c r="D280" t="inlineStr">
        <is>
          <t>PHỤ_KIỆN_VAN</t>
        </is>
      </c>
      <c r="E280" t="inlineStr">
        <is>
          <t>MAT-DAMPER-BAC-DONG-D10</t>
        </is>
      </c>
      <c r="F280" t="inlineStr">
        <is>
          <t>Đôi</t>
        </is>
      </c>
      <c r="G280" s="4" t="n">
        <v>4</v>
      </c>
      <c r="H280" s="2">
        <f>XLOOKUP(B280, '00_TONG_HOP_BAO_GIA'!B:B, '00_TONG_HOP_BAO_GIA'!G:G, 1)</f>
        <v/>
      </c>
      <c r="I280" s="5">
        <f>G280*H280</f>
        <v/>
      </c>
      <c r="J280" s="2">
        <f>XLOOKUP(E280, '06_BANG_GIA_VAT_TU_AP_DUNG'!B:B, '06_BANG_GIA_VAT_TU_AP_DUNG'!C:C, "LỖI_MÃ_VT")</f>
        <v/>
      </c>
      <c r="K280" s="2">
        <f>I280*J280</f>
        <v/>
      </c>
      <c r="L280" t="inlineStr">
        <is>
          <t>4 đôi bạc đỡ 2 bên thân</t>
        </is>
      </c>
    </row>
    <row r="281">
      <c r="A281" t="inlineStr">
        <is>
          <t>SW-DAMPER-069-GEAR</t>
        </is>
      </c>
      <c r="B281" t="inlineStr">
        <is>
          <t>SW-DAMPER-069</t>
        </is>
      </c>
      <c r="C281" t="inlineStr">
        <is>
          <t>Bánh răng van nhôm</t>
        </is>
      </c>
      <c r="D281" t="inlineStr">
        <is>
          <t>PHỤ_KIỆN_VAN</t>
        </is>
      </c>
      <c r="E281" t="inlineStr">
        <is>
          <t>MAT-DAMPER-BANH-RANG-VAN-NHOM</t>
        </is>
      </c>
      <c r="F281" t="inlineStr">
        <is>
          <t>Bộ</t>
        </is>
      </c>
      <c r="G281" s="4" t="n">
        <v>1</v>
      </c>
      <c r="H281" s="2">
        <f>XLOOKUP(B281, '00_TONG_HOP_BAO_GIA'!B:B, '00_TONG_HOP_BAO_GIA'!G:G, 1)</f>
        <v/>
      </c>
      <c r="I281" s="5">
        <f>G281*H281</f>
        <v/>
      </c>
      <c r="J281" s="2">
        <f>XLOOKUP(E281, '06_BANG_GIA_VAT_TU_AP_DUNG'!B:B, '06_BANG_GIA_VAT_TU_AP_DUNG'!C:C, "LỖI_MÃ_VT")</f>
        <v/>
      </c>
      <c r="K281" s="2">
        <f>I281*J281</f>
        <v/>
      </c>
      <c r="L281" t="inlineStr">
        <is>
          <t>Cơ cấu liên động bánh răng van</t>
        </is>
      </c>
    </row>
    <row r="282">
      <c r="A282" t="inlineStr">
        <is>
          <t>SW-DAMPER-069-FUSE</t>
        </is>
      </c>
      <c r="B282" t="inlineStr">
        <is>
          <t>SW-DAMPER-069</t>
        </is>
      </c>
      <c r="C282" t="inlineStr">
        <is>
          <t>Cầu chì nhiệt nóng chảy 70°C (Elsie/USA)</t>
        </is>
      </c>
      <c r="D282" t="inlineStr">
        <is>
          <t>PHỤ_KIỆN_VAN</t>
        </is>
      </c>
      <c r="E282" t="inlineStr">
        <is>
          <t>MAT-DAMPER-CAU-CHI-USA-2-400X400</t>
        </is>
      </c>
      <c r="F282" t="inlineStr">
        <is>
          <t>Cái</t>
        </is>
      </c>
      <c r="G282" s="4" t="n">
        <v>1</v>
      </c>
      <c r="H282" s="2">
        <f>XLOOKUP(B282, '00_TONG_HOP_BAO_GIA'!B:B, '00_TONG_HOP_BAO_GIA'!G:G, 1)</f>
        <v/>
      </c>
      <c r="I282" s="5">
        <f>G282*H282</f>
        <v/>
      </c>
      <c r="J282" s="2">
        <f>XLOOKUP(E282, '06_BANG_GIA_VAT_TU_AP_DUNG'!B:B, '06_BANG_GIA_VAT_TU_AP_DUNG'!C:C, "LỖI_MÃ_VT")</f>
        <v/>
      </c>
      <c r="K282" s="2">
        <f>I282*J282</f>
        <v/>
      </c>
      <c r="L282" t="inlineStr">
        <is>
          <t>Cầu chì kiểm định PCCC</t>
        </is>
      </c>
    </row>
    <row r="283">
      <c r="A283" t="inlineStr">
        <is>
          <t>SW-DAMPER-092-BODY</t>
        </is>
      </c>
      <c r="B283" t="inlineStr">
        <is>
          <t>SW-DAMPER-092</t>
        </is>
      </c>
      <c r="C283" t="inlineStr">
        <is>
          <t>Thân vỏ van VCD bích TDF (0.75mm)</t>
        </is>
      </c>
      <c r="D283" t="inlineStr">
        <is>
          <t>TÔN_CUỘN_MẠ_KẼM</t>
        </is>
      </c>
      <c r="E283" t="inlineStr">
        <is>
          <t>MAT-STEEL-PN-0.75</t>
        </is>
      </c>
      <c r="F283" t="inlineStr">
        <is>
          <t>kg</t>
        </is>
      </c>
      <c r="G283" s="4" t="n">
        <v>1.453977</v>
      </c>
      <c r="H283" s="2">
        <f>XLOOKUP(B283, '00_TONG_HOP_BAO_GIA'!B:B, '00_TONG_HOP_BAO_GIA'!G:G, 1)</f>
        <v/>
      </c>
      <c r="I283" s="5">
        <f>G283*H283</f>
        <v/>
      </c>
      <c r="J283" s="2">
        <f>XLOOKUP(E283, '06_BANG_GIA_VAT_TU_AP_DUNG'!B:B, '06_BANG_GIA_VAT_TU_AP_DUNG'!C:C, "LỖI_MÃ_VT")</f>
        <v/>
      </c>
      <c r="K283" s="2">
        <f>I283*J283</f>
        <v/>
      </c>
      <c r="L283" t="inlineStr">
        <is>
          <t>Kích thước vỏ 100.0x300x210mm</t>
        </is>
      </c>
    </row>
    <row r="284">
      <c r="A284" t="inlineStr">
        <is>
          <t>SW-DAMPER-092-BLADE</t>
        </is>
      </c>
      <c r="B284" t="inlineStr">
        <is>
          <t>SW-DAMPER-092</t>
        </is>
      </c>
      <c r="C284" t="inlineStr">
        <is>
          <t>Lá cánh van (2 cánh overlap)</t>
        </is>
      </c>
      <c r="D284" t="inlineStr">
        <is>
          <t>TÔN_CUỘN_MẠ_KẼM</t>
        </is>
      </c>
      <c r="E284" t="inlineStr">
        <is>
          <t>MAT-STEEL-PN-0.75</t>
        </is>
      </c>
      <c r="F284" t="inlineStr">
        <is>
          <t>kg</t>
        </is>
      </c>
      <c r="G284" s="4" t="n">
        <v>0.216189</v>
      </c>
      <c r="H284" s="2">
        <f>XLOOKUP(B284, '00_TONG_HOP_BAO_GIA'!B:B, '00_TONG_HOP_BAO_GIA'!G:G, 1)</f>
        <v/>
      </c>
      <c r="I284" s="5">
        <f>G284*H284</f>
        <v/>
      </c>
      <c r="J284" s="2">
        <f>XLOOKUP(E284, '06_BANG_GIA_VAT_TU_AP_DUNG'!B:B, '06_BANG_GIA_VAT_TU_AP_DUNG'!C:C, "LỖI_MÃ_VT")</f>
        <v/>
      </c>
      <c r="K284" s="2">
        <f>I284*J284</f>
        <v/>
      </c>
      <c r="L284" t="inlineStr">
        <is>
          <t>2 cánh cao 170mm</t>
        </is>
      </c>
    </row>
    <row r="285">
      <c r="A285" t="inlineStr">
        <is>
          <t>SW-DAMPER-092-AXLE</t>
        </is>
      </c>
      <c r="B285" t="inlineStr">
        <is>
          <t>SW-DAMPER-092</t>
        </is>
      </c>
      <c r="C285" t="inlineStr">
        <is>
          <t>Trục Sus 201 D10</t>
        </is>
      </c>
      <c r="D285" t="inlineStr">
        <is>
          <t>PHỤ_KIỆN_VAN</t>
        </is>
      </c>
      <c r="E285" t="inlineStr">
        <is>
          <t>MAT-DAMPER-TRUC-SUS-201-D10</t>
        </is>
      </c>
      <c r="F285" t="inlineStr">
        <is>
          <t>m</t>
        </is>
      </c>
      <c r="G285" s="4" t="n">
        <v>0.32</v>
      </c>
      <c r="H285" s="2">
        <f>XLOOKUP(B285, '00_TONG_HOP_BAO_GIA'!B:B, '00_TONG_HOP_BAO_GIA'!G:G, 1)</f>
        <v/>
      </c>
      <c r="I285" s="5">
        <f>G285*H285</f>
        <v/>
      </c>
      <c r="J285" s="2">
        <f>XLOOKUP(E285, '06_BANG_GIA_VAT_TU_AP_DUNG'!B:B, '06_BANG_GIA_VAT_TU_AP_DUNG'!C:C, "LỖI_MÃ_VT")</f>
        <v/>
      </c>
      <c r="K285" s="2">
        <f>I285*J285</f>
        <v/>
      </c>
      <c r="L285" t="inlineStr">
        <is>
          <t>2 trục dài 160mm</t>
        </is>
      </c>
    </row>
    <row r="286">
      <c r="A286" t="inlineStr">
        <is>
          <t>SW-DAMPER-092-BEARING</t>
        </is>
      </c>
      <c r="B286" t="inlineStr">
        <is>
          <t>SW-DAMPER-092</t>
        </is>
      </c>
      <c r="C286" t="inlineStr">
        <is>
          <t>Bạc đồng D10</t>
        </is>
      </c>
      <c r="D286" t="inlineStr">
        <is>
          <t>PHỤ_KIỆN_VAN</t>
        </is>
      </c>
      <c r="E286" t="inlineStr">
        <is>
          <t>MAT-DAMPER-BAC-DONG-D10</t>
        </is>
      </c>
      <c r="F286" t="inlineStr">
        <is>
          <t>Đôi</t>
        </is>
      </c>
      <c r="G286" s="4" t="n">
        <v>2</v>
      </c>
      <c r="H286" s="2">
        <f>XLOOKUP(B286, '00_TONG_HOP_BAO_GIA'!B:B, '00_TONG_HOP_BAO_GIA'!G:G, 1)</f>
        <v/>
      </c>
      <c r="I286" s="5">
        <f>G286*H286</f>
        <v/>
      </c>
      <c r="J286" s="2">
        <f>XLOOKUP(E286, '06_BANG_GIA_VAT_TU_AP_DUNG'!B:B, '06_BANG_GIA_VAT_TU_AP_DUNG'!C:C, "LỖI_MÃ_VT")</f>
        <v/>
      </c>
      <c r="K286" s="2">
        <f>I286*J286</f>
        <v/>
      </c>
      <c r="L286" t="inlineStr">
        <is>
          <t>2 đôi bạc đỡ 2 bên thân</t>
        </is>
      </c>
    </row>
    <row r="287">
      <c r="A287" t="inlineStr">
        <is>
          <t>SW-DAMPER-092-GEAR</t>
        </is>
      </c>
      <c r="B287" t="inlineStr">
        <is>
          <t>SW-DAMPER-092</t>
        </is>
      </c>
      <c r="C287" t="inlineStr">
        <is>
          <t>Bánh răng van nhôm</t>
        </is>
      </c>
      <c r="D287" t="inlineStr">
        <is>
          <t>PHỤ_KIỆN_VAN</t>
        </is>
      </c>
      <c r="E287" t="inlineStr">
        <is>
          <t>MAT-DAMPER-BANH-RANG-VAN-NHOM</t>
        </is>
      </c>
      <c r="F287" t="inlineStr">
        <is>
          <t>Bộ</t>
        </is>
      </c>
      <c r="G287" s="4" t="n">
        <v>1</v>
      </c>
      <c r="H287" s="2">
        <f>XLOOKUP(B287, '00_TONG_HOP_BAO_GIA'!B:B, '00_TONG_HOP_BAO_GIA'!G:G, 1)</f>
        <v/>
      </c>
      <c r="I287" s="5">
        <f>G287*H287</f>
        <v/>
      </c>
      <c r="J287" s="2">
        <f>XLOOKUP(E287, '06_BANG_GIA_VAT_TU_AP_DUNG'!B:B, '06_BANG_GIA_VAT_TU_AP_DUNG'!C:C, "LỖI_MÃ_VT")</f>
        <v/>
      </c>
      <c r="K287" s="2">
        <f>I287*J287</f>
        <v/>
      </c>
      <c r="L287" t="inlineStr">
        <is>
          <t>Cơ cấu liên động bánh răng van</t>
        </is>
      </c>
    </row>
    <row r="288">
      <c r="A288" t="inlineStr">
        <is>
          <t>SW-DAMPER-092-HANDLE</t>
        </is>
      </c>
      <c r="B288" t="inlineStr">
        <is>
          <t>SW-DAMPER-092</t>
        </is>
      </c>
      <c r="C288" t="inlineStr">
        <is>
          <t>Tay gạt nhỏ</t>
        </is>
      </c>
      <c r="D288" t="inlineStr">
        <is>
          <t>PHỤ_KIỆN_VAN</t>
        </is>
      </c>
      <c r="E288" t="inlineStr">
        <is>
          <t>MAT-DAMPER-TAY-GAT-NHO</t>
        </is>
      </c>
      <c r="F288" t="inlineStr">
        <is>
          <t>Bộ</t>
        </is>
      </c>
      <c r="G288" s="4" t="n">
        <v>1</v>
      </c>
      <c r="H288" s="2">
        <f>XLOOKUP(B288, '00_TONG_HOP_BAO_GIA'!B:B, '00_TONG_HOP_BAO_GIA'!G:G, 1)</f>
        <v/>
      </c>
      <c r="I288" s="5">
        <f>G288*H288</f>
        <v/>
      </c>
      <c r="J288" s="2">
        <f>XLOOKUP(E288, '06_BANG_GIA_VAT_TU_AP_DUNG'!B:B, '06_BANG_GIA_VAT_TU_AP_DUNG'!C:C, "LỖI_MÃ_VT")</f>
        <v/>
      </c>
      <c r="K288" s="2">
        <f>I288*J288</f>
        <v/>
      </c>
      <c r="L288" t="inlineStr">
        <is>
          <t>Tay gạt khóa vị trí nan (S=0.03m2)</t>
        </is>
      </c>
    </row>
    <row r="289">
      <c r="A289" t="inlineStr">
        <is>
          <t>SW-DAMPER-093-BODY</t>
        </is>
      </c>
      <c r="B289" t="inlineStr">
        <is>
          <t>SW-DAMPER-093</t>
        </is>
      </c>
      <c r="C289" t="inlineStr">
        <is>
          <t>Thân vỏ van VCD bích TDF (0.75mm)</t>
        </is>
      </c>
      <c r="D289" t="inlineStr">
        <is>
          <t>TÔN_CUỘN_MẠ_KẼM</t>
        </is>
      </c>
      <c r="E289" t="inlineStr">
        <is>
          <t>MAT-STEEL-PN-0.75</t>
        </is>
      </c>
      <c r="F289" t="inlineStr">
        <is>
          <t>kg</t>
        </is>
      </c>
      <c r="G289" s="4" t="n">
        <v>1.800162</v>
      </c>
      <c r="H289" s="2">
        <f>XLOOKUP(B289, '00_TONG_HOP_BAO_GIA'!B:B, '00_TONG_HOP_BAO_GIA'!G:G, 1)</f>
        <v/>
      </c>
      <c r="I289" s="5">
        <f>G289*H289</f>
        <v/>
      </c>
      <c r="J289" s="2">
        <f>XLOOKUP(E289, '06_BANG_GIA_VAT_TU_AP_DUNG'!B:B, '06_BANG_GIA_VAT_TU_AP_DUNG'!C:C, "LỖI_MÃ_VT")</f>
        <v/>
      </c>
      <c r="K289" s="2">
        <f>I289*J289</f>
        <v/>
      </c>
      <c r="L289" t="inlineStr">
        <is>
          <t>Kích thước vỏ 200.0x300x210mm</t>
        </is>
      </c>
    </row>
    <row r="290">
      <c r="A290" t="inlineStr">
        <is>
          <t>SW-DAMPER-093-BLADE</t>
        </is>
      </c>
      <c r="B290" t="inlineStr">
        <is>
          <t>SW-DAMPER-093</t>
        </is>
      </c>
      <c r="C290" t="inlineStr">
        <is>
          <t>Lá cánh van (2 cánh overlap)</t>
        </is>
      </c>
      <c r="D290" t="inlineStr">
        <is>
          <t>TÔN_CUỘN_MẠ_KẼM</t>
        </is>
      </c>
      <c r="E290" t="inlineStr">
        <is>
          <t>MAT-STEEL-PN-0.75</t>
        </is>
      </c>
      <c r="F290" t="inlineStr">
        <is>
          <t>kg</t>
        </is>
      </c>
      <c r="G290" s="4" t="n">
        <v>0.432378</v>
      </c>
      <c r="H290" s="2">
        <f>XLOOKUP(B290, '00_TONG_HOP_BAO_GIA'!B:B, '00_TONG_HOP_BAO_GIA'!G:G, 1)</f>
        <v/>
      </c>
      <c r="I290" s="5">
        <f>G290*H290</f>
        <v/>
      </c>
      <c r="J290" s="2">
        <f>XLOOKUP(E290, '06_BANG_GIA_VAT_TU_AP_DUNG'!B:B, '06_BANG_GIA_VAT_TU_AP_DUNG'!C:C, "LỖI_MÃ_VT")</f>
        <v/>
      </c>
      <c r="K290" s="2">
        <f>I290*J290</f>
        <v/>
      </c>
      <c r="L290" t="inlineStr">
        <is>
          <t>2 cánh cao 170mm</t>
        </is>
      </c>
    </row>
    <row r="291">
      <c r="A291" t="inlineStr">
        <is>
          <t>SW-DAMPER-093-AXLE</t>
        </is>
      </c>
      <c r="B291" t="inlineStr">
        <is>
          <t>SW-DAMPER-093</t>
        </is>
      </c>
      <c r="C291" t="inlineStr">
        <is>
          <t>Trục Sus 201 D10</t>
        </is>
      </c>
      <c r="D291" t="inlineStr">
        <is>
          <t>PHỤ_KIỆN_VAN</t>
        </is>
      </c>
      <c r="E291" t="inlineStr">
        <is>
          <t>MAT-DAMPER-TRUC-SUS-201-D10</t>
        </is>
      </c>
      <c r="F291" t="inlineStr">
        <is>
          <t>m</t>
        </is>
      </c>
      <c r="G291" s="4" t="n">
        <v>0.52</v>
      </c>
      <c r="H291" s="2">
        <f>XLOOKUP(B291, '00_TONG_HOP_BAO_GIA'!B:B, '00_TONG_HOP_BAO_GIA'!G:G, 1)</f>
        <v/>
      </c>
      <c r="I291" s="5">
        <f>G291*H291</f>
        <v/>
      </c>
      <c r="J291" s="2">
        <f>XLOOKUP(E291, '06_BANG_GIA_VAT_TU_AP_DUNG'!B:B, '06_BANG_GIA_VAT_TU_AP_DUNG'!C:C, "LỖI_MÃ_VT")</f>
        <v/>
      </c>
      <c r="K291" s="2">
        <f>I291*J291</f>
        <v/>
      </c>
      <c r="L291" t="inlineStr">
        <is>
          <t>2 trục dài 260mm</t>
        </is>
      </c>
    </row>
    <row r="292">
      <c r="A292" t="inlineStr">
        <is>
          <t>SW-DAMPER-093-BEARING</t>
        </is>
      </c>
      <c r="B292" t="inlineStr">
        <is>
          <t>SW-DAMPER-093</t>
        </is>
      </c>
      <c r="C292" t="inlineStr">
        <is>
          <t>Bạc đồng D10</t>
        </is>
      </c>
      <c r="D292" t="inlineStr">
        <is>
          <t>PHỤ_KIỆN_VAN</t>
        </is>
      </c>
      <c r="E292" t="inlineStr">
        <is>
          <t>MAT-DAMPER-BAC-DONG-D10</t>
        </is>
      </c>
      <c r="F292" t="inlineStr">
        <is>
          <t>Đôi</t>
        </is>
      </c>
      <c r="G292" s="4" t="n">
        <v>2</v>
      </c>
      <c r="H292" s="2">
        <f>XLOOKUP(B292, '00_TONG_HOP_BAO_GIA'!B:B, '00_TONG_HOP_BAO_GIA'!G:G, 1)</f>
        <v/>
      </c>
      <c r="I292" s="5">
        <f>G292*H292</f>
        <v/>
      </c>
      <c r="J292" s="2">
        <f>XLOOKUP(E292, '06_BANG_GIA_VAT_TU_AP_DUNG'!B:B, '06_BANG_GIA_VAT_TU_AP_DUNG'!C:C, "LỖI_MÃ_VT")</f>
        <v/>
      </c>
      <c r="K292" s="2">
        <f>I292*J292</f>
        <v/>
      </c>
      <c r="L292" t="inlineStr">
        <is>
          <t>2 đôi bạc đỡ 2 bên thân</t>
        </is>
      </c>
    </row>
    <row r="293">
      <c r="A293" t="inlineStr">
        <is>
          <t>SW-DAMPER-093-GEAR</t>
        </is>
      </c>
      <c r="B293" t="inlineStr">
        <is>
          <t>SW-DAMPER-093</t>
        </is>
      </c>
      <c r="C293" t="inlineStr">
        <is>
          <t>Bánh răng van nhôm</t>
        </is>
      </c>
      <c r="D293" t="inlineStr">
        <is>
          <t>PHỤ_KIỆN_VAN</t>
        </is>
      </c>
      <c r="E293" t="inlineStr">
        <is>
          <t>MAT-DAMPER-BANH-RANG-VAN-NHOM</t>
        </is>
      </c>
      <c r="F293" t="inlineStr">
        <is>
          <t>Bộ</t>
        </is>
      </c>
      <c r="G293" s="4" t="n">
        <v>1</v>
      </c>
      <c r="H293" s="2">
        <f>XLOOKUP(B293, '00_TONG_HOP_BAO_GIA'!B:B, '00_TONG_HOP_BAO_GIA'!G:G, 1)</f>
        <v/>
      </c>
      <c r="I293" s="5">
        <f>G293*H293</f>
        <v/>
      </c>
      <c r="J293" s="2">
        <f>XLOOKUP(E293, '06_BANG_GIA_VAT_TU_AP_DUNG'!B:B, '06_BANG_GIA_VAT_TU_AP_DUNG'!C:C, "LỖI_MÃ_VT")</f>
        <v/>
      </c>
      <c r="K293" s="2">
        <f>I293*J293</f>
        <v/>
      </c>
      <c r="L293" t="inlineStr">
        <is>
          <t>Cơ cấu liên động bánh răng van</t>
        </is>
      </c>
    </row>
    <row r="294">
      <c r="A294" t="inlineStr">
        <is>
          <t>SW-DAMPER-093-HANDLE</t>
        </is>
      </c>
      <c r="B294" t="inlineStr">
        <is>
          <t>SW-DAMPER-093</t>
        </is>
      </c>
      <c r="C294" t="inlineStr">
        <is>
          <t>Tay gạt nhỏ</t>
        </is>
      </c>
      <c r="D294" t="inlineStr">
        <is>
          <t>PHỤ_KIỆN_VAN</t>
        </is>
      </c>
      <c r="E294" t="inlineStr">
        <is>
          <t>MAT-DAMPER-TAY-GAT-NHO</t>
        </is>
      </c>
      <c r="F294" t="inlineStr">
        <is>
          <t>Bộ</t>
        </is>
      </c>
      <c r="G294" s="4" t="n">
        <v>1</v>
      </c>
      <c r="H294" s="2">
        <f>XLOOKUP(B294, '00_TONG_HOP_BAO_GIA'!B:B, '00_TONG_HOP_BAO_GIA'!G:G, 1)</f>
        <v/>
      </c>
      <c r="I294" s="5">
        <f>G294*H294</f>
        <v/>
      </c>
      <c r="J294" s="2">
        <f>XLOOKUP(E294, '06_BANG_GIA_VAT_TU_AP_DUNG'!B:B, '06_BANG_GIA_VAT_TU_AP_DUNG'!C:C, "LỖI_MÃ_VT")</f>
        <v/>
      </c>
      <c r="K294" s="2">
        <f>I294*J294</f>
        <v/>
      </c>
      <c r="L294" t="inlineStr">
        <is>
          <t>Tay gạt khóa vị trí nan (S=0.06m2)</t>
        </is>
      </c>
    </row>
    <row r="295">
      <c r="A295" t="inlineStr">
        <is>
          <t>SW-DAMPER-094-BODY</t>
        </is>
      </c>
      <c r="B295" t="inlineStr">
        <is>
          <t>SW-DAMPER-094</t>
        </is>
      </c>
      <c r="C295" t="inlineStr">
        <is>
          <t>Thân vỏ van VCD bích TDF (0.75mm)</t>
        </is>
      </c>
      <c r="D295" t="inlineStr">
        <is>
          <t>TÔN_CUỘN_MẠ_KẼM</t>
        </is>
      </c>
      <c r="E295" t="inlineStr">
        <is>
          <t>MAT-STEEL-PN-0.75</t>
        </is>
      </c>
      <c r="F295" t="inlineStr">
        <is>
          <t>kg</t>
        </is>
      </c>
      <c r="G295" s="4" t="n">
        <v>1.9732545</v>
      </c>
      <c r="H295" s="2">
        <f>XLOOKUP(B295, '00_TONG_HOP_BAO_GIA'!B:B, '00_TONG_HOP_BAO_GIA'!G:G, 1)</f>
        <v/>
      </c>
      <c r="I295" s="5">
        <f>G295*H295</f>
        <v/>
      </c>
      <c r="J295" s="2">
        <f>XLOOKUP(E295, '06_BANG_GIA_VAT_TU_AP_DUNG'!B:B, '06_BANG_GIA_VAT_TU_AP_DUNG'!C:C, "LỖI_MÃ_VT")</f>
        <v/>
      </c>
      <c r="K295" s="2">
        <f>I295*J295</f>
        <v/>
      </c>
      <c r="L295" t="inlineStr">
        <is>
          <t>Kích thước vỏ 250.0x300x210mm</t>
        </is>
      </c>
    </row>
    <row r="296">
      <c r="A296" t="inlineStr">
        <is>
          <t>SW-DAMPER-094-BLADE</t>
        </is>
      </c>
      <c r="B296" t="inlineStr">
        <is>
          <t>SW-DAMPER-094</t>
        </is>
      </c>
      <c r="C296" t="inlineStr">
        <is>
          <t>Lá cánh van (2 cánh overlap)</t>
        </is>
      </c>
      <c r="D296" t="inlineStr">
        <is>
          <t>TÔN_CUỘN_MẠ_KẼM</t>
        </is>
      </c>
      <c r="E296" t="inlineStr">
        <is>
          <t>MAT-STEEL-PN-0.75</t>
        </is>
      </c>
      <c r="F296" t="inlineStr">
        <is>
          <t>kg</t>
        </is>
      </c>
      <c r="G296" s="4" t="n">
        <v>0.5404725</v>
      </c>
      <c r="H296" s="2">
        <f>XLOOKUP(B296, '00_TONG_HOP_BAO_GIA'!B:B, '00_TONG_HOP_BAO_GIA'!G:G, 1)</f>
        <v/>
      </c>
      <c r="I296" s="5">
        <f>G296*H296</f>
        <v/>
      </c>
      <c r="J296" s="2">
        <f>XLOOKUP(E296, '06_BANG_GIA_VAT_TU_AP_DUNG'!B:B, '06_BANG_GIA_VAT_TU_AP_DUNG'!C:C, "LỖI_MÃ_VT")</f>
        <v/>
      </c>
      <c r="K296" s="2">
        <f>I296*J296</f>
        <v/>
      </c>
      <c r="L296" t="inlineStr">
        <is>
          <t>2 cánh cao 170mm</t>
        </is>
      </c>
    </row>
    <row r="297">
      <c r="A297" t="inlineStr">
        <is>
          <t>SW-DAMPER-094-AXLE</t>
        </is>
      </c>
      <c r="B297" t="inlineStr">
        <is>
          <t>SW-DAMPER-094</t>
        </is>
      </c>
      <c r="C297" t="inlineStr">
        <is>
          <t>Trục Sus 201 D10</t>
        </is>
      </c>
      <c r="D297" t="inlineStr">
        <is>
          <t>PHỤ_KIỆN_VAN</t>
        </is>
      </c>
      <c r="E297" t="inlineStr">
        <is>
          <t>MAT-DAMPER-TRUC-SUS-201-D10</t>
        </is>
      </c>
      <c r="F297" t="inlineStr">
        <is>
          <t>m</t>
        </is>
      </c>
      <c r="G297" s="4" t="n">
        <v>0.62</v>
      </c>
      <c r="H297" s="2">
        <f>XLOOKUP(B297, '00_TONG_HOP_BAO_GIA'!B:B, '00_TONG_HOP_BAO_GIA'!G:G, 1)</f>
        <v/>
      </c>
      <c r="I297" s="5">
        <f>G297*H297</f>
        <v/>
      </c>
      <c r="J297" s="2">
        <f>XLOOKUP(E297, '06_BANG_GIA_VAT_TU_AP_DUNG'!B:B, '06_BANG_GIA_VAT_TU_AP_DUNG'!C:C, "LỖI_MÃ_VT")</f>
        <v/>
      </c>
      <c r="K297" s="2">
        <f>I297*J297</f>
        <v/>
      </c>
      <c r="L297" t="inlineStr">
        <is>
          <t>2 trục dài 310mm</t>
        </is>
      </c>
    </row>
    <row r="298">
      <c r="A298" t="inlineStr">
        <is>
          <t>SW-DAMPER-094-BEARING</t>
        </is>
      </c>
      <c r="B298" t="inlineStr">
        <is>
          <t>SW-DAMPER-094</t>
        </is>
      </c>
      <c r="C298" t="inlineStr">
        <is>
          <t>Bạc đồng D10</t>
        </is>
      </c>
      <c r="D298" t="inlineStr">
        <is>
          <t>PHỤ_KIỆN_VAN</t>
        </is>
      </c>
      <c r="E298" t="inlineStr">
        <is>
          <t>MAT-DAMPER-BAC-DONG-D10</t>
        </is>
      </c>
      <c r="F298" t="inlineStr">
        <is>
          <t>Đôi</t>
        </is>
      </c>
      <c r="G298" s="4" t="n">
        <v>2</v>
      </c>
      <c r="H298" s="2">
        <f>XLOOKUP(B298, '00_TONG_HOP_BAO_GIA'!B:B, '00_TONG_HOP_BAO_GIA'!G:G, 1)</f>
        <v/>
      </c>
      <c r="I298" s="5">
        <f>G298*H298</f>
        <v/>
      </c>
      <c r="J298" s="2">
        <f>XLOOKUP(E298, '06_BANG_GIA_VAT_TU_AP_DUNG'!B:B, '06_BANG_GIA_VAT_TU_AP_DUNG'!C:C, "LỖI_MÃ_VT")</f>
        <v/>
      </c>
      <c r="K298" s="2">
        <f>I298*J298</f>
        <v/>
      </c>
      <c r="L298" t="inlineStr">
        <is>
          <t>2 đôi bạc đỡ 2 bên thân</t>
        </is>
      </c>
    </row>
    <row r="299">
      <c r="A299" t="inlineStr">
        <is>
          <t>SW-DAMPER-094-GEAR</t>
        </is>
      </c>
      <c r="B299" t="inlineStr">
        <is>
          <t>SW-DAMPER-094</t>
        </is>
      </c>
      <c r="C299" t="inlineStr">
        <is>
          <t>Bánh răng van nhôm</t>
        </is>
      </c>
      <c r="D299" t="inlineStr">
        <is>
          <t>PHỤ_KIỆN_VAN</t>
        </is>
      </c>
      <c r="E299" t="inlineStr">
        <is>
          <t>MAT-DAMPER-BANH-RANG-VAN-NHOM</t>
        </is>
      </c>
      <c r="F299" t="inlineStr">
        <is>
          <t>Bộ</t>
        </is>
      </c>
      <c r="G299" s="4" t="n">
        <v>1</v>
      </c>
      <c r="H299" s="2">
        <f>XLOOKUP(B299, '00_TONG_HOP_BAO_GIA'!B:B, '00_TONG_HOP_BAO_GIA'!G:G, 1)</f>
        <v/>
      </c>
      <c r="I299" s="5">
        <f>G299*H299</f>
        <v/>
      </c>
      <c r="J299" s="2">
        <f>XLOOKUP(E299, '06_BANG_GIA_VAT_TU_AP_DUNG'!B:B, '06_BANG_GIA_VAT_TU_AP_DUNG'!C:C, "LỖI_MÃ_VT")</f>
        <v/>
      </c>
      <c r="K299" s="2">
        <f>I299*J299</f>
        <v/>
      </c>
      <c r="L299" t="inlineStr">
        <is>
          <t>Cơ cấu liên động bánh răng van</t>
        </is>
      </c>
    </row>
    <row r="300">
      <c r="A300" t="inlineStr">
        <is>
          <t>SW-DAMPER-094-HANDLE</t>
        </is>
      </c>
      <c r="B300" t="inlineStr">
        <is>
          <t>SW-DAMPER-094</t>
        </is>
      </c>
      <c r="C300" t="inlineStr">
        <is>
          <t>Tay gạt nhỏ</t>
        </is>
      </c>
      <c r="D300" t="inlineStr">
        <is>
          <t>PHỤ_KIỆN_VAN</t>
        </is>
      </c>
      <c r="E300" t="inlineStr">
        <is>
          <t>MAT-DAMPER-TAY-GAT-NHO</t>
        </is>
      </c>
      <c r="F300" t="inlineStr">
        <is>
          <t>Bộ</t>
        </is>
      </c>
      <c r="G300" s="4" t="n">
        <v>1</v>
      </c>
      <c r="H300" s="2">
        <f>XLOOKUP(B300, '00_TONG_HOP_BAO_GIA'!B:B, '00_TONG_HOP_BAO_GIA'!G:G, 1)</f>
        <v/>
      </c>
      <c r="I300" s="5">
        <f>G300*H300</f>
        <v/>
      </c>
      <c r="J300" s="2">
        <f>XLOOKUP(E300, '06_BANG_GIA_VAT_TU_AP_DUNG'!B:B, '06_BANG_GIA_VAT_TU_AP_DUNG'!C:C, "LỖI_MÃ_VT")</f>
        <v/>
      </c>
      <c r="K300" s="2">
        <f>I300*J300</f>
        <v/>
      </c>
      <c r="L300" t="inlineStr">
        <is>
          <t>Tay gạt khóa vị trí nan (S=0.07m2)</t>
        </is>
      </c>
    </row>
    <row r="301">
      <c r="A301" t="inlineStr">
        <is>
          <t>SW-DAMPER-095-BODY</t>
        </is>
      </c>
      <c r="B301" t="inlineStr">
        <is>
          <t>SW-DAMPER-095</t>
        </is>
      </c>
      <c r="C301" t="inlineStr">
        <is>
          <t>Thân vỏ van VCD bích TDF (0.75mm)</t>
        </is>
      </c>
      <c r="D301" t="inlineStr">
        <is>
          <t>TÔN_CUỘN_MẠ_KẼM</t>
        </is>
      </c>
      <c r="E301" t="inlineStr">
        <is>
          <t>MAT-STEEL-PN-0.75</t>
        </is>
      </c>
      <c r="F301" t="inlineStr">
        <is>
          <t>kg</t>
        </is>
      </c>
      <c r="G301" s="4" t="n">
        <v>1.107792</v>
      </c>
      <c r="H301" s="2">
        <f>XLOOKUP(B301, '00_TONG_HOP_BAO_GIA'!B:B, '00_TONG_HOP_BAO_GIA'!G:G, 1)</f>
        <v/>
      </c>
      <c r="I301" s="5">
        <f>G301*H301</f>
        <v/>
      </c>
      <c r="J301" s="2">
        <f>XLOOKUP(E301, '06_BANG_GIA_VAT_TU_AP_DUNG'!B:B, '06_BANG_GIA_VAT_TU_AP_DUNG'!C:C, "LỖI_MÃ_VT")</f>
        <v/>
      </c>
      <c r="K301" s="2">
        <f>I301*J301</f>
        <v/>
      </c>
      <c r="L301" t="inlineStr">
        <is>
          <t>Kích thước vỏ 150.0x150.0x210mm</t>
        </is>
      </c>
    </row>
    <row r="302">
      <c r="A302" t="inlineStr">
        <is>
          <t>SW-DAMPER-095-BLADE</t>
        </is>
      </c>
      <c r="B302" t="inlineStr">
        <is>
          <t>SW-DAMPER-095</t>
        </is>
      </c>
      <c r="C302" t="inlineStr">
        <is>
          <t>Lá cánh van (1 cánh overlap)</t>
        </is>
      </c>
      <c r="D302" t="inlineStr">
        <is>
          <t>TÔN_CUỘN_MẠ_KẼM</t>
        </is>
      </c>
      <c r="E302" t="inlineStr">
        <is>
          <t>MAT-STEEL-PN-0.75</t>
        </is>
      </c>
      <c r="F302" t="inlineStr">
        <is>
          <t>kg</t>
        </is>
      </c>
      <c r="G302" s="4" t="n">
        <v>0.16214175</v>
      </c>
      <c r="H302" s="2">
        <f>XLOOKUP(B302, '00_TONG_HOP_BAO_GIA'!B:B, '00_TONG_HOP_BAO_GIA'!G:G, 1)</f>
        <v/>
      </c>
      <c r="I302" s="5">
        <f>G302*H302</f>
        <v/>
      </c>
      <c r="J302" s="2">
        <f>XLOOKUP(E302, '06_BANG_GIA_VAT_TU_AP_DUNG'!B:B, '06_BANG_GIA_VAT_TU_AP_DUNG'!C:C, "LỖI_MÃ_VT")</f>
        <v/>
      </c>
      <c r="K302" s="2">
        <f>I302*J302</f>
        <v/>
      </c>
      <c r="L302" t="inlineStr">
        <is>
          <t>1 cánh cao 170mm</t>
        </is>
      </c>
    </row>
    <row r="303">
      <c r="A303" t="inlineStr">
        <is>
          <t>SW-DAMPER-095-AXLE</t>
        </is>
      </c>
      <c r="B303" t="inlineStr">
        <is>
          <t>SW-DAMPER-095</t>
        </is>
      </c>
      <c r="C303" t="inlineStr">
        <is>
          <t>Trục Sus 201 D10</t>
        </is>
      </c>
      <c r="D303" t="inlineStr">
        <is>
          <t>PHỤ_KIỆN_VAN</t>
        </is>
      </c>
      <c r="E303" t="inlineStr">
        <is>
          <t>MAT-DAMPER-TRUC-SUS-201-D10</t>
        </is>
      </c>
      <c r="F303" t="inlineStr">
        <is>
          <t>m</t>
        </is>
      </c>
      <c r="G303" s="4" t="n">
        <v>0.21</v>
      </c>
      <c r="H303" s="2">
        <f>XLOOKUP(B303, '00_TONG_HOP_BAO_GIA'!B:B, '00_TONG_HOP_BAO_GIA'!G:G, 1)</f>
        <v/>
      </c>
      <c r="I303" s="5">
        <f>G303*H303</f>
        <v/>
      </c>
      <c r="J303" s="2">
        <f>XLOOKUP(E303, '06_BANG_GIA_VAT_TU_AP_DUNG'!B:B, '06_BANG_GIA_VAT_TU_AP_DUNG'!C:C, "LỖI_MÃ_VT")</f>
        <v/>
      </c>
      <c r="K303" s="2">
        <f>I303*J303</f>
        <v/>
      </c>
      <c r="L303" t="inlineStr">
        <is>
          <t>1 trục dài 210mm</t>
        </is>
      </c>
    </row>
    <row r="304">
      <c r="A304" t="inlineStr">
        <is>
          <t>SW-DAMPER-095-BEARING</t>
        </is>
      </c>
      <c r="B304" t="inlineStr">
        <is>
          <t>SW-DAMPER-095</t>
        </is>
      </c>
      <c r="C304" t="inlineStr">
        <is>
          <t>Bạc đồng D10</t>
        </is>
      </c>
      <c r="D304" t="inlineStr">
        <is>
          <t>PHỤ_KIỆN_VAN</t>
        </is>
      </c>
      <c r="E304" t="inlineStr">
        <is>
          <t>MAT-DAMPER-BAC-DONG-D10</t>
        </is>
      </c>
      <c r="F304" t="inlineStr">
        <is>
          <t>Đôi</t>
        </is>
      </c>
      <c r="G304" s="4" t="n">
        <v>1</v>
      </c>
      <c r="H304" s="2">
        <f>XLOOKUP(B304, '00_TONG_HOP_BAO_GIA'!B:B, '00_TONG_HOP_BAO_GIA'!G:G, 1)</f>
        <v/>
      </c>
      <c r="I304" s="5">
        <f>G304*H304</f>
        <v/>
      </c>
      <c r="J304" s="2">
        <f>XLOOKUP(E304, '06_BANG_GIA_VAT_TU_AP_DUNG'!B:B, '06_BANG_GIA_VAT_TU_AP_DUNG'!C:C, "LỖI_MÃ_VT")</f>
        <v/>
      </c>
      <c r="K304" s="2">
        <f>I304*J304</f>
        <v/>
      </c>
      <c r="L304" t="inlineStr">
        <is>
          <t>1 đôi bạc đỡ 2 bên thân</t>
        </is>
      </c>
    </row>
    <row r="305">
      <c r="A305" t="inlineStr">
        <is>
          <t>SW-DAMPER-095-HANDLE</t>
        </is>
      </c>
      <c r="B305" t="inlineStr">
        <is>
          <t>SW-DAMPER-095</t>
        </is>
      </c>
      <c r="C305" t="inlineStr">
        <is>
          <t>Tay gạt nhỏ</t>
        </is>
      </c>
      <c r="D305" t="inlineStr">
        <is>
          <t>PHỤ_KIỆN_VAN</t>
        </is>
      </c>
      <c r="E305" t="inlineStr">
        <is>
          <t>MAT-DAMPER-TAY-GAT-NHO</t>
        </is>
      </c>
      <c r="F305" t="inlineStr">
        <is>
          <t>Bộ</t>
        </is>
      </c>
      <c r="G305" s="4" t="n">
        <v>1</v>
      </c>
      <c r="H305" s="2">
        <f>XLOOKUP(B305, '00_TONG_HOP_BAO_GIA'!B:B, '00_TONG_HOP_BAO_GIA'!G:G, 1)</f>
        <v/>
      </c>
      <c r="I305" s="5">
        <f>G305*H305</f>
        <v/>
      </c>
      <c r="J305" s="2">
        <f>XLOOKUP(E305, '06_BANG_GIA_VAT_TU_AP_DUNG'!B:B, '06_BANG_GIA_VAT_TU_AP_DUNG'!C:C, "LỖI_MÃ_VT")</f>
        <v/>
      </c>
      <c r="K305" s="2">
        <f>I305*J305</f>
        <v/>
      </c>
      <c r="L305" t="inlineStr">
        <is>
          <t>Tay gạt khóa vị trí nan (S=0.02m2)</t>
        </is>
      </c>
    </row>
    <row r="306">
      <c r="A306" t="inlineStr">
        <is>
          <t>SW-DAMPER-096-BODY</t>
        </is>
      </c>
      <c r="B306" t="inlineStr">
        <is>
          <t>SW-DAMPER-096</t>
        </is>
      </c>
      <c r="C306" t="inlineStr">
        <is>
          <t>Thân vỏ van VCD bích TDF (0.75mm)</t>
        </is>
      </c>
      <c r="D306" t="inlineStr">
        <is>
          <t>TÔN_CUỘN_MẠ_KẼM</t>
        </is>
      </c>
      <c r="E306" t="inlineStr">
        <is>
          <t>MAT-STEEL-PN-0.75</t>
        </is>
      </c>
      <c r="F306" t="inlineStr">
        <is>
          <t>kg</t>
        </is>
      </c>
      <c r="G306" s="4" t="n">
        <v>1.107792</v>
      </c>
      <c r="H306" s="2">
        <f>XLOOKUP(B306, '00_TONG_HOP_BAO_GIA'!B:B, '00_TONG_HOP_BAO_GIA'!G:G, 1)</f>
        <v/>
      </c>
      <c r="I306" s="5">
        <f>G306*H306</f>
        <v/>
      </c>
      <c r="J306" s="2">
        <f>XLOOKUP(E306, '06_BANG_GIA_VAT_TU_AP_DUNG'!B:B, '06_BANG_GIA_VAT_TU_AP_DUNG'!C:C, "LỖI_MÃ_VT")</f>
        <v/>
      </c>
      <c r="K306" s="2">
        <f>I306*J306</f>
        <v/>
      </c>
      <c r="L306" t="inlineStr">
        <is>
          <t>Kích thước vỏ 200.0x100.0x210mm</t>
        </is>
      </c>
    </row>
    <row r="307">
      <c r="A307" t="inlineStr">
        <is>
          <t>SW-DAMPER-096-BLADE</t>
        </is>
      </c>
      <c r="B307" t="inlineStr">
        <is>
          <t>SW-DAMPER-096</t>
        </is>
      </c>
      <c r="C307" t="inlineStr">
        <is>
          <t>Lá cánh van (1 cánh overlap)</t>
        </is>
      </c>
      <c r="D307" t="inlineStr">
        <is>
          <t>TÔN_CUỘN_MẠ_KẼM</t>
        </is>
      </c>
      <c r="E307" t="inlineStr">
        <is>
          <t>MAT-STEEL-PN-0.75</t>
        </is>
      </c>
      <c r="F307" t="inlineStr">
        <is>
          <t>kg</t>
        </is>
      </c>
      <c r="G307" s="4" t="n">
        <v>0.152604</v>
      </c>
      <c r="H307" s="2">
        <f>XLOOKUP(B307, '00_TONG_HOP_BAO_GIA'!B:B, '00_TONG_HOP_BAO_GIA'!G:G, 1)</f>
        <v/>
      </c>
      <c r="I307" s="5">
        <f>G307*H307</f>
        <v/>
      </c>
      <c r="J307" s="2">
        <f>XLOOKUP(E307, '06_BANG_GIA_VAT_TU_AP_DUNG'!B:B, '06_BANG_GIA_VAT_TU_AP_DUNG'!C:C, "LỖI_MÃ_VT")</f>
        <v/>
      </c>
      <c r="K307" s="2">
        <f>I307*J307</f>
        <v/>
      </c>
      <c r="L307" t="inlineStr">
        <is>
          <t>1 cánh cao 120mm</t>
        </is>
      </c>
    </row>
    <row r="308">
      <c r="A308" t="inlineStr">
        <is>
          <t>SW-DAMPER-096-AXLE</t>
        </is>
      </c>
      <c r="B308" t="inlineStr">
        <is>
          <t>SW-DAMPER-096</t>
        </is>
      </c>
      <c r="C308" t="inlineStr">
        <is>
          <t>Trục Sus 201 D10</t>
        </is>
      </c>
      <c r="D308" t="inlineStr">
        <is>
          <t>PHỤ_KIỆN_VAN</t>
        </is>
      </c>
      <c r="E308" t="inlineStr">
        <is>
          <t>MAT-DAMPER-TRUC-SUS-201-D10</t>
        </is>
      </c>
      <c r="F308" t="inlineStr">
        <is>
          <t>m</t>
        </is>
      </c>
      <c r="G308" s="4" t="n">
        <v>0.26</v>
      </c>
      <c r="H308" s="2">
        <f>XLOOKUP(B308, '00_TONG_HOP_BAO_GIA'!B:B, '00_TONG_HOP_BAO_GIA'!G:G, 1)</f>
        <v/>
      </c>
      <c r="I308" s="5">
        <f>G308*H308</f>
        <v/>
      </c>
      <c r="J308" s="2">
        <f>XLOOKUP(E308, '06_BANG_GIA_VAT_TU_AP_DUNG'!B:B, '06_BANG_GIA_VAT_TU_AP_DUNG'!C:C, "LỖI_MÃ_VT")</f>
        <v/>
      </c>
      <c r="K308" s="2">
        <f>I308*J308</f>
        <v/>
      </c>
      <c r="L308" t="inlineStr">
        <is>
          <t>1 trục dài 260mm</t>
        </is>
      </c>
    </row>
    <row r="309">
      <c r="A309" t="inlineStr">
        <is>
          <t>SW-DAMPER-096-BEARING</t>
        </is>
      </c>
      <c r="B309" t="inlineStr">
        <is>
          <t>SW-DAMPER-096</t>
        </is>
      </c>
      <c r="C309" t="inlineStr">
        <is>
          <t>Bạc đồng D10</t>
        </is>
      </c>
      <c r="D309" t="inlineStr">
        <is>
          <t>PHỤ_KIỆN_VAN</t>
        </is>
      </c>
      <c r="E309" t="inlineStr">
        <is>
          <t>MAT-DAMPER-BAC-DONG-D10</t>
        </is>
      </c>
      <c r="F309" t="inlineStr">
        <is>
          <t>Đôi</t>
        </is>
      </c>
      <c r="G309" s="4" t="n">
        <v>1</v>
      </c>
      <c r="H309" s="2">
        <f>XLOOKUP(B309, '00_TONG_HOP_BAO_GIA'!B:B, '00_TONG_HOP_BAO_GIA'!G:G, 1)</f>
        <v/>
      </c>
      <c r="I309" s="5">
        <f>G309*H309</f>
        <v/>
      </c>
      <c r="J309" s="2">
        <f>XLOOKUP(E309, '06_BANG_GIA_VAT_TU_AP_DUNG'!B:B, '06_BANG_GIA_VAT_TU_AP_DUNG'!C:C, "LỖI_MÃ_VT")</f>
        <v/>
      </c>
      <c r="K309" s="2">
        <f>I309*J309</f>
        <v/>
      </c>
      <c r="L309" t="inlineStr">
        <is>
          <t>1 đôi bạc đỡ 2 bên thân</t>
        </is>
      </c>
    </row>
    <row r="310">
      <c r="A310" t="inlineStr">
        <is>
          <t>SW-DAMPER-096-HANDLE</t>
        </is>
      </c>
      <c r="B310" t="inlineStr">
        <is>
          <t>SW-DAMPER-096</t>
        </is>
      </c>
      <c r="C310" t="inlineStr">
        <is>
          <t>Tay gạt nhỏ</t>
        </is>
      </c>
      <c r="D310" t="inlineStr">
        <is>
          <t>PHỤ_KIỆN_VAN</t>
        </is>
      </c>
      <c r="E310" t="inlineStr">
        <is>
          <t>MAT-DAMPER-TAY-GAT-NHO</t>
        </is>
      </c>
      <c r="F310" t="inlineStr">
        <is>
          <t>Bộ</t>
        </is>
      </c>
      <c r="G310" s="4" t="n">
        <v>1</v>
      </c>
      <c r="H310" s="2">
        <f>XLOOKUP(B310, '00_TONG_HOP_BAO_GIA'!B:B, '00_TONG_HOP_BAO_GIA'!G:G, 1)</f>
        <v/>
      </c>
      <c r="I310" s="5">
        <f>G310*H310</f>
        <v/>
      </c>
      <c r="J310" s="2">
        <f>XLOOKUP(E310, '06_BANG_GIA_VAT_TU_AP_DUNG'!B:B, '06_BANG_GIA_VAT_TU_AP_DUNG'!C:C, "LỖI_MÃ_VT")</f>
        <v/>
      </c>
      <c r="K310" s="2">
        <f>I310*J310</f>
        <v/>
      </c>
      <c r="L310" t="inlineStr">
        <is>
          <t>Tay gạt khóa vị trí nan (S=0.02m2)</t>
        </is>
      </c>
    </row>
    <row r="311">
      <c r="A311" t="inlineStr">
        <is>
          <t>SW-DAMPER-097-BODY</t>
        </is>
      </c>
      <c r="B311" t="inlineStr">
        <is>
          <t>SW-DAMPER-097</t>
        </is>
      </c>
      <c r="C311" t="inlineStr">
        <is>
          <t>Thân vỏ van VCD bích TDF (0.75mm)</t>
        </is>
      </c>
      <c r="D311" t="inlineStr">
        <is>
          <t>TÔN_CUỘN_MẠ_KẼM</t>
        </is>
      </c>
      <c r="E311" t="inlineStr">
        <is>
          <t>MAT-STEEL-PN-0.75</t>
        </is>
      </c>
      <c r="F311" t="inlineStr">
        <is>
          <t>kg</t>
        </is>
      </c>
      <c r="G311" s="4" t="n">
        <v>1.2808845</v>
      </c>
      <c r="H311" s="2">
        <f>XLOOKUP(B311, '00_TONG_HOP_BAO_GIA'!B:B, '00_TONG_HOP_BAO_GIA'!G:G, 1)</f>
        <v/>
      </c>
      <c r="I311" s="5">
        <f>G311*H311</f>
        <v/>
      </c>
      <c r="J311" s="2">
        <f>XLOOKUP(E311, '06_BANG_GIA_VAT_TU_AP_DUNG'!B:B, '06_BANG_GIA_VAT_TU_AP_DUNG'!C:C, "LỖI_MÃ_VT")</f>
        <v/>
      </c>
      <c r="K311" s="2">
        <f>I311*J311</f>
        <v/>
      </c>
      <c r="L311" t="inlineStr">
        <is>
          <t>Kích thước vỏ 200.0x150.0x210mm</t>
        </is>
      </c>
    </row>
    <row r="312">
      <c r="A312" t="inlineStr">
        <is>
          <t>SW-DAMPER-097-BLADE</t>
        </is>
      </c>
      <c r="B312" t="inlineStr">
        <is>
          <t>SW-DAMPER-097</t>
        </is>
      </c>
      <c r="C312" t="inlineStr">
        <is>
          <t>Lá cánh van (1 cánh overlap)</t>
        </is>
      </c>
      <c r="D312" t="inlineStr">
        <is>
          <t>TÔN_CUỘN_MẠ_KẼM</t>
        </is>
      </c>
      <c r="E312" t="inlineStr">
        <is>
          <t>MAT-STEEL-PN-0.75</t>
        </is>
      </c>
      <c r="F312" t="inlineStr">
        <is>
          <t>kg</t>
        </is>
      </c>
      <c r="G312" s="4" t="n">
        <v>0.216189</v>
      </c>
      <c r="H312" s="2">
        <f>XLOOKUP(B312, '00_TONG_HOP_BAO_GIA'!B:B, '00_TONG_HOP_BAO_GIA'!G:G, 1)</f>
        <v/>
      </c>
      <c r="I312" s="5">
        <f>G312*H312</f>
        <v/>
      </c>
      <c r="J312" s="2">
        <f>XLOOKUP(E312, '06_BANG_GIA_VAT_TU_AP_DUNG'!B:B, '06_BANG_GIA_VAT_TU_AP_DUNG'!C:C, "LỖI_MÃ_VT")</f>
        <v/>
      </c>
      <c r="K312" s="2">
        <f>I312*J312</f>
        <v/>
      </c>
      <c r="L312" t="inlineStr">
        <is>
          <t>1 cánh cao 170mm</t>
        </is>
      </c>
    </row>
    <row r="313">
      <c r="A313" t="inlineStr">
        <is>
          <t>SW-DAMPER-097-AXLE</t>
        </is>
      </c>
      <c r="B313" t="inlineStr">
        <is>
          <t>SW-DAMPER-097</t>
        </is>
      </c>
      <c r="C313" t="inlineStr">
        <is>
          <t>Trục Sus 201 D10</t>
        </is>
      </c>
      <c r="D313" t="inlineStr">
        <is>
          <t>PHỤ_KIỆN_VAN</t>
        </is>
      </c>
      <c r="E313" t="inlineStr">
        <is>
          <t>MAT-DAMPER-TRUC-SUS-201-D10</t>
        </is>
      </c>
      <c r="F313" t="inlineStr">
        <is>
          <t>m</t>
        </is>
      </c>
      <c r="G313" s="4" t="n">
        <v>0.26</v>
      </c>
      <c r="H313" s="2">
        <f>XLOOKUP(B313, '00_TONG_HOP_BAO_GIA'!B:B, '00_TONG_HOP_BAO_GIA'!G:G, 1)</f>
        <v/>
      </c>
      <c r="I313" s="5">
        <f>G313*H313</f>
        <v/>
      </c>
      <c r="J313" s="2">
        <f>XLOOKUP(E313, '06_BANG_GIA_VAT_TU_AP_DUNG'!B:B, '06_BANG_GIA_VAT_TU_AP_DUNG'!C:C, "LỖI_MÃ_VT")</f>
        <v/>
      </c>
      <c r="K313" s="2">
        <f>I313*J313</f>
        <v/>
      </c>
      <c r="L313" t="inlineStr">
        <is>
          <t>1 trục dài 260mm</t>
        </is>
      </c>
    </row>
    <row r="314">
      <c r="A314" t="inlineStr">
        <is>
          <t>SW-DAMPER-097-BEARING</t>
        </is>
      </c>
      <c r="B314" t="inlineStr">
        <is>
          <t>SW-DAMPER-097</t>
        </is>
      </c>
      <c r="C314" t="inlineStr">
        <is>
          <t>Bạc đồng D10</t>
        </is>
      </c>
      <c r="D314" t="inlineStr">
        <is>
          <t>PHỤ_KIỆN_VAN</t>
        </is>
      </c>
      <c r="E314" t="inlineStr">
        <is>
          <t>MAT-DAMPER-BAC-DONG-D10</t>
        </is>
      </c>
      <c r="F314" t="inlineStr">
        <is>
          <t>Đôi</t>
        </is>
      </c>
      <c r="G314" s="4" t="n">
        <v>1</v>
      </c>
      <c r="H314" s="2">
        <f>XLOOKUP(B314, '00_TONG_HOP_BAO_GIA'!B:B, '00_TONG_HOP_BAO_GIA'!G:G, 1)</f>
        <v/>
      </c>
      <c r="I314" s="5">
        <f>G314*H314</f>
        <v/>
      </c>
      <c r="J314" s="2">
        <f>XLOOKUP(E314, '06_BANG_GIA_VAT_TU_AP_DUNG'!B:B, '06_BANG_GIA_VAT_TU_AP_DUNG'!C:C, "LỖI_MÃ_VT")</f>
        <v/>
      </c>
      <c r="K314" s="2">
        <f>I314*J314</f>
        <v/>
      </c>
      <c r="L314" t="inlineStr">
        <is>
          <t>1 đôi bạc đỡ 2 bên thân</t>
        </is>
      </c>
    </row>
    <row r="315">
      <c r="A315" t="inlineStr">
        <is>
          <t>SW-DAMPER-097-HANDLE</t>
        </is>
      </c>
      <c r="B315" t="inlineStr">
        <is>
          <t>SW-DAMPER-097</t>
        </is>
      </c>
      <c r="C315" t="inlineStr">
        <is>
          <t>Tay gạt nhỏ</t>
        </is>
      </c>
      <c r="D315" t="inlineStr">
        <is>
          <t>PHỤ_KIỆN_VAN</t>
        </is>
      </c>
      <c r="E315" t="inlineStr">
        <is>
          <t>MAT-DAMPER-TAY-GAT-NHO</t>
        </is>
      </c>
      <c r="F315" t="inlineStr">
        <is>
          <t>Bộ</t>
        </is>
      </c>
      <c r="G315" s="4" t="n">
        <v>1</v>
      </c>
      <c r="H315" s="2">
        <f>XLOOKUP(B315, '00_TONG_HOP_BAO_GIA'!B:B, '00_TONG_HOP_BAO_GIA'!G:G, 1)</f>
        <v/>
      </c>
      <c r="I315" s="5">
        <f>G315*H315</f>
        <v/>
      </c>
      <c r="J315" s="2">
        <f>XLOOKUP(E315, '06_BANG_GIA_VAT_TU_AP_DUNG'!B:B, '06_BANG_GIA_VAT_TU_AP_DUNG'!C:C, "LỖI_MÃ_VT")</f>
        <v/>
      </c>
      <c r="K315" s="2">
        <f>I315*J315</f>
        <v/>
      </c>
      <c r="L315" t="inlineStr">
        <is>
          <t>Tay gạt khóa vị trí nan (S=0.03m2)</t>
        </is>
      </c>
    </row>
    <row r="316">
      <c r="A316" t="inlineStr">
        <is>
          <t>SW-DAMPER-098-BODY</t>
        </is>
      </c>
      <c r="B316" t="inlineStr">
        <is>
          <t>SW-DAMPER-098</t>
        </is>
      </c>
      <c r="C316" t="inlineStr">
        <is>
          <t>Thân vỏ van VCD bích TDF (0.75mm)</t>
        </is>
      </c>
      <c r="D316" t="inlineStr">
        <is>
          <t>TÔN_CUỘN_MẠ_KẼM</t>
        </is>
      </c>
      <c r="E316" t="inlineStr">
        <is>
          <t>MAT-STEEL-PN-0.75</t>
        </is>
      </c>
      <c r="F316" t="inlineStr">
        <is>
          <t>kg</t>
        </is>
      </c>
      <c r="G316" s="4" t="n">
        <v>1.453977</v>
      </c>
      <c r="H316" s="2">
        <f>XLOOKUP(B316, '00_TONG_HOP_BAO_GIA'!B:B, '00_TONG_HOP_BAO_GIA'!G:G, 1)</f>
        <v/>
      </c>
      <c r="I316" s="5">
        <f>G316*H316</f>
        <v/>
      </c>
      <c r="J316" s="2">
        <f>XLOOKUP(E316, '06_BANG_GIA_VAT_TU_AP_DUNG'!B:B, '06_BANG_GIA_VAT_TU_AP_DUNG'!C:C, "LỖI_MÃ_VT")</f>
        <v/>
      </c>
      <c r="K316" s="2">
        <f>I316*J316</f>
        <v/>
      </c>
      <c r="L316" t="inlineStr">
        <is>
          <t>Kích thước vỏ 200.0x200.0x210mm</t>
        </is>
      </c>
    </row>
    <row r="317">
      <c r="A317" t="inlineStr">
        <is>
          <t>SW-DAMPER-098-BLADE</t>
        </is>
      </c>
      <c r="B317" t="inlineStr">
        <is>
          <t>SW-DAMPER-098</t>
        </is>
      </c>
      <c r="C317" t="inlineStr">
        <is>
          <t>Lá cánh van (2 cánh overlap)</t>
        </is>
      </c>
      <c r="D317" t="inlineStr">
        <is>
          <t>TÔN_CUỘN_MẠ_KẼM</t>
        </is>
      </c>
      <c r="E317" t="inlineStr">
        <is>
          <t>MAT-STEEL-PN-0.75</t>
        </is>
      </c>
      <c r="F317" t="inlineStr">
        <is>
          <t>kg</t>
        </is>
      </c>
      <c r="G317" s="4" t="n">
        <v>0.305208</v>
      </c>
      <c r="H317" s="2">
        <f>XLOOKUP(B317, '00_TONG_HOP_BAO_GIA'!B:B, '00_TONG_HOP_BAO_GIA'!G:G, 1)</f>
        <v/>
      </c>
      <c r="I317" s="5">
        <f>G317*H317</f>
        <v/>
      </c>
      <c r="J317" s="2">
        <f>XLOOKUP(E317, '06_BANG_GIA_VAT_TU_AP_DUNG'!B:B, '06_BANG_GIA_VAT_TU_AP_DUNG'!C:C, "LỖI_MÃ_VT")</f>
        <v/>
      </c>
      <c r="K317" s="2">
        <f>I317*J317</f>
        <v/>
      </c>
      <c r="L317" t="inlineStr">
        <is>
          <t>2 cánh cao 120mm</t>
        </is>
      </c>
    </row>
    <row r="318">
      <c r="A318" t="inlineStr">
        <is>
          <t>SW-DAMPER-098-AXLE</t>
        </is>
      </c>
      <c r="B318" t="inlineStr">
        <is>
          <t>SW-DAMPER-098</t>
        </is>
      </c>
      <c r="C318" t="inlineStr">
        <is>
          <t>Trục Sus 201 D10</t>
        </is>
      </c>
      <c r="D318" t="inlineStr">
        <is>
          <t>PHỤ_KIỆN_VAN</t>
        </is>
      </c>
      <c r="E318" t="inlineStr">
        <is>
          <t>MAT-DAMPER-TRUC-SUS-201-D10</t>
        </is>
      </c>
      <c r="F318" t="inlineStr">
        <is>
          <t>m</t>
        </is>
      </c>
      <c r="G318" s="4" t="n">
        <v>0.52</v>
      </c>
      <c r="H318" s="2">
        <f>XLOOKUP(B318, '00_TONG_HOP_BAO_GIA'!B:B, '00_TONG_HOP_BAO_GIA'!G:G, 1)</f>
        <v/>
      </c>
      <c r="I318" s="5">
        <f>G318*H318</f>
        <v/>
      </c>
      <c r="J318" s="2">
        <f>XLOOKUP(E318, '06_BANG_GIA_VAT_TU_AP_DUNG'!B:B, '06_BANG_GIA_VAT_TU_AP_DUNG'!C:C, "LỖI_MÃ_VT")</f>
        <v/>
      </c>
      <c r="K318" s="2">
        <f>I318*J318</f>
        <v/>
      </c>
      <c r="L318" t="inlineStr">
        <is>
          <t>2 trục dài 260mm</t>
        </is>
      </c>
    </row>
    <row r="319">
      <c r="A319" t="inlineStr">
        <is>
          <t>SW-DAMPER-098-BEARING</t>
        </is>
      </c>
      <c r="B319" t="inlineStr">
        <is>
          <t>SW-DAMPER-098</t>
        </is>
      </c>
      <c r="C319" t="inlineStr">
        <is>
          <t>Bạc đồng D10</t>
        </is>
      </c>
      <c r="D319" t="inlineStr">
        <is>
          <t>PHỤ_KIỆN_VAN</t>
        </is>
      </c>
      <c r="E319" t="inlineStr">
        <is>
          <t>MAT-DAMPER-BAC-DONG-D10</t>
        </is>
      </c>
      <c r="F319" t="inlineStr">
        <is>
          <t>Đôi</t>
        </is>
      </c>
      <c r="G319" s="4" t="n">
        <v>2</v>
      </c>
      <c r="H319" s="2">
        <f>XLOOKUP(B319, '00_TONG_HOP_BAO_GIA'!B:B, '00_TONG_HOP_BAO_GIA'!G:G, 1)</f>
        <v/>
      </c>
      <c r="I319" s="5">
        <f>G319*H319</f>
        <v/>
      </c>
      <c r="J319" s="2">
        <f>XLOOKUP(E319, '06_BANG_GIA_VAT_TU_AP_DUNG'!B:B, '06_BANG_GIA_VAT_TU_AP_DUNG'!C:C, "LỖI_MÃ_VT")</f>
        <v/>
      </c>
      <c r="K319" s="2">
        <f>I319*J319</f>
        <v/>
      </c>
      <c r="L319" t="inlineStr">
        <is>
          <t>2 đôi bạc đỡ 2 bên thân</t>
        </is>
      </c>
    </row>
    <row r="320">
      <c r="A320" t="inlineStr">
        <is>
          <t>SW-DAMPER-098-GEAR</t>
        </is>
      </c>
      <c r="B320" t="inlineStr">
        <is>
          <t>SW-DAMPER-098</t>
        </is>
      </c>
      <c r="C320" t="inlineStr">
        <is>
          <t>Bánh răng van nhôm</t>
        </is>
      </c>
      <c r="D320" t="inlineStr">
        <is>
          <t>PHỤ_KIỆN_VAN</t>
        </is>
      </c>
      <c r="E320" t="inlineStr">
        <is>
          <t>MAT-DAMPER-BANH-RANG-VAN-NHOM</t>
        </is>
      </c>
      <c r="F320" t="inlineStr">
        <is>
          <t>Bộ</t>
        </is>
      </c>
      <c r="G320" s="4" t="n">
        <v>1</v>
      </c>
      <c r="H320" s="2">
        <f>XLOOKUP(B320, '00_TONG_HOP_BAO_GIA'!B:B, '00_TONG_HOP_BAO_GIA'!G:G, 1)</f>
        <v/>
      </c>
      <c r="I320" s="5">
        <f>G320*H320</f>
        <v/>
      </c>
      <c r="J320" s="2">
        <f>XLOOKUP(E320, '06_BANG_GIA_VAT_TU_AP_DUNG'!B:B, '06_BANG_GIA_VAT_TU_AP_DUNG'!C:C, "LỖI_MÃ_VT")</f>
        <v/>
      </c>
      <c r="K320" s="2">
        <f>I320*J320</f>
        <v/>
      </c>
      <c r="L320" t="inlineStr">
        <is>
          <t>Cơ cấu liên động bánh răng van</t>
        </is>
      </c>
    </row>
    <row r="321">
      <c r="A321" t="inlineStr">
        <is>
          <t>SW-DAMPER-098-HANDLE</t>
        </is>
      </c>
      <c r="B321" t="inlineStr">
        <is>
          <t>SW-DAMPER-098</t>
        </is>
      </c>
      <c r="C321" t="inlineStr">
        <is>
          <t>Tay gạt nhỏ</t>
        </is>
      </c>
      <c r="D321" t="inlineStr">
        <is>
          <t>PHỤ_KIỆN_VAN</t>
        </is>
      </c>
      <c r="E321" t="inlineStr">
        <is>
          <t>MAT-DAMPER-TAY-GAT-NHO</t>
        </is>
      </c>
      <c r="F321" t="inlineStr">
        <is>
          <t>Bộ</t>
        </is>
      </c>
      <c r="G321" s="4" t="n">
        <v>1</v>
      </c>
      <c r="H321" s="2">
        <f>XLOOKUP(B321, '00_TONG_HOP_BAO_GIA'!B:B, '00_TONG_HOP_BAO_GIA'!G:G, 1)</f>
        <v/>
      </c>
      <c r="I321" s="5">
        <f>G321*H321</f>
        <v/>
      </c>
      <c r="J321" s="2">
        <f>XLOOKUP(E321, '06_BANG_GIA_VAT_TU_AP_DUNG'!B:B, '06_BANG_GIA_VAT_TU_AP_DUNG'!C:C, "LỖI_MÃ_VT")</f>
        <v/>
      </c>
      <c r="K321" s="2">
        <f>I321*J321</f>
        <v/>
      </c>
      <c r="L321" t="inlineStr">
        <is>
          <t>Tay gạt khóa vị trí nan (S=0.04m2)</t>
        </is>
      </c>
    </row>
    <row r="322">
      <c r="A322" t="inlineStr">
        <is>
          <t>SW-DAMPER-099-BODY</t>
        </is>
      </c>
      <c r="B322" t="inlineStr">
        <is>
          <t>SW-DAMPER-099</t>
        </is>
      </c>
      <c r="C322" t="inlineStr">
        <is>
          <t>Thân vỏ van VCD bích TDF (0.75mm)</t>
        </is>
      </c>
      <c r="D322" t="inlineStr">
        <is>
          <t>TÔN_CUỘN_MẠ_KẼM</t>
        </is>
      </c>
      <c r="E322" t="inlineStr">
        <is>
          <t>MAT-STEEL-PN-0.75</t>
        </is>
      </c>
      <c r="F322" t="inlineStr">
        <is>
          <t>kg</t>
        </is>
      </c>
      <c r="G322" s="4" t="n">
        <v>1.453977</v>
      </c>
      <c r="H322" s="2">
        <f>XLOOKUP(B322, '00_TONG_HOP_BAO_GIA'!B:B, '00_TONG_HOP_BAO_GIA'!G:G, 1)</f>
        <v/>
      </c>
      <c r="I322" s="5">
        <f>G322*H322</f>
        <v/>
      </c>
      <c r="J322" s="2">
        <f>XLOOKUP(E322, '06_BANG_GIA_VAT_TU_AP_DUNG'!B:B, '06_BANG_GIA_VAT_TU_AP_DUNG'!C:C, "LỖI_MÃ_VT")</f>
        <v/>
      </c>
      <c r="K322" s="2">
        <f>I322*J322</f>
        <v/>
      </c>
      <c r="L322" t="inlineStr">
        <is>
          <t>Kích thước vỏ 250.0x150.0x210mm</t>
        </is>
      </c>
    </row>
    <row r="323">
      <c r="A323" t="inlineStr">
        <is>
          <t>SW-DAMPER-099-BLADE</t>
        </is>
      </c>
      <c r="B323" t="inlineStr">
        <is>
          <t>SW-DAMPER-099</t>
        </is>
      </c>
      <c r="C323" t="inlineStr">
        <is>
          <t>Lá cánh van (1 cánh overlap)</t>
        </is>
      </c>
      <c r="D323" t="inlineStr">
        <is>
          <t>TÔN_CUỘN_MẠ_KẼM</t>
        </is>
      </c>
      <c r="E323" t="inlineStr">
        <is>
          <t>MAT-STEEL-PN-0.75</t>
        </is>
      </c>
      <c r="F323" t="inlineStr">
        <is>
          <t>kg</t>
        </is>
      </c>
      <c r="G323" s="4" t="n">
        <v>0.27023625</v>
      </c>
      <c r="H323" s="2">
        <f>XLOOKUP(B323, '00_TONG_HOP_BAO_GIA'!B:B, '00_TONG_HOP_BAO_GIA'!G:G, 1)</f>
        <v/>
      </c>
      <c r="I323" s="5">
        <f>G323*H323</f>
        <v/>
      </c>
      <c r="J323" s="2">
        <f>XLOOKUP(E323, '06_BANG_GIA_VAT_TU_AP_DUNG'!B:B, '06_BANG_GIA_VAT_TU_AP_DUNG'!C:C, "LỖI_MÃ_VT")</f>
        <v/>
      </c>
      <c r="K323" s="2">
        <f>I323*J323</f>
        <v/>
      </c>
      <c r="L323" t="inlineStr">
        <is>
          <t>1 cánh cao 170mm</t>
        </is>
      </c>
    </row>
    <row r="324">
      <c r="A324" t="inlineStr">
        <is>
          <t>SW-DAMPER-099-AXLE</t>
        </is>
      </c>
      <c r="B324" t="inlineStr">
        <is>
          <t>SW-DAMPER-099</t>
        </is>
      </c>
      <c r="C324" t="inlineStr">
        <is>
          <t>Trục Sus 201 D10</t>
        </is>
      </c>
      <c r="D324" t="inlineStr">
        <is>
          <t>PHỤ_KIỆN_VAN</t>
        </is>
      </c>
      <c r="E324" t="inlineStr">
        <is>
          <t>MAT-DAMPER-TRUC-SUS-201-D10</t>
        </is>
      </c>
      <c r="F324" t="inlineStr">
        <is>
          <t>m</t>
        </is>
      </c>
      <c r="G324" s="4" t="n">
        <v>0.31</v>
      </c>
      <c r="H324" s="2">
        <f>XLOOKUP(B324, '00_TONG_HOP_BAO_GIA'!B:B, '00_TONG_HOP_BAO_GIA'!G:G, 1)</f>
        <v/>
      </c>
      <c r="I324" s="5">
        <f>G324*H324</f>
        <v/>
      </c>
      <c r="J324" s="2">
        <f>XLOOKUP(E324, '06_BANG_GIA_VAT_TU_AP_DUNG'!B:B, '06_BANG_GIA_VAT_TU_AP_DUNG'!C:C, "LỖI_MÃ_VT")</f>
        <v/>
      </c>
      <c r="K324" s="2">
        <f>I324*J324</f>
        <v/>
      </c>
      <c r="L324" t="inlineStr">
        <is>
          <t>1 trục dài 310mm</t>
        </is>
      </c>
    </row>
    <row r="325">
      <c r="A325" t="inlineStr">
        <is>
          <t>SW-DAMPER-099-BEARING</t>
        </is>
      </c>
      <c r="B325" t="inlineStr">
        <is>
          <t>SW-DAMPER-099</t>
        </is>
      </c>
      <c r="C325" t="inlineStr">
        <is>
          <t>Bạc đồng D10</t>
        </is>
      </c>
      <c r="D325" t="inlineStr">
        <is>
          <t>PHỤ_KIỆN_VAN</t>
        </is>
      </c>
      <c r="E325" t="inlineStr">
        <is>
          <t>MAT-DAMPER-BAC-DONG-D10</t>
        </is>
      </c>
      <c r="F325" t="inlineStr">
        <is>
          <t>Đôi</t>
        </is>
      </c>
      <c r="G325" s="4" t="n">
        <v>1</v>
      </c>
      <c r="H325" s="2">
        <f>XLOOKUP(B325, '00_TONG_HOP_BAO_GIA'!B:B, '00_TONG_HOP_BAO_GIA'!G:G, 1)</f>
        <v/>
      </c>
      <c r="I325" s="5">
        <f>G325*H325</f>
        <v/>
      </c>
      <c r="J325" s="2">
        <f>XLOOKUP(E325, '06_BANG_GIA_VAT_TU_AP_DUNG'!B:B, '06_BANG_GIA_VAT_TU_AP_DUNG'!C:C, "LỖI_MÃ_VT")</f>
        <v/>
      </c>
      <c r="K325" s="2">
        <f>I325*J325</f>
        <v/>
      </c>
      <c r="L325" t="inlineStr">
        <is>
          <t>1 đôi bạc đỡ 2 bên thân</t>
        </is>
      </c>
    </row>
    <row r="326">
      <c r="A326" t="inlineStr">
        <is>
          <t>SW-DAMPER-099-HANDLE</t>
        </is>
      </c>
      <c r="B326" t="inlineStr">
        <is>
          <t>SW-DAMPER-099</t>
        </is>
      </c>
      <c r="C326" t="inlineStr">
        <is>
          <t>Tay gạt nhỏ</t>
        </is>
      </c>
      <c r="D326" t="inlineStr">
        <is>
          <t>PHỤ_KIỆN_VAN</t>
        </is>
      </c>
      <c r="E326" t="inlineStr">
        <is>
          <t>MAT-DAMPER-TAY-GAT-NHO</t>
        </is>
      </c>
      <c r="F326" t="inlineStr">
        <is>
          <t>Bộ</t>
        </is>
      </c>
      <c r="G326" s="4" t="n">
        <v>1</v>
      </c>
      <c r="H326" s="2">
        <f>XLOOKUP(B326, '00_TONG_HOP_BAO_GIA'!B:B, '00_TONG_HOP_BAO_GIA'!G:G, 1)</f>
        <v/>
      </c>
      <c r="I326" s="5">
        <f>G326*H326</f>
        <v/>
      </c>
      <c r="J326" s="2">
        <f>XLOOKUP(E326, '06_BANG_GIA_VAT_TU_AP_DUNG'!B:B, '06_BANG_GIA_VAT_TU_AP_DUNG'!C:C, "LỖI_MÃ_VT")</f>
        <v/>
      </c>
      <c r="K326" s="2">
        <f>I326*J326</f>
        <v/>
      </c>
      <c r="L326" t="inlineStr">
        <is>
          <t>Tay gạt khóa vị trí nan (S=0.04m2)</t>
        </is>
      </c>
    </row>
    <row r="327">
      <c r="A327" t="inlineStr">
        <is>
          <t>SW-DAMPER-100-BODY</t>
        </is>
      </c>
      <c r="B327" t="inlineStr">
        <is>
          <t>SW-DAMPER-100</t>
        </is>
      </c>
      <c r="C327" t="inlineStr">
        <is>
          <t>Thân vỏ van VCD bích TDF (0.75mm)</t>
        </is>
      </c>
      <c r="D327" t="inlineStr">
        <is>
          <t>TÔN_CUỘN_MẠ_KẼM</t>
        </is>
      </c>
      <c r="E327" t="inlineStr">
        <is>
          <t>MAT-STEEL-PN-0.75</t>
        </is>
      </c>
      <c r="F327" t="inlineStr">
        <is>
          <t>kg</t>
        </is>
      </c>
      <c r="G327" s="4" t="n">
        <v>1.6270695</v>
      </c>
      <c r="H327" s="2">
        <f>XLOOKUP(B327, '00_TONG_HOP_BAO_GIA'!B:B, '00_TONG_HOP_BAO_GIA'!G:G, 1)</f>
        <v/>
      </c>
      <c r="I327" s="5">
        <f>G327*H327</f>
        <v/>
      </c>
      <c r="J327" s="2">
        <f>XLOOKUP(E327, '06_BANG_GIA_VAT_TU_AP_DUNG'!B:B, '06_BANG_GIA_VAT_TU_AP_DUNG'!C:C, "LỖI_MÃ_VT")</f>
        <v/>
      </c>
      <c r="K327" s="2">
        <f>I327*J327</f>
        <v/>
      </c>
      <c r="L327" t="inlineStr">
        <is>
          <t>Kích thước vỏ 250.0x200.0x210mm</t>
        </is>
      </c>
    </row>
    <row r="328">
      <c r="A328" t="inlineStr">
        <is>
          <t>SW-DAMPER-100-BLADE</t>
        </is>
      </c>
      <c r="B328" t="inlineStr">
        <is>
          <t>SW-DAMPER-100</t>
        </is>
      </c>
      <c r="C328" t="inlineStr">
        <is>
          <t>Lá cánh van (2 cánh overlap)</t>
        </is>
      </c>
      <c r="D328" t="inlineStr">
        <is>
          <t>TÔN_CUỘN_MẠ_KẼM</t>
        </is>
      </c>
      <c r="E328" t="inlineStr">
        <is>
          <t>MAT-STEEL-PN-0.75</t>
        </is>
      </c>
      <c r="F328" t="inlineStr">
        <is>
          <t>kg</t>
        </is>
      </c>
      <c r="G328" s="4" t="n">
        <v>0.38151</v>
      </c>
      <c r="H328" s="2">
        <f>XLOOKUP(B328, '00_TONG_HOP_BAO_GIA'!B:B, '00_TONG_HOP_BAO_GIA'!G:G, 1)</f>
        <v/>
      </c>
      <c r="I328" s="5">
        <f>G328*H328</f>
        <v/>
      </c>
      <c r="J328" s="2">
        <f>XLOOKUP(E328, '06_BANG_GIA_VAT_TU_AP_DUNG'!B:B, '06_BANG_GIA_VAT_TU_AP_DUNG'!C:C, "LỖI_MÃ_VT")</f>
        <v/>
      </c>
      <c r="K328" s="2">
        <f>I328*J328</f>
        <v/>
      </c>
      <c r="L328" t="inlineStr">
        <is>
          <t>2 cánh cao 120mm</t>
        </is>
      </c>
    </row>
    <row r="329">
      <c r="A329" t="inlineStr">
        <is>
          <t>SW-DAMPER-100-AXLE</t>
        </is>
      </c>
      <c r="B329" t="inlineStr">
        <is>
          <t>SW-DAMPER-100</t>
        </is>
      </c>
      <c r="C329" t="inlineStr">
        <is>
          <t>Trục Sus 201 D10</t>
        </is>
      </c>
      <c r="D329" t="inlineStr">
        <is>
          <t>PHỤ_KIỆN_VAN</t>
        </is>
      </c>
      <c r="E329" t="inlineStr">
        <is>
          <t>MAT-DAMPER-TRUC-SUS-201-D10</t>
        </is>
      </c>
      <c r="F329" t="inlineStr">
        <is>
          <t>m</t>
        </is>
      </c>
      <c r="G329" s="4" t="n">
        <v>0.62</v>
      </c>
      <c r="H329" s="2">
        <f>XLOOKUP(B329, '00_TONG_HOP_BAO_GIA'!B:B, '00_TONG_HOP_BAO_GIA'!G:G, 1)</f>
        <v/>
      </c>
      <c r="I329" s="5">
        <f>G329*H329</f>
        <v/>
      </c>
      <c r="J329" s="2">
        <f>XLOOKUP(E329, '06_BANG_GIA_VAT_TU_AP_DUNG'!B:B, '06_BANG_GIA_VAT_TU_AP_DUNG'!C:C, "LỖI_MÃ_VT")</f>
        <v/>
      </c>
      <c r="K329" s="2">
        <f>I329*J329</f>
        <v/>
      </c>
      <c r="L329" t="inlineStr">
        <is>
          <t>2 trục dài 310mm</t>
        </is>
      </c>
    </row>
    <row r="330">
      <c r="A330" t="inlineStr">
        <is>
          <t>SW-DAMPER-100-BEARING</t>
        </is>
      </c>
      <c r="B330" t="inlineStr">
        <is>
          <t>SW-DAMPER-100</t>
        </is>
      </c>
      <c r="C330" t="inlineStr">
        <is>
          <t>Bạc đồng D10</t>
        </is>
      </c>
      <c r="D330" t="inlineStr">
        <is>
          <t>PHỤ_KIỆN_VAN</t>
        </is>
      </c>
      <c r="E330" t="inlineStr">
        <is>
          <t>MAT-DAMPER-BAC-DONG-D10</t>
        </is>
      </c>
      <c r="F330" t="inlineStr">
        <is>
          <t>Đôi</t>
        </is>
      </c>
      <c r="G330" s="4" t="n">
        <v>2</v>
      </c>
      <c r="H330" s="2">
        <f>XLOOKUP(B330, '00_TONG_HOP_BAO_GIA'!B:B, '00_TONG_HOP_BAO_GIA'!G:G, 1)</f>
        <v/>
      </c>
      <c r="I330" s="5">
        <f>G330*H330</f>
        <v/>
      </c>
      <c r="J330" s="2">
        <f>XLOOKUP(E330, '06_BANG_GIA_VAT_TU_AP_DUNG'!B:B, '06_BANG_GIA_VAT_TU_AP_DUNG'!C:C, "LỖI_MÃ_VT")</f>
        <v/>
      </c>
      <c r="K330" s="2">
        <f>I330*J330</f>
        <v/>
      </c>
      <c r="L330" t="inlineStr">
        <is>
          <t>2 đôi bạc đỡ 2 bên thân</t>
        </is>
      </c>
    </row>
    <row r="331">
      <c r="A331" t="inlineStr">
        <is>
          <t>SW-DAMPER-100-GEAR</t>
        </is>
      </c>
      <c r="B331" t="inlineStr">
        <is>
          <t>SW-DAMPER-100</t>
        </is>
      </c>
      <c r="C331" t="inlineStr">
        <is>
          <t>Bánh răng van nhôm</t>
        </is>
      </c>
      <c r="D331" t="inlineStr">
        <is>
          <t>PHỤ_KIỆN_VAN</t>
        </is>
      </c>
      <c r="E331" t="inlineStr">
        <is>
          <t>MAT-DAMPER-BANH-RANG-VAN-NHOM</t>
        </is>
      </c>
      <c r="F331" t="inlineStr">
        <is>
          <t>Bộ</t>
        </is>
      </c>
      <c r="G331" s="4" t="n">
        <v>1</v>
      </c>
      <c r="H331" s="2">
        <f>XLOOKUP(B331, '00_TONG_HOP_BAO_GIA'!B:B, '00_TONG_HOP_BAO_GIA'!G:G, 1)</f>
        <v/>
      </c>
      <c r="I331" s="5">
        <f>G331*H331</f>
        <v/>
      </c>
      <c r="J331" s="2">
        <f>XLOOKUP(E331, '06_BANG_GIA_VAT_TU_AP_DUNG'!B:B, '06_BANG_GIA_VAT_TU_AP_DUNG'!C:C, "LỖI_MÃ_VT")</f>
        <v/>
      </c>
      <c r="K331" s="2">
        <f>I331*J331</f>
        <v/>
      </c>
      <c r="L331" t="inlineStr">
        <is>
          <t>Cơ cấu liên động bánh răng van</t>
        </is>
      </c>
    </row>
    <row r="332">
      <c r="A332" t="inlineStr">
        <is>
          <t>SW-DAMPER-100-HANDLE</t>
        </is>
      </c>
      <c r="B332" t="inlineStr">
        <is>
          <t>SW-DAMPER-100</t>
        </is>
      </c>
      <c r="C332" t="inlineStr">
        <is>
          <t>Tay gạt nhỏ</t>
        </is>
      </c>
      <c r="D332" t="inlineStr">
        <is>
          <t>PHỤ_KIỆN_VAN</t>
        </is>
      </c>
      <c r="E332" t="inlineStr">
        <is>
          <t>MAT-DAMPER-TAY-GAT-NHO</t>
        </is>
      </c>
      <c r="F332" t="inlineStr">
        <is>
          <t>Bộ</t>
        </is>
      </c>
      <c r="G332" s="4" t="n">
        <v>1</v>
      </c>
      <c r="H332" s="2">
        <f>XLOOKUP(B332, '00_TONG_HOP_BAO_GIA'!B:B, '00_TONG_HOP_BAO_GIA'!G:G, 1)</f>
        <v/>
      </c>
      <c r="I332" s="5">
        <f>G332*H332</f>
        <v/>
      </c>
      <c r="J332" s="2">
        <f>XLOOKUP(E332, '06_BANG_GIA_VAT_TU_AP_DUNG'!B:B, '06_BANG_GIA_VAT_TU_AP_DUNG'!C:C, "LỖI_MÃ_VT")</f>
        <v/>
      </c>
      <c r="K332" s="2">
        <f>I332*J332</f>
        <v/>
      </c>
      <c r="L332" t="inlineStr">
        <is>
          <t>Tay gạt khóa vị trí nan (S=0.05m2)</t>
        </is>
      </c>
    </row>
    <row r="333">
      <c r="A333" t="inlineStr">
        <is>
          <t>SW-DAMPER-101-BODY</t>
        </is>
      </c>
      <c r="B333" t="inlineStr">
        <is>
          <t>SW-DAMPER-101</t>
        </is>
      </c>
      <c r="C333" t="inlineStr">
        <is>
          <t>Thân vỏ van VCD bích TDF (0.75mm)</t>
        </is>
      </c>
      <c r="D333" t="inlineStr">
        <is>
          <t>TÔN_CUỘN_MẠ_KẼM</t>
        </is>
      </c>
      <c r="E333" t="inlineStr">
        <is>
          <t>MAT-STEEL-PN-0.75</t>
        </is>
      </c>
      <c r="F333" t="inlineStr">
        <is>
          <t>kg</t>
        </is>
      </c>
      <c r="G333" s="4" t="n">
        <v>1.800162</v>
      </c>
      <c r="H333" s="2">
        <f>XLOOKUP(B333, '00_TONG_HOP_BAO_GIA'!B:B, '00_TONG_HOP_BAO_GIA'!G:G, 1)</f>
        <v/>
      </c>
      <c r="I333" s="5">
        <f>G333*H333</f>
        <v/>
      </c>
      <c r="J333" s="2">
        <f>XLOOKUP(E333, '06_BANG_GIA_VAT_TU_AP_DUNG'!B:B, '06_BANG_GIA_VAT_TU_AP_DUNG'!C:C, "LỖI_MÃ_VT")</f>
        <v/>
      </c>
      <c r="K333" s="2">
        <f>I333*J333</f>
        <v/>
      </c>
      <c r="L333" t="inlineStr">
        <is>
          <t>Kích thước vỏ 300.0x200.0x210mm</t>
        </is>
      </c>
    </row>
    <row r="334">
      <c r="A334" t="inlineStr">
        <is>
          <t>SW-DAMPER-101-BLADE</t>
        </is>
      </c>
      <c r="B334" t="inlineStr">
        <is>
          <t>SW-DAMPER-101</t>
        </is>
      </c>
      <c r="C334" t="inlineStr">
        <is>
          <t>Lá cánh van (2 cánh overlap)</t>
        </is>
      </c>
      <c r="D334" t="inlineStr">
        <is>
          <t>TÔN_CUỘN_MẠ_KẼM</t>
        </is>
      </c>
      <c r="E334" t="inlineStr">
        <is>
          <t>MAT-STEEL-PN-0.75</t>
        </is>
      </c>
      <c r="F334" t="inlineStr">
        <is>
          <t>kg</t>
        </is>
      </c>
      <c r="G334" s="4" t="n">
        <v>0.4578119999999999</v>
      </c>
      <c r="H334" s="2">
        <f>XLOOKUP(B334, '00_TONG_HOP_BAO_GIA'!B:B, '00_TONG_HOP_BAO_GIA'!G:G, 1)</f>
        <v/>
      </c>
      <c r="I334" s="5">
        <f>G334*H334</f>
        <v/>
      </c>
      <c r="J334" s="2">
        <f>XLOOKUP(E334, '06_BANG_GIA_VAT_TU_AP_DUNG'!B:B, '06_BANG_GIA_VAT_TU_AP_DUNG'!C:C, "LỖI_MÃ_VT")</f>
        <v/>
      </c>
      <c r="K334" s="2">
        <f>I334*J334</f>
        <v/>
      </c>
      <c r="L334" t="inlineStr">
        <is>
          <t>2 cánh cao 120mm</t>
        </is>
      </c>
    </row>
    <row r="335">
      <c r="A335" t="inlineStr">
        <is>
          <t>SW-DAMPER-101-AXLE</t>
        </is>
      </c>
      <c r="B335" t="inlineStr">
        <is>
          <t>SW-DAMPER-101</t>
        </is>
      </c>
      <c r="C335" t="inlineStr">
        <is>
          <t>Trục Sus 201 D10</t>
        </is>
      </c>
      <c r="D335" t="inlineStr">
        <is>
          <t>PHỤ_KIỆN_VAN</t>
        </is>
      </c>
      <c r="E335" t="inlineStr">
        <is>
          <t>MAT-DAMPER-TRUC-SUS-201-D10</t>
        </is>
      </c>
      <c r="F335" t="inlineStr">
        <is>
          <t>m</t>
        </is>
      </c>
      <c r="G335" s="4" t="n">
        <v>0.72</v>
      </c>
      <c r="H335" s="2">
        <f>XLOOKUP(B335, '00_TONG_HOP_BAO_GIA'!B:B, '00_TONG_HOP_BAO_GIA'!G:G, 1)</f>
        <v/>
      </c>
      <c r="I335" s="5">
        <f>G335*H335</f>
        <v/>
      </c>
      <c r="J335" s="2">
        <f>XLOOKUP(E335, '06_BANG_GIA_VAT_TU_AP_DUNG'!B:B, '06_BANG_GIA_VAT_TU_AP_DUNG'!C:C, "LỖI_MÃ_VT")</f>
        <v/>
      </c>
      <c r="K335" s="2">
        <f>I335*J335</f>
        <v/>
      </c>
      <c r="L335" t="inlineStr">
        <is>
          <t>2 trục dài 360mm</t>
        </is>
      </c>
    </row>
    <row r="336">
      <c r="A336" t="inlineStr">
        <is>
          <t>SW-DAMPER-101-BEARING</t>
        </is>
      </c>
      <c r="B336" t="inlineStr">
        <is>
          <t>SW-DAMPER-101</t>
        </is>
      </c>
      <c r="C336" t="inlineStr">
        <is>
          <t>Bạc đồng D10</t>
        </is>
      </c>
      <c r="D336" t="inlineStr">
        <is>
          <t>PHỤ_KIỆN_VAN</t>
        </is>
      </c>
      <c r="E336" t="inlineStr">
        <is>
          <t>MAT-DAMPER-BAC-DONG-D10</t>
        </is>
      </c>
      <c r="F336" t="inlineStr">
        <is>
          <t>Đôi</t>
        </is>
      </c>
      <c r="G336" s="4" t="n">
        <v>2</v>
      </c>
      <c r="H336" s="2">
        <f>XLOOKUP(B336, '00_TONG_HOP_BAO_GIA'!B:B, '00_TONG_HOP_BAO_GIA'!G:G, 1)</f>
        <v/>
      </c>
      <c r="I336" s="5">
        <f>G336*H336</f>
        <v/>
      </c>
      <c r="J336" s="2">
        <f>XLOOKUP(E336, '06_BANG_GIA_VAT_TU_AP_DUNG'!B:B, '06_BANG_GIA_VAT_TU_AP_DUNG'!C:C, "LỖI_MÃ_VT")</f>
        <v/>
      </c>
      <c r="K336" s="2">
        <f>I336*J336</f>
        <v/>
      </c>
      <c r="L336" t="inlineStr">
        <is>
          <t>2 đôi bạc đỡ 2 bên thân</t>
        </is>
      </c>
    </row>
    <row r="337">
      <c r="A337" t="inlineStr">
        <is>
          <t>SW-DAMPER-101-GEAR</t>
        </is>
      </c>
      <c r="B337" t="inlineStr">
        <is>
          <t>SW-DAMPER-101</t>
        </is>
      </c>
      <c r="C337" t="inlineStr">
        <is>
          <t>Bánh răng van nhôm</t>
        </is>
      </c>
      <c r="D337" t="inlineStr">
        <is>
          <t>PHỤ_KIỆN_VAN</t>
        </is>
      </c>
      <c r="E337" t="inlineStr">
        <is>
          <t>MAT-DAMPER-BANH-RANG-VAN-NHOM</t>
        </is>
      </c>
      <c r="F337" t="inlineStr">
        <is>
          <t>Bộ</t>
        </is>
      </c>
      <c r="G337" s="4" t="n">
        <v>1</v>
      </c>
      <c r="H337" s="2">
        <f>XLOOKUP(B337, '00_TONG_HOP_BAO_GIA'!B:B, '00_TONG_HOP_BAO_GIA'!G:G, 1)</f>
        <v/>
      </c>
      <c r="I337" s="5">
        <f>G337*H337</f>
        <v/>
      </c>
      <c r="J337" s="2">
        <f>XLOOKUP(E337, '06_BANG_GIA_VAT_TU_AP_DUNG'!B:B, '06_BANG_GIA_VAT_TU_AP_DUNG'!C:C, "LỖI_MÃ_VT")</f>
        <v/>
      </c>
      <c r="K337" s="2">
        <f>I337*J337</f>
        <v/>
      </c>
      <c r="L337" t="inlineStr">
        <is>
          <t>Cơ cấu liên động bánh răng van</t>
        </is>
      </c>
    </row>
    <row r="338">
      <c r="A338" t="inlineStr">
        <is>
          <t>SW-DAMPER-101-HANDLE</t>
        </is>
      </c>
      <c r="B338" t="inlineStr">
        <is>
          <t>SW-DAMPER-101</t>
        </is>
      </c>
      <c r="C338" t="inlineStr">
        <is>
          <t>Tay gạt nhỏ</t>
        </is>
      </c>
      <c r="D338" t="inlineStr">
        <is>
          <t>PHỤ_KIỆN_VAN</t>
        </is>
      </c>
      <c r="E338" t="inlineStr">
        <is>
          <t>MAT-DAMPER-TAY-GAT-NHO</t>
        </is>
      </c>
      <c r="F338" t="inlineStr">
        <is>
          <t>Bộ</t>
        </is>
      </c>
      <c r="G338" s="4" t="n">
        <v>1</v>
      </c>
      <c r="H338" s="2">
        <f>XLOOKUP(B338, '00_TONG_HOP_BAO_GIA'!B:B, '00_TONG_HOP_BAO_GIA'!G:G, 1)</f>
        <v/>
      </c>
      <c r="I338" s="5">
        <f>G338*H338</f>
        <v/>
      </c>
      <c r="J338" s="2">
        <f>XLOOKUP(E338, '06_BANG_GIA_VAT_TU_AP_DUNG'!B:B, '06_BANG_GIA_VAT_TU_AP_DUNG'!C:C, "LỖI_MÃ_VT")</f>
        <v/>
      </c>
      <c r="K338" s="2">
        <f>I338*J338</f>
        <v/>
      </c>
      <c r="L338" t="inlineStr">
        <is>
          <t>Tay gạt khóa vị trí nan (S=0.06m2)</t>
        </is>
      </c>
    </row>
    <row r="339">
      <c r="A339" t="inlineStr">
        <is>
          <t>SW-DAMPER-102-BODY</t>
        </is>
      </c>
      <c r="B339" t="inlineStr">
        <is>
          <t>SW-DAMPER-102</t>
        </is>
      </c>
      <c r="C339" t="inlineStr">
        <is>
          <t>Thân vỏ van VCD bích TDF (0.75mm)</t>
        </is>
      </c>
      <c r="D339" t="inlineStr">
        <is>
          <t>TÔN_CUỘN_MẠ_KẼM</t>
        </is>
      </c>
      <c r="E339" t="inlineStr">
        <is>
          <t>MAT-STEEL-PN-0.75</t>
        </is>
      </c>
      <c r="F339" t="inlineStr">
        <is>
          <t>kg</t>
        </is>
      </c>
      <c r="G339" s="4" t="n">
        <v>1.9732545</v>
      </c>
      <c r="H339" s="2">
        <f>XLOOKUP(B339, '00_TONG_HOP_BAO_GIA'!B:B, '00_TONG_HOP_BAO_GIA'!G:G, 1)</f>
        <v/>
      </c>
      <c r="I339" s="5">
        <f>G339*H339</f>
        <v/>
      </c>
      <c r="J339" s="2">
        <f>XLOOKUP(E339, '06_BANG_GIA_VAT_TU_AP_DUNG'!B:B, '06_BANG_GIA_VAT_TU_AP_DUNG'!C:C, "LỖI_MÃ_VT")</f>
        <v/>
      </c>
      <c r="K339" s="2">
        <f>I339*J339</f>
        <v/>
      </c>
      <c r="L339" t="inlineStr">
        <is>
          <t>Kích thước vỏ 300.0x250.0x210mm</t>
        </is>
      </c>
    </row>
    <row r="340">
      <c r="A340" t="inlineStr">
        <is>
          <t>SW-DAMPER-102-BLADE</t>
        </is>
      </c>
      <c r="B340" t="inlineStr">
        <is>
          <t>SW-DAMPER-102</t>
        </is>
      </c>
      <c r="C340" t="inlineStr">
        <is>
          <t>Lá cánh van (2 cánh overlap)</t>
        </is>
      </c>
      <c r="D340" t="inlineStr">
        <is>
          <t>TÔN_CUỘN_MẠ_KẼM</t>
        </is>
      </c>
      <c r="E340" t="inlineStr">
        <is>
          <t>MAT-STEEL-PN-0.75</t>
        </is>
      </c>
      <c r="F340" t="inlineStr">
        <is>
          <t>kg</t>
        </is>
      </c>
      <c r="G340" s="4" t="n">
        <v>0.5531894999999999</v>
      </c>
      <c r="H340" s="2">
        <f>XLOOKUP(B340, '00_TONG_HOP_BAO_GIA'!B:B, '00_TONG_HOP_BAO_GIA'!G:G, 1)</f>
        <v/>
      </c>
      <c r="I340" s="5">
        <f>G340*H340</f>
        <v/>
      </c>
      <c r="J340" s="2">
        <f>XLOOKUP(E340, '06_BANG_GIA_VAT_TU_AP_DUNG'!B:B, '06_BANG_GIA_VAT_TU_AP_DUNG'!C:C, "LỖI_MÃ_VT")</f>
        <v/>
      </c>
      <c r="K340" s="2">
        <f>I340*J340</f>
        <v/>
      </c>
      <c r="L340" t="inlineStr">
        <is>
          <t>2 cánh cao 145mm</t>
        </is>
      </c>
    </row>
    <row r="341">
      <c r="A341" t="inlineStr">
        <is>
          <t>SW-DAMPER-102-AXLE</t>
        </is>
      </c>
      <c r="B341" t="inlineStr">
        <is>
          <t>SW-DAMPER-102</t>
        </is>
      </c>
      <c r="C341" t="inlineStr">
        <is>
          <t>Trục Sus 201 D10</t>
        </is>
      </c>
      <c r="D341" t="inlineStr">
        <is>
          <t>PHỤ_KIỆN_VAN</t>
        </is>
      </c>
      <c r="E341" t="inlineStr">
        <is>
          <t>MAT-DAMPER-TRUC-SUS-201-D10</t>
        </is>
      </c>
      <c r="F341" t="inlineStr">
        <is>
          <t>m</t>
        </is>
      </c>
      <c r="G341" s="4" t="n">
        <v>0.72</v>
      </c>
      <c r="H341" s="2">
        <f>XLOOKUP(B341, '00_TONG_HOP_BAO_GIA'!B:B, '00_TONG_HOP_BAO_GIA'!G:G, 1)</f>
        <v/>
      </c>
      <c r="I341" s="5">
        <f>G341*H341</f>
        <v/>
      </c>
      <c r="J341" s="2">
        <f>XLOOKUP(E341, '06_BANG_GIA_VAT_TU_AP_DUNG'!B:B, '06_BANG_GIA_VAT_TU_AP_DUNG'!C:C, "LỖI_MÃ_VT")</f>
        <v/>
      </c>
      <c r="K341" s="2">
        <f>I341*J341</f>
        <v/>
      </c>
      <c r="L341" t="inlineStr">
        <is>
          <t>2 trục dài 360mm</t>
        </is>
      </c>
    </row>
    <row r="342">
      <c r="A342" t="inlineStr">
        <is>
          <t>SW-DAMPER-102-BEARING</t>
        </is>
      </c>
      <c r="B342" t="inlineStr">
        <is>
          <t>SW-DAMPER-102</t>
        </is>
      </c>
      <c r="C342" t="inlineStr">
        <is>
          <t>Bạc đồng D10</t>
        </is>
      </c>
      <c r="D342" t="inlineStr">
        <is>
          <t>PHỤ_KIỆN_VAN</t>
        </is>
      </c>
      <c r="E342" t="inlineStr">
        <is>
          <t>MAT-DAMPER-BAC-DONG-D10</t>
        </is>
      </c>
      <c r="F342" t="inlineStr">
        <is>
          <t>Đôi</t>
        </is>
      </c>
      <c r="G342" s="4" t="n">
        <v>2</v>
      </c>
      <c r="H342" s="2">
        <f>XLOOKUP(B342, '00_TONG_HOP_BAO_GIA'!B:B, '00_TONG_HOP_BAO_GIA'!G:G, 1)</f>
        <v/>
      </c>
      <c r="I342" s="5">
        <f>G342*H342</f>
        <v/>
      </c>
      <c r="J342" s="2">
        <f>XLOOKUP(E342, '06_BANG_GIA_VAT_TU_AP_DUNG'!B:B, '06_BANG_GIA_VAT_TU_AP_DUNG'!C:C, "LỖI_MÃ_VT")</f>
        <v/>
      </c>
      <c r="K342" s="2">
        <f>I342*J342</f>
        <v/>
      </c>
      <c r="L342" t="inlineStr">
        <is>
          <t>2 đôi bạc đỡ 2 bên thân</t>
        </is>
      </c>
    </row>
    <row r="343">
      <c r="A343" t="inlineStr">
        <is>
          <t>SW-DAMPER-102-GEAR</t>
        </is>
      </c>
      <c r="B343" t="inlineStr">
        <is>
          <t>SW-DAMPER-102</t>
        </is>
      </c>
      <c r="C343" t="inlineStr">
        <is>
          <t>Bánh răng van nhôm</t>
        </is>
      </c>
      <c r="D343" t="inlineStr">
        <is>
          <t>PHỤ_KIỆN_VAN</t>
        </is>
      </c>
      <c r="E343" t="inlineStr">
        <is>
          <t>MAT-DAMPER-BANH-RANG-VAN-NHOM</t>
        </is>
      </c>
      <c r="F343" t="inlineStr">
        <is>
          <t>Bộ</t>
        </is>
      </c>
      <c r="G343" s="4" t="n">
        <v>1</v>
      </c>
      <c r="H343" s="2">
        <f>XLOOKUP(B343, '00_TONG_HOP_BAO_GIA'!B:B, '00_TONG_HOP_BAO_GIA'!G:G, 1)</f>
        <v/>
      </c>
      <c r="I343" s="5">
        <f>G343*H343</f>
        <v/>
      </c>
      <c r="J343" s="2">
        <f>XLOOKUP(E343, '06_BANG_GIA_VAT_TU_AP_DUNG'!B:B, '06_BANG_GIA_VAT_TU_AP_DUNG'!C:C, "LỖI_MÃ_VT")</f>
        <v/>
      </c>
      <c r="K343" s="2">
        <f>I343*J343</f>
        <v/>
      </c>
      <c r="L343" t="inlineStr">
        <is>
          <t>Cơ cấu liên động bánh răng van</t>
        </is>
      </c>
    </row>
    <row r="344">
      <c r="A344" t="inlineStr">
        <is>
          <t>SW-DAMPER-102-HANDLE</t>
        </is>
      </c>
      <c r="B344" t="inlineStr">
        <is>
          <t>SW-DAMPER-102</t>
        </is>
      </c>
      <c r="C344" t="inlineStr">
        <is>
          <t>Tay gạt nhỏ</t>
        </is>
      </c>
      <c r="D344" t="inlineStr">
        <is>
          <t>PHỤ_KIỆN_VAN</t>
        </is>
      </c>
      <c r="E344" t="inlineStr">
        <is>
          <t>MAT-DAMPER-TAY-GAT-NHO</t>
        </is>
      </c>
      <c r="F344" t="inlineStr">
        <is>
          <t>Bộ</t>
        </is>
      </c>
      <c r="G344" s="4" t="n">
        <v>1</v>
      </c>
      <c r="H344" s="2">
        <f>XLOOKUP(B344, '00_TONG_HOP_BAO_GIA'!B:B, '00_TONG_HOP_BAO_GIA'!G:G, 1)</f>
        <v/>
      </c>
      <c r="I344" s="5">
        <f>G344*H344</f>
        <v/>
      </c>
      <c r="J344" s="2">
        <f>XLOOKUP(E344, '06_BANG_GIA_VAT_TU_AP_DUNG'!B:B, '06_BANG_GIA_VAT_TU_AP_DUNG'!C:C, "LỖI_MÃ_VT")</f>
        <v/>
      </c>
      <c r="K344" s="2">
        <f>I344*J344</f>
        <v/>
      </c>
      <c r="L344" t="inlineStr">
        <is>
          <t>Tay gạt khóa vị trí nan (S=0.07m2)</t>
        </is>
      </c>
    </row>
    <row r="345">
      <c r="A345" t="inlineStr">
        <is>
          <t>SW-DAMPER-103-BODY</t>
        </is>
      </c>
      <c r="B345" t="inlineStr">
        <is>
          <t>SW-DAMPER-103</t>
        </is>
      </c>
      <c r="C345" t="inlineStr">
        <is>
          <t>Thân vỏ van VCD bích TDF (0.75mm)</t>
        </is>
      </c>
      <c r="D345" t="inlineStr">
        <is>
          <t>TÔN_CUỘN_MẠ_KẼM</t>
        </is>
      </c>
      <c r="E345" t="inlineStr">
        <is>
          <t>MAT-STEEL-PN-0.75</t>
        </is>
      </c>
      <c r="F345" t="inlineStr">
        <is>
          <t>kg</t>
        </is>
      </c>
      <c r="G345" s="4" t="n">
        <v>2.146347</v>
      </c>
      <c r="H345" s="2">
        <f>XLOOKUP(B345, '00_TONG_HOP_BAO_GIA'!B:B, '00_TONG_HOP_BAO_GIA'!G:G, 1)</f>
        <v/>
      </c>
      <c r="I345" s="5">
        <f>G345*H345</f>
        <v/>
      </c>
      <c r="J345" s="2">
        <f>XLOOKUP(E345, '06_BANG_GIA_VAT_TU_AP_DUNG'!B:B, '06_BANG_GIA_VAT_TU_AP_DUNG'!C:C, "LỖI_MÃ_VT")</f>
        <v/>
      </c>
      <c r="K345" s="2">
        <f>I345*J345</f>
        <v/>
      </c>
      <c r="L345" t="inlineStr">
        <is>
          <t>Kích thước vỏ 350.0x250.0x210mm</t>
        </is>
      </c>
    </row>
    <row r="346">
      <c r="A346" t="inlineStr">
        <is>
          <t>SW-DAMPER-103-BLADE</t>
        </is>
      </c>
      <c r="B346" t="inlineStr">
        <is>
          <t>SW-DAMPER-103</t>
        </is>
      </c>
      <c r="C346" t="inlineStr">
        <is>
          <t>Lá cánh van (2 cánh overlap)</t>
        </is>
      </c>
      <c r="D346" t="inlineStr">
        <is>
          <t>TÔN_CUỘN_MẠ_KẼM</t>
        </is>
      </c>
      <c r="E346" t="inlineStr">
        <is>
          <t>MAT-STEEL-PN-0.75</t>
        </is>
      </c>
      <c r="F346" t="inlineStr">
        <is>
          <t>kg</t>
        </is>
      </c>
      <c r="G346" s="4" t="n">
        <v>0.6453877499999999</v>
      </c>
      <c r="H346" s="2">
        <f>XLOOKUP(B346, '00_TONG_HOP_BAO_GIA'!B:B, '00_TONG_HOP_BAO_GIA'!G:G, 1)</f>
        <v/>
      </c>
      <c r="I346" s="5">
        <f>G346*H346</f>
        <v/>
      </c>
      <c r="J346" s="2">
        <f>XLOOKUP(E346, '06_BANG_GIA_VAT_TU_AP_DUNG'!B:B, '06_BANG_GIA_VAT_TU_AP_DUNG'!C:C, "LỖI_MÃ_VT")</f>
        <v/>
      </c>
      <c r="K346" s="2">
        <f>I346*J346</f>
        <v/>
      </c>
      <c r="L346" t="inlineStr">
        <is>
          <t>2 cánh cao 145mm</t>
        </is>
      </c>
    </row>
    <row r="347">
      <c r="A347" t="inlineStr">
        <is>
          <t>SW-DAMPER-103-AXLE</t>
        </is>
      </c>
      <c r="B347" t="inlineStr">
        <is>
          <t>SW-DAMPER-103</t>
        </is>
      </c>
      <c r="C347" t="inlineStr">
        <is>
          <t>Trục Sus 201 D10</t>
        </is>
      </c>
      <c r="D347" t="inlineStr">
        <is>
          <t>PHỤ_KIỆN_VAN</t>
        </is>
      </c>
      <c r="E347" t="inlineStr">
        <is>
          <t>MAT-DAMPER-TRUC-SUS-201-D10</t>
        </is>
      </c>
      <c r="F347" t="inlineStr">
        <is>
          <t>m</t>
        </is>
      </c>
      <c r="G347" s="4" t="n">
        <v>0.82</v>
      </c>
      <c r="H347" s="2">
        <f>XLOOKUP(B347, '00_TONG_HOP_BAO_GIA'!B:B, '00_TONG_HOP_BAO_GIA'!G:G, 1)</f>
        <v/>
      </c>
      <c r="I347" s="5">
        <f>G347*H347</f>
        <v/>
      </c>
      <c r="J347" s="2">
        <f>XLOOKUP(E347, '06_BANG_GIA_VAT_TU_AP_DUNG'!B:B, '06_BANG_GIA_VAT_TU_AP_DUNG'!C:C, "LỖI_MÃ_VT")</f>
        <v/>
      </c>
      <c r="K347" s="2">
        <f>I347*J347</f>
        <v/>
      </c>
      <c r="L347" t="inlineStr">
        <is>
          <t>2 trục dài 410mm</t>
        </is>
      </c>
    </row>
    <row r="348">
      <c r="A348" t="inlineStr">
        <is>
          <t>SW-DAMPER-103-BEARING</t>
        </is>
      </c>
      <c r="B348" t="inlineStr">
        <is>
          <t>SW-DAMPER-103</t>
        </is>
      </c>
      <c r="C348" t="inlineStr">
        <is>
          <t>Bạc đồng D10</t>
        </is>
      </c>
      <c r="D348" t="inlineStr">
        <is>
          <t>PHỤ_KIỆN_VAN</t>
        </is>
      </c>
      <c r="E348" t="inlineStr">
        <is>
          <t>MAT-DAMPER-BAC-DONG-D10</t>
        </is>
      </c>
      <c r="F348" t="inlineStr">
        <is>
          <t>Đôi</t>
        </is>
      </c>
      <c r="G348" s="4" t="n">
        <v>2</v>
      </c>
      <c r="H348" s="2">
        <f>XLOOKUP(B348, '00_TONG_HOP_BAO_GIA'!B:B, '00_TONG_HOP_BAO_GIA'!G:G, 1)</f>
        <v/>
      </c>
      <c r="I348" s="5">
        <f>G348*H348</f>
        <v/>
      </c>
      <c r="J348" s="2">
        <f>XLOOKUP(E348, '06_BANG_GIA_VAT_TU_AP_DUNG'!B:B, '06_BANG_GIA_VAT_TU_AP_DUNG'!C:C, "LỖI_MÃ_VT")</f>
        <v/>
      </c>
      <c r="K348" s="2">
        <f>I348*J348</f>
        <v/>
      </c>
      <c r="L348" t="inlineStr">
        <is>
          <t>2 đôi bạc đỡ 2 bên thân</t>
        </is>
      </c>
    </row>
    <row r="349">
      <c r="A349" t="inlineStr">
        <is>
          <t>SW-DAMPER-103-GEAR</t>
        </is>
      </c>
      <c r="B349" t="inlineStr">
        <is>
          <t>SW-DAMPER-103</t>
        </is>
      </c>
      <c r="C349" t="inlineStr">
        <is>
          <t>Bánh răng van nhôm</t>
        </is>
      </c>
      <c r="D349" t="inlineStr">
        <is>
          <t>PHỤ_KIỆN_VAN</t>
        </is>
      </c>
      <c r="E349" t="inlineStr">
        <is>
          <t>MAT-DAMPER-BANH-RANG-VAN-NHOM</t>
        </is>
      </c>
      <c r="F349" t="inlineStr">
        <is>
          <t>Bộ</t>
        </is>
      </c>
      <c r="G349" s="4" t="n">
        <v>1</v>
      </c>
      <c r="H349" s="2">
        <f>XLOOKUP(B349, '00_TONG_HOP_BAO_GIA'!B:B, '00_TONG_HOP_BAO_GIA'!G:G, 1)</f>
        <v/>
      </c>
      <c r="I349" s="5">
        <f>G349*H349</f>
        <v/>
      </c>
      <c r="J349" s="2">
        <f>XLOOKUP(E349, '06_BANG_GIA_VAT_TU_AP_DUNG'!B:B, '06_BANG_GIA_VAT_TU_AP_DUNG'!C:C, "LỖI_MÃ_VT")</f>
        <v/>
      </c>
      <c r="K349" s="2">
        <f>I349*J349</f>
        <v/>
      </c>
      <c r="L349" t="inlineStr">
        <is>
          <t>Cơ cấu liên động bánh răng van</t>
        </is>
      </c>
    </row>
    <row r="350">
      <c r="A350" t="inlineStr">
        <is>
          <t>SW-DAMPER-103-HANDLE</t>
        </is>
      </c>
      <c r="B350" t="inlineStr">
        <is>
          <t>SW-DAMPER-103</t>
        </is>
      </c>
      <c r="C350" t="inlineStr">
        <is>
          <t>Tay gạt nhỏ</t>
        </is>
      </c>
      <c r="D350" t="inlineStr">
        <is>
          <t>PHỤ_KIỆN_VAN</t>
        </is>
      </c>
      <c r="E350" t="inlineStr">
        <is>
          <t>MAT-DAMPER-TAY-GAT-NHO</t>
        </is>
      </c>
      <c r="F350" t="inlineStr">
        <is>
          <t>Bộ</t>
        </is>
      </c>
      <c r="G350" s="4" t="n">
        <v>1</v>
      </c>
      <c r="H350" s="2">
        <f>XLOOKUP(B350, '00_TONG_HOP_BAO_GIA'!B:B, '00_TONG_HOP_BAO_GIA'!G:G, 1)</f>
        <v/>
      </c>
      <c r="I350" s="5">
        <f>G350*H350</f>
        <v/>
      </c>
      <c r="J350" s="2">
        <f>XLOOKUP(E350, '06_BANG_GIA_VAT_TU_AP_DUNG'!B:B, '06_BANG_GIA_VAT_TU_AP_DUNG'!C:C, "LỖI_MÃ_VT")</f>
        <v/>
      </c>
      <c r="K350" s="2">
        <f>I350*J350</f>
        <v/>
      </c>
      <c r="L350" t="inlineStr">
        <is>
          <t>Tay gạt khóa vị trí nan (S=0.09m2)</t>
        </is>
      </c>
    </row>
    <row r="351">
      <c r="A351" t="inlineStr">
        <is>
          <t>SW-DAMPER-104-BODY</t>
        </is>
      </c>
      <c r="B351" t="inlineStr">
        <is>
          <t>SW-DAMPER-104</t>
        </is>
      </c>
      <c r="C351" t="inlineStr">
        <is>
          <t>Thân vỏ van VCD bích TDF (0.75mm)</t>
        </is>
      </c>
      <c r="D351" t="inlineStr">
        <is>
          <t>TÔN_CUỘN_MẠ_KẼM</t>
        </is>
      </c>
      <c r="E351" t="inlineStr">
        <is>
          <t>MAT-STEEL-PN-0.75</t>
        </is>
      </c>
      <c r="F351" t="inlineStr">
        <is>
          <t>kg</t>
        </is>
      </c>
      <c r="G351" s="4" t="n">
        <v>2.146347</v>
      </c>
      <c r="H351" s="2">
        <f>XLOOKUP(B351, '00_TONG_HOP_BAO_GIA'!B:B, '00_TONG_HOP_BAO_GIA'!G:G, 1)</f>
        <v/>
      </c>
      <c r="I351" s="5">
        <f>G351*H351</f>
        <v/>
      </c>
      <c r="J351" s="2">
        <f>XLOOKUP(E351, '06_BANG_GIA_VAT_TU_AP_DUNG'!B:B, '06_BANG_GIA_VAT_TU_AP_DUNG'!C:C, "LỖI_MÃ_VT")</f>
        <v/>
      </c>
      <c r="K351" s="2">
        <f>I351*J351</f>
        <v/>
      </c>
      <c r="L351" t="inlineStr">
        <is>
          <t>Kích thước vỏ 400.0x200.0x210mm</t>
        </is>
      </c>
    </row>
    <row r="352">
      <c r="A352" t="inlineStr">
        <is>
          <t>SW-DAMPER-104-BLADE</t>
        </is>
      </c>
      <c r="B352" t="inlineStr">
        <is>
          <t>SW-DAMPER-104</t>
        </is>
      </c>
      <c r="C352" t="inlineStr">
        <is>
          <t>Lá cánh van (2 cánh overlap)</t>
        </is>
      </c>
      <c r="D352" t="inlineStr">
        <is>
          <t>TÔN_CUỘN_MẠ_KẼM</t>
        </is>
      </c>
      <c r="E352" t="inlineStr">
        <is>
          <t>MAT-STEEL-PN-0.75</t>
        </is>
      </c>
      <c r="F352" t="inlineStr">
        <is>
          <t>kg</t>
        </is>
      </c>
      <c r="G352" s="4" t="n">
        <v>0.610416</v>
      </c>
      <c r="H352" s="2">
        <f>XLOOKUP(B352, '00_TONG_HOP_BAO_GIA'!B:B, '00_TONG_HOP_BAO_GIA'!G:G, 1)</f>
        <v/>
      </c>
      <c r="I352" s="5">
        <f>G352*H352</f>
        <v/>
      </c>
      <c r="J352" s="2">
        <f>XLOOKUP(E352, '06_BANG_GIA_VAT_TU_AP_DUNG'!B:B, '06_BANG_GIA_VAT_TU_AP_DUNG'!C:C, "LỖI_MÃ_VT")</f>
        <v/>
      </c>
      <c r="K352" s="2">
        <f>I352*J352</f>
        <v/>
      </c>
      <c r="L352" t="inlineStr">
        <is>
          <t>2 cánh cao 120mm</t>
        </is>
      </c>
    </row>
    <row r="353">
      <c r="A353" t="inlineStr">
        <is>
          <t>SW-DAMPER-104-AXLE</t>
        </is>
      </c>
      <c r="B353" t="inlineStr">
        <is>
          <t>SW-DAMPER-104</t>
        </is>
      </c>
      <c r="C353" t="inlineStr">
        <is>
          <t>Trục Sus 201 D10</t>
        </is>
      </c>
      <c r="D353" t="inlineStr">
        <is>
          <t>PHỤ_KIỆN_VAN</t>
        </is>
      </c>
      <c r="E353" t="inlineStr">
        <is>
          <t>MAT-DAMPER-TRUC-SUS-201-D10</t>
        </is>
      </c>
      <c r="F353" t="inlineStr">
        <is>
          <t>m</t>
        </is>
      </c>
      <c r="G353" s="4" t="n">
        <v>0.92</v>
      </c>
      <c r="H353" s="2">
        <f>XLOOKUP(B353, '00_TONG_HOP_BAO_GIA'!B:B, '00_TONG_HOP_BAO_GIA'!G:G, 1)</f>
        <v/>
      </c>
      <c r="I353" s="5">
        <f>G353*H353</f>
        <v/>
      </c>
      <c r="J353" s="2">
        <f>XLOOKUP(E353, '06_BANG_GIA_VAT_TU_AP_DUNG'!B:B, '06_BANG_GIA_VAT_TU_AP_DUNG'!C:C, "LỖI_MÃ_VT")</f>
        <v/>
      </c>
      <c r="K353" s="2">
        <f>I353*J353</f>
        <v/>
      </c>
      <c r="L353" t="inlineStr">
        <is>
          <t>2 trục dài 460mm</t>
        </is>
      </c>
    </row>
    <row r="354">
      <c r="A354" t="inlineStr">
        <is>
          <t>SW-DAMPER-104-BEARING</t>
        </is>
      </c>
      <c r="B354" t="inlineStr">
        <is>
          <t>SW-DAMPER-104</t>
        </is>
      </c>
      <c r="C354" t="inlineStr">
        <is>
          <t>Bạc đồng D10</t>
        </is>
      </c>
      <c r="D354" t="inlineStr">
        <is>
          <t>PHỤ_KIỆN_VAN</t>
        </is>
      </c>
      <c r="E354" t="inlineStr">
        <is>
          <t>MAT-DAMPER-BAC-DONG-D10</t>
        </is>
      </c>
      <c r="F354" t="inlineStr">
        <is>
          <t>Đôi</t>
        </is>
      </c>
      <c r="G354" s="4" t="n">
        <v>2</v>
      </c>
      <c r="H354" s="2">
        <f>XLOOKUP(B354, '00_TONG_HOP_BAO_GIA'!B:B, '00_TONG_HOP_BAO_GIA'!G:G, 1)</f>
        <v/>
      </c>
      <c r="I354" s="5">
        <f>G354*H354</f>
        <v/>
      </c>
      <c r="J354" s="2">
        <f>XLOOKUP(E354, '06_BANG_GIA_VAT_TU_AP_DUNG'!B:B, '06_BANG_GIA_VAT_TU_AP_DUNG'!C:C, "LỖI_MÃ_VT")</f>
        <v/>
      </c>
      <c r="K354" s="2">
        <f>I354*J354</f>
        <v/>
      </c>
      <c r="L354" t="inlineStr">
        <is>
          <t>2 đôi bạc đỡ 2 bên thân</t>
        </is>
      </c>
    </row>
    <row r="355">
      <c r="A355" t="inlineStr">
        <is>
          <t>SW-DAMPER-104-GEAR</t>
        </is>
      </c>
      <c r="B355" t="inlineStr">
        <is>
          <t>SW-DAMPER-104</t>
        </is>
      </c>
      <c r="C355" t="inlineStr">
        <is>
          <t>Bánh răng van nhôm</t>
        </is>
      </c>
      <c r="D355" t="inlineStr">
        <is>
          <t>PHỤ_KIỆN_VAN</t>
        </is>
      </c>
      <c r="E355" t="inlineStr">
        <is>
          <t>MAT-DAMPER-BANH-RANG-VAN-NHOM</t>
        </is>
      </c>
      <c r="F355" t="inlineStr">
        <is>
          <t>Bộ</t>
        </is>
      </c>
      <c r="G355" s="4" t="n">
        <v>1</v>
      </c>
      <c r="H355" s="2">
        <f>XLOOKUP(B355, '00_TONG_HOP_BAO_GIA'!B:B, '00_TONG_HOP_BAO_GIA'!G:G, 1)</f>
        <v/>
      </c>
      <c r="I355" s="5">
        <f>G355*H355</f>
        <v/>
      </c>
      <c r="J355" s="2">
        <f>XLOOKUP(E355, '06_BANG_GIA_VAT_TU_AP_DUNG'!B:B, '06_BANG_GIA_VAT_TU_AP_DUNG'!C:C, "LỖI_MÃ_VT")</f>
        <v/>
      </c>
      <c r="K355" s="2">
        <f>I355*J355</f>
        <v/>
      </c>
      <c r="L355" t="inlineStr">
        <is>
          <t>Cơ cấu liên động bánh răng van</t>
        </is>
      </c>
    </row>
    <row r="356">
      <c r="A356" t="inlineStr">
        <is>
          <t>SW-DAMPER-104-HANDLE</t>
        </is>
      </c>
      <c r="B356" t="inlineStr">
        <is>
          <t>SW-DAMPER-104</t>
        </is>
      </c>
      <c r="C356" t="inlineStr">
        <is>
          <t>Tay gạt nhỏ</t>
        </is>
      </c>
      <c r="D356" t="inlineStr">
        <is>
          <t>PHỤ_KIỆN_VAN</t>
        </is>
      </c>
      <c r="E356" t="inlineStr">
        <is>
          <t>MAT-DAMPER-TAY-GAT-NHO</t>
        </is>
      </c>
      <c r="F356" t="inlineStr">
        <is>
          <t>Bộ</t>
        </is>
      </c>
      <c r="G356" s="4" t="n">
        <v>1</v>
      </c>
      <c r="H356" s="2">
        <f>XLOOKUP(B356, '00_TONG_HOP_BAO_GIA'!B:B, '00_TONG_HOP_BAO_GIA'!G:G, 1)</f>
        <v/>
      </c>
      <c r="I356" s="5">
        <f>G356*H356</f>
        <v/>
      </c>
      <c r="J356" s="2">
        <f>XLOOKUP(E356, '06_BANG_GIA_VAT_TU_AP_DUNG'!B:B, '06_BANG_GIA_VAT_TU_AP_DUNG'!C:C, "LỖI_MÃ_VT")</f>
        <v/>
      </c>
      <c r="K356" s="2">
        <f>I356*J356</f>
        <v/>
      </c>
      <c r="L356" t="inlineStr">
        <is>
          <t>Tay gạt khóa vị trí nan (S=0.08m2)</t>
        </is>
      </c>
    </row>
    <row r="357">
      <c r="A357" t="inlineStr">
        <is>
          <t>SW-DAMPER-105-BODY</t>
        </is>
      </c>
      <c r="B357" t="inlineStr">
        <is>
          <t>SW-DAMPER-105</t>
        </is>
      </c>
      <c r="C357" t="inlineStr">
        <is>
          <t>Thân vỏ van VCD bích TDF (0.75mm)</t>
        </is>
      </c>
      <c r="D357" t="inlineStr">
        <is>
          <t>TÔN_CUỘN_MẠ_KẼM</t>
        </is>
      </c>
      <c r="E357" t="inlineStr">
        <is>
          <t>MAT-STEEL-PN-0.75</t>
        </is>
      </c>
      <c r="F357" t="inlineStr">
        <is>
          <t>kg</t>
        </is>
      </c>
      <c r="G357" s="4" t="n">
        <v>2.3194395</v>
      </c>
      <c r="H357" s="2">
        <f>XLOOKUP(B357, '00_TONG_HOP_BAO_GIA'!B:B, '00_TONG_HOP_BAO_GIA'!G:G, 1)</f>
        <v/>
      </c>
      <c r="I357" s="5">
        <f>G357*H357</f>
        <v/>
      </c>
      <c r="J357" s="2">
        <f>XLOOKUP(E357, '06_BANG_GIA_VAT_TU_AP_DUNG'!B:B, '06_BANG_GIA_VAT_TU_AP_DUNG'!C:C, "LỖI_MÃ_VT")</f>
        <v/>
      </c>
      <c r="K357" s="2">
        <f>I357*J357</f>
        <v/>
      </c>
      <c r="L357" t="inlineStr">
        <is>
          <t>Kích thước vỏ 400.0x250.0x210mm</t>
        </is>
      </c>
    </row>
    <row r="358">
      <c r="A358" t="inlineStr">
        <is>
          <t>SW-DAMPER-105-BLADE</t>
        </is>
      </c>
      <c r="B358" t="inlineStr">
        <is>
          <t>SW-DAMPER-105</t>
        </is>
      </c>
      <c r="C358" t="inlineStr">
        <is>
          <t>Lá cánh van (2 cánh overlap)</t>
        </is>
      </c>
      <c r="D358" t="inlineStr">
        <is>
          <t>TÔN_CUỘN_MẠ_KẼM</t>
        </is>
      </c>
      <c r="E358" t="inlineStr">
        <is>
          <t>MAT-STEEL-PN-0.75</t>
        </is>
      </c>
      <c r="F358" t="inlineStr">
        <is>
          <t>kg</t>
        </is>
      </c>
      <c r="G358" s="4" t="n">
        <v>0.737586</v>
      </c>
      <c r="H358" s="2">
        <f>XLOOKUP(B358, '00_TONG_HOP_BAO_GIA'!B:B, '00_TONG_HOP_BAO_GIA'!G:G, 1)</f>
        <v/>
      </c>
      <c r="I358" s="5">
        <f>G358*H358</f>
        <v/>
      </c>
      <c r="J358" s="2">
        <f>XLOOKUP(E358, '06_BANG_GIA_VAT_TU_AP_DUNG'!B:B, '06_BANG_GIA_VAT_TU_AP_DUNG'!C:C, "LỖI_MÃ_VT")</f>
        <v/>
      </c>
      <c r="K358" s="2">
        <f>I358*J358</f>
        <v/>
      </c>
      <c r="L358" t="inlineStr">
        <is>
          <t>2 cánh cao 145mm</t>
        </is>
      </c>
    </row>
    <row r="359">
      <c r="A359" t="inlineStr">
        <is>
          <t>SW-DAMPER-105-AXLE</t>
        </is>
      </c>
      <c r="B359" t="inlineStr">
        <is>
          <t>SW-DAMPER-105</t>
        </is>
      </c>
      <c r="C359" t="inlineStr">
        <is>
          <t>Trục Sus 201 D10</t>
        </is>
      </c>
      <c r="D359" t="inlineStr">
        <is>
          <t>PHỤ_KIỆN_VAN</t>
        </is>
      </c>
      <c r="E359" t="inlineStr">
        <is>
          <t>MAT-DAMPER-TRUC-SUS-201-D10</t>
        </is>
      </c>
      <c r="F359" t="inlineStr">
        <is>
          <t>m</t>
        </is>
      </c>
      <c r="G359" s="4" t="n">
        <v>0.92</v>
      </c>
      <c r="H359" s="2">
        <f>XLOOKUP(B359, '00_TONG_HOP_BAO_GIA'!B:B, '00_TONG_HOP_BAO_GIA'!G:G, 1)</f>
        <v/>
      </c>
      <c r="I359" s="5">
        <f>G359*H359</f>
        <v/>
      </c>
      <c r="J359" s="2">
        <f>XLOOKUP(E359, '06_BANG_GIA_VAT_TU_AP_DUNG'!B:B, '06_BANG_GIA_VAT_TU_AP_DUNG'!C:C, "LỖI_MÃ_VT")</f>
        <v/>
      </c>
      <c r="K359" s="2">
        <f>I359*J359</f>
        <v/>
      </c>
      <c r="L359" t="inlineStr">
        <is>
          <t>2 trục dài 460mm</t>
        </is>
      </c>
    </row>
    <row r="360">
      <c r="A360" t="inlineStr">
        <is>
          <t>SW-DAMPER-105-BEARING</t>
        </is>
      </c>
      <c r="B360" t="inlineStr">
        <is>
          <t>SW-DAMPER-105</t>
        </is>
      </c>
      <c r="C360" t="inlineStr">
        <is>
          <t>Bạc đồng D10</t>
        </is>
      </c>
      <c r="D360" t="inlineStr">
        <is>
          <t>PHỤ_KIỆN_VAN</t>
        </is>
      </c>
      <c r="E360" t="inlineStr">
        <is>
          <t>MAT-DAMPER-BAC-DONG-D10</t>
        </is>
      </c>
      <c r="F360" t="inlineStr">
        <is>
          <t>Đôi</t>
        </is>
      </c>
      <c r="G360" s="4" t="n">
        <v>2</v>
      </c>
      <c r="H360" s="2">
        <f>XLOOKUP(B360, '00_TONG_HOP_BAO_GIA'!B:B, '00_TONG_HOP_BAO_GIA'!G:G, 1)</f>
        <v/>
      </c>
      <c r="I360" s="5">
        <f>G360*H360</f>
        <v/>
      </c>
      <c r="J360" s="2">
        <f>XLOOKUP(E360, '06_BANG_GIA_VAT_TU_AP_DUNG'!B:B, '06_BANG_GIA_VAT_TU_AP_DUNG'!C:C, "LỖI_MÃ_VT")</f>
        <v/>
      </c>
      <c r="K360" s="2">
        <f>I360*J360</f>
        <v/>
      </c>
      <c r="L360" t="inlineStr">
        <is>
          <t>2 đôi bạc đỡ 2 bên thân</t>
        </is>
      </c>
    </row>
    <row r="361">
      <c r="A361" t="inlineStr">
        <is>
          <t>SW-DAMPER-105-GEAR</t>
        </is>
      </c>
      <c r="B361" t="inlineStr">
        <is>
          <t>SW-DAMPER-105</t>
        </is>
      </c>
      <c r="C361" t="inlineStr">
        <is>
          <t>Bánh răng van nhôm</t>
        </is>
      </c>
      <c r="D361" t="inlineStr">
        <is>
          <t>PHỤ_KIỆN_VAN</t>
        </is>
      </c>
      <c r="E361" t="inlineStr">
        <is>
          <t>MAT-DAMPER-BANH-RANG-VAN-NHOM</t>
        </is>
      </c>
      <c r="F361" t="inlineStr">
        <is>
          <t>Bộ</t>
        </is>
      </c>
      <c r="G361" s="4" t="n">
        <v>1</v>
      </c>
      <c r="H361" s="2">
        <f>XLOOKUP(B361, '00_TONG_HOP_BAO_GIA'!B:B, '00_TONG_HOP_BAO_GIA'!G:G, 1)</f>
        <v/>
      </c>
      <c r="I361" s="5">
        <f>G361*H361</f>
        <v/>
      </c>
      <c r="J361" s="2">
        <f>XLOOKUP(E361, '06_BANG_GIA_VAT_TU_AP_DUNG'!B:B, '06_BANG_GIA_VAT_TU_AP_DUNG'!C:C, "LỖI_MÃ_VT")</f>
        <v/>
      </c>
      <c r="K361" s="2">
        <f>I361*J361</f>
        <v/>
      </c>
      <c r="L361" t="inlineStr">
        <is>
          <t>Cơ cấu liên động bánh răng van</t>
        </is>
      </c>
    </row>
    <row r="362">
      <c r="A362" t="inlineStr">
        <is>
          <t>SW-DAMPER-105-HANDLE</t>
        </is>
      </c>
      <c r="B362" t="inlineStr">
        <is>
          <t>SW-DAMPER-105</t>
        </is>
      </c>
      <c r="C362" t="inlineStr">
        <is>
          <t>Tay gạt nhỏ</t>
        </is>
      </c>
      <c r="D362" t="inlineStr">
        <is>
          <t>PHỤ_KIỆN_VAN</t>
        </is>
      </c>
      <c r="E362" t="inlineStr">
        <is>
          <t>MAT-DAMPER-TAY-GAT-NHO</t>
        </is>
      </c>
      <c r="F362" t="inlineStr">
        <is>
          <t>Bộ</t>
        </is>
      </c>
      <c r="G362" s="4" t="n">
        <v>1</v>
      </c>
      <c r="H362" s="2">
        <f>XLOOKUP(B362, '00_TONG_HOP_BAO_GIA'!B:B, '00_TONG_HOP_BAO_GIA'!G:G, 1)</f>
        <v/>
      </c>
      <c r="I362" s="5">
        <f>G362*H362</f>
        <v/>
      </c>
      <c r="J362" s="2">
        <f>XLOOKUP(E362, '06_BANG_GIA_VAT_TU_AP_DUNG'!B:B, '06_BANG_GIA_VAT_TU_AP_DUNG'!C:C, "LỖI_MÃ_VT")</f>
        <v/>
      </c>
      <c r="K362" s="2">
        <f>I362*J362</f>
        <v/>
      </c>
      <c r="L362" t="inlineStr">
        <is>
          <t>Tay gạt khóa vị trí nan (S=0.10m2)</t>
        </is>
      </c>
    </row>
    <row r="363">
      <c r="A363" t="inlineStr">
        <is>
          <t>SW-DAMPER-106-BODY</t>
        </is>
      </c>
      <c r="B363" t="inlineStr">
        <is>
          <t>SW-DAMPER-106</t>
        </is>
      </c>
      <c r="C363" t="inlineStr">
        <is>
          <t>Thân vỏ van VCD bích TDF (0.75mm)</t>
        </is>
      </c>
      <c r="D363" t="inlineStr">
        <is>
          <t>TÔN_CUỘN_MẠ_KẼM</t>
        </is>
      </c>
      <c r="E363" t="inlineStr">
        <is>
          <t>MAT-STEEL-PN-0.75</t>
        </is>
      </c>
      <c r="F363" t="inlineStr">
        <is>
          <t>kg</t>
        </is>
      </c>
      <c r="G363" s="4" t="n">
        <v>2.492532</v>
      </c>
      <c r="H363" s="2">
        <f>XLOOKUP(B363, '00_TONG_HOP_BAO_GIA'!B:B, '00_TONG_HOP_BAO_GIA'!G:G, 1)</f>
        <v/>
      </c>
      <c r="I363" s="5">
        <f>G363*H363</f>
        <v/>
      </c>
      <c r="J363" s="2">
        <f>XLOOKUP(E363, '06_BANG_GIA_VAT_TU_AP_DUNG'!B:B, '06_BANG_GIA_VAT_TU_AP_DUNG'!C:C, "LỖI_MÃ_VT")</f>
        <v/>
      </c>
      <c r="K363" s="2">
        <f>I363*J363</f>
        <v/>
      </c>
      <c r="L363" t="inlineStr">
        <is>
          <t>Kích thước vỏ 400.0x300.0x210mm</t>
        </is>
      </c>
    </row>
    <row r="364">
      <c r="A364" t="inlineStr">
        <is>
          <t>SW-DAMPER-106-BLADE</t>
        </is>
      </c>
      <c r="B364" t="inlineStr">
        <is>
          <t>SW-DAMPER-106</t>
        </is>
      </c>
      <c r="C364" t="inlineStr">
        <is>
          <t>Lá cánh van (2 cánh overlap)</t>
        </is>
      </c>
      <c r="D364" t="inlineStr">
        <is>
          <t>TÔN_CUỘN_MẠ_KẼM</t>
        </is>
      </c>
      <c r="E364" t="inlineStr">
        <is>
          <t>MAT-STEEL-PN-0.75</t>
        </is>
      </c>
      <c r="F364" t="inlineStr">
        <is>
          <t>kg</t>
        </is>
      </c>
      <c r="G364" s="4" t="n">
        <v>0.864756</v>
      </c>
      <c r="H364" s="2">
        <f>XLOOKUP(B364, '00_TONG_HOP_BAO_GIA'!B:B, '00_TONG_HOP_BAO_GIA'!G:G, 1)</f>
        <v/>
      </c>
      <c r="I364" s="5">
        <f>G364*H364</f>
        <v/>
      </c>
      <c r="J364" s="2">
        <f>XLOOKUP(E364, '06_BANG_GIA_VAT_TU_AP_DUNG'!B:B, '06_BANG_GIA_VAT_TU_AP_DUNG'!C:C, "LỖI_MÃ_VT")</f>
        <v/>
      </c>
      <c r="K364" s="2">
        <f>I364*J364</f>
        <v/>
      </c>
      <c r="L364" t="inlineStr">
        <is>
          <t>2 cánh cao 170mm</t>
        </is>
      </c>
    </row>
    <row r="365">
      <c r="A365" t="inlineStr">
        <is>
          <t>SW-DAMPER-106-AXLE</t>
        </is>
      </c>
      <c r="B365" t="inlineStr">
        <is>
          <t>SW-DAMPER-106</t>
        </is>
      </c>
      <c r="C365" t="inlineStr">
        <is>
          <t>Trục Sus 201 D10</t>
        </is>
      </c>
      <c r="D365" t="inlineStr">
        <is>
          <t>PHỤ_KIỆN_VAN</t>
        </is>
      </c>
      <c r="E365" t="inlineStr">
        <is>
          <t>MAT-DAMPER-TRUC-SUS-201-D10</t>
        </is>
      </c>
      <c r="F365" t="inlineStr">
        <is>
          <t>m</t>
        </is>
      </c>
      <c r="G365" s="4" t="n">
        <v>0.92</v>
      </c>
      <c r="H365" s="2">
        <f>XLOOKUP(B365, '00_TONG_HOP_BAO_GIA'!B:B, '00_TONG_HOP_BAO_GIA'!G:G, 1)</f>
        <v/>
      </c>
      <c r="I365" s="5">
        <f>G365*H365</f>
        <v/>
      </c>
      <c r="J365" s="2">
        <f>XLOOKUP(E365, '06_BANG_GIA_VAT_TU_AP_DUNG'!B:B, '06_BANG_GIA_VAT_TU_AP_DUNG'!C:C, "LỖI_MÃ_VT")</f>
        <v/>
      </c>
      <c r="K365" s="2">
        <f>I365*J365</f>
        <v/>
      </c>
      <c r="L365" t="inlineStr">
        <is>
          <t>2 trục dài 460mm</t>
        </is>
      </c>
    </row>
    <row r="366">
      <c r="A366" t="inlineStr">
        <is>
          <t>SW-DAMPER-106-BEARING</t>
        </is>
      </c>
      <c r="B366" t="inlineStr">
        <is>
          <t>SW-DAMPER-106</t>
        </is>
      </c>
      <c r="C366" t="inlineStr">
        <is>
          <t>Bạc đồng D10</t>
        </is>
      </c>
      <c r="D366" t="inlineStr">
        <is>
          <t>PHỤ_KIỆN_VAN</t>
        </is>
      </c>
      <c r="E366" t="inlineStr">
        <is>
          <t>MAT-DAMPER-BAC-DONG-D10</t>
        </is>
      </c>
      <c r="F366" t="inlineStr">
        <is>
          <t>Đôi</t>
        </is>
      </c>
      <c r="G366" s="4" t="n">
        <v>2</v>
      </c>
      <c r="H366" s="2">
        <f>XLOOKUP(B366, '00_TONG_HOP_BAO_GIA'!B:B, '00_TONG_HOP_BAO_GIA'!G:G, 1)</f>
        <v/>
      </c>
      <c r="I366" s="5">
        <f>G366*H366</f>
        <v/>
      </c>
      <c r="J366" s="2">
        <f>XLOOKUP(E366, '06_BANG_GIA_VAT_TU_AP_DUNG'!B:B, '06_BANG_GIA_VAT_TU_AP_DUNG'!C:C, "LỖI_MÃ_VT")</f>
        <v/>
      </c>
      <c r="K366" s="2">
        <f>I366*J366</f>
        <v/>
      </c>
      <c r="L366" t="inlineStr">
        <is>
          <t>2 đôi bạc đỡ 2 bên thân</t>
        </is>
      </c>
    </row>
    <row r="367">
      <c r="A367" t="inlineStr">
        <is>
          <t>SW-DAMPER-106-GEAR</t>
        </is>
      </c>
      <c r="B367" t="inlineStr">
        <is>
          <t>SW-DAMPER-106</t>
        </is>
      </c>
      <c r="C367" t="inlineStr">
        <is>
          <t>Bánh răng van nhôm</t>
        </is>
      </c>
      <c r="D367" t="inlineStr">
        <is>
          <t>PHỤ_KIỆN_VAN</t>
        </is>
      </c>
      <c r="E367" t="inlineStr">
        <is>
          <t>MAT-DAMPER-BANH-RANG-VAN-NHOM</t>
        </is>
      </c>
      <c r="F367" t="inlineStr">
        <is>
          <t>Bộ</t>
        </is>
      </c>
      <c r="G367" s="4" t="n">
        <v>1</v>
      </c>
      <c r="H367" s="2">
        <f>XLOOKUP(B367, '00_TONG_HOP_BAO_GIA'!B:B, '00_TONG_HOP_BAO_GIA'!G:G, 1)</f>
        <v/>
      </c>
      <c r="I367" s="5">
        <f>G367*H367</f>
        <v/>
      </c>
      <c r="J367" s="2">
        <f>XLOOKUP(E367, '06_BANG_GIA_VAT_TU_AP_DUNG'!B:B, '06_BANG_GIA_VAT_TU_AP_DUNG'!C:C, "LỖI_MÃ_VT")</f>
        <v/>
      </c>
      <c r="K367" s="2">
        <f>I367*J367</f>
        <v/>
      </c>
      <c r="L367" t="inlineStr">
        <is>
          <t>Cơ cấu liên động bánh răng van</t>
        </is>
      </c>
    </row>
    <row r="368">
      <c r="A368" t="inlineStr">
        <is>
          <t>SW-DAMPER-106-HANDLE</t>
        </is>
      </c>
      <c r="B368" t="inlineStr">
        <is>
          <t>SW-DAMPER-106</t>
        </is>
      </c>
      <c r="C368" t="inlineStr">
        <is>
          <t>Tay gạt nhỏ</t>
        </is>
      </c>
      <c r="D368" t="inlineStr">
        <is>
          <t>PHỤ_KIỆN_VAN</t>
        </is>
      </c>
      <c r="E368" t="inlineStr">
        <is>
          <t>MAT-DAMPER-TAY-GAT-NHO</t>
        </is>
      </c>
      <c r="F368" t="inlineStr">
        <is>
          <t>Bộ</t>
        </is>
      </c>
      <c r="G368" s="4" t="n">
        <v>1</v>
      </c>
      <c r="H368" s="2">
        <f>XLOOKUP(B368, '00_TONG_HOP_BAO_GIA'!B:B, '00_TONG_HOP_BAO_GIA'!G:G, 1)</f>
        <v/>
      </c>
      <c r="I368" s="5">
        <f>G368*H368</f>
        <v/>
      </c>
      <c r="J368" s="2">
        <f>XLOOKUP(E368, '06_BANG_GIA_VAT_TU_AP_DUNG'!B:B, '06_BANG_GIA_VAT_TU_AP_DUNG'!C:C, "LỖI_MÃ_VT")</f>
        <v/>
      </c>
      <c r="K368" s="2">
        <f>I368*J368</f>
        <v/>
      </c>
      <c r="L368" t="inlineStr">
        <is>
          <t>Tay gạt khóa vị trí nan (S=0.12m2)</t>
        </is>
      </c>
    </row>
    <row r="369">
      <c r="A369" t="inlineStr">
        <is>
          <t>SW-DAMPER-107-BODY</t>
        </is>
      </c>
      <c r="B369" t="inlineStr">
        <is>
          <t>SW-DAMPER-107</t>
        </is>
      </c>
      <c r="C369" t="inlineStr">
        <is>
          <t>Thân vỏ van VCD bích TDF (0.75mm)</t>
        </is>
      </c>
      <c r="D369" t="inlineStr">
        <is>
          <t>TÔN_CUỘN_MẠ_KẼM</t>
        </is>
      </c>
      <c r="E369" t="inlineStr">
        <is>
          <t>MAT-STEEL-PN-0.75</t>
        </is>
      </c>
      <c r="F369" t="inlineStr">
        <is>
          <t>kg</t>
        </is>
      </c>
      <c r="G369" s="4" t="n">
        <v>2.492532</v>
      </c>
      <c r="H369" s="2">
        <f>XLOOKUP(B369, '00_TONG_HOP_BAO_GIA'!B:B, '00_TONG_HOP_BAO_GIA'!G:G, 1)</f>
        <v/>
      </c>
      <c r="I369" s="5">
        <f>G369*H369</f>
        <v/>
      </c>
      <c r="J369" s="2">
        <f>XLOOKUP(E369, '06_BANG_GIA_VAT_TU_AP_DUNG'!B:B, '06_BANG_GIA_VAT_TU_AP_DUNG'!C:C, "LỖI_MÃ_VT")</f>
        <v/>
      </c>
      <c r="K369" s="2">
        <f>I369*J369</f>
        <v/>
      </c>
      <c r="L369" t="inlineStr">
        <is>
          <t>Kích thước vỏ 450.0x250.0x210mm</t>
        </is>
      </c>
    </row>
    <row r="370">
      <c r="A370" t="inlineStr">
        <is>
          <t>SW-DAMPER-107-BLADE</t>
        </is>
      </c>
      <c r="B370" t="inlineStr">
        <is>
          <t>SW-DAMPER-107</t>
        </is>
      </c>
      <c r="C370" t="inlineStr">
        <is>
          <t>Lá cánh van (2 cánh overlap)</t>
        </is>
      </c>
      <c r="D370" t="inlineStr">
        <is>
          <t>TÔN_CUỘN_MẠ_KẼM</t>
        </is>
      </c>
      <c r="E370" t="inlineStr">
        <is>
          <t>MAT-STEEL-PN-0.75</t>
        </is>
      </c>
      <c r="F370" t="inlineStr">
        <is>
          <t>kg</t>
        </is>
      </c>
      <c r="G370" s="4" t="n">
        <v>0.82978425</v>
      </c>
      <c r="H370" s="2">
        <f>XLOOKUP(B370, '00_TONG_HOP_BAO_GIA'!B:B, '00_TONG_HOP_BAO_GIA'!G:G, 1)</f>
        <v/>
      </c>
      <c r="I370" s="5">
        <f>G370*H370</f>
        <v/>
      </c>
      <c r="J370" s="2">
        <f>XLOOKUP(E370, '06_BANG_GIA_VAT_TU_AP_DUNG'!B:B, '06_BANG_GIA_VAT_TU_AP_DUNG'!C:C, "LỖI_MÃ_VT")</f>
        <v/>
      </c>
      <c r="K370" s="2">
        <f>I370*J370</f>
        <v/>
      </c>
      <c r="L370" t="inlineStr">
        <is>
          <t>2 cánh cao 145mm</t>
        </is>
      </c>
    </row>
    <row r="371">
      <c r="A371" t="inlineStr">
        <is>
          <t>SW-DAMPER-107-AXLE</t>
        </is>
      </c>
      <c r="B371" t="inlineStr">
        <is>
          <t>SW-DAMPER-107</t>
        </is>
      </c>
      <c r="C371" t="inlineStr">
        <is>
          <t>Trục Sus 201 D10</t>
        </is>
      </c>
      <c r="D371" t="inlineStr">
        <is>
          <t>PHỤ_KIỆN_VAN</t>
        </is>
      </c>
      <c r="E371" t="inlineStr">
        <is>
          <t>MAT-DAMPER-TRUC-SUS-201-D10</t>
        </is>
      </c>
      <c r="F371" t="inlineStr">
        <is>
          <t>m</t>
        </is>
      </c>
      <c r="G371" s="4" t="n">
        <v>1.02</v>
      </c>
      <c r="H371" s="2">
        <f>XLOOKUP(B371, '00_TONG_HOP_BAO_GIA'!B:B, '00_TONG_HOP_BAO_GIA'!G:G, 1)</f>
        <v/>
      </c>
      <c r="I371" s="5">
        <f>G371*H371</f>
        <v/>
      </c>
      <c r="J371" s="2">
        <f>XLOOKUP(E371, '06_BANG_GIA_VAT_TU_AP_DUNG'!B:B, '06_BANG_GIA_VAT_TU_AP_DUNG'!C:C, "LỖI_MÃ_VT")</f>
        <v/>
      </c>
      <c r="K371" s="2">
        <f>I371*J371</f>
        <v/>
      </c>
      <c r="L371" t="inlineStr">
        <is>
          <t>2 trục dài 510mm</t>
        </is>
      </c>
    </row>
    <row r="372">
      <c r="A372" t="inlineStr">
        <is>
          <t>SW-DAMPER-107-BEARING</t>
        </is>
      </c>
      <c r="B372" t="inlineStr">
        <is>
          <t>SW-DAMPER-107</t>
        </is>
      </c>
      <c r="C372" t="inlineStr">
        <is>
          <t>Bạc đồng D10</t>
        </is>
      </c>
      <c r="D372" t="inlineStr">
        <is>
          <t>PHỤ_KIỆN_VAN</t>
        </is>
      </c>
      <c r="E372" t="inlineStr">
        <is>
          <t>MAT-DAMPER-BAC-DONG-D10</t>
        </is>
      </c>
      <c r="F372" t="inlineStr">
        <is>
          <t>Đôi</t>
        </is>
      </c>
      <c r="G372" s="4" t="n">
        <v>2</v>
      </c>
      <c r="H372" s="2">
        <f>XLOOKUP(B372, '00_TONG_HOP_BAO_GIA'!B:B, '00_TONG_HOP_BAO_GIA'!G:G, 1)</f>
        <v/>
      </c>
      <c r="I372" s="5">
        <f>G372*H372</f>
        <v/>
      </c>
      <c r="J372" s="2">
        <f>XLOOKUP(E372, '06_BANG_GIA_VAT_TU_AP_DUNG'!B:B, '06_BANG_GIA_VAT_TU_AP_DUNG'!C:C, "LỖI_MÃ_VT")</f>
        <v/>
      </c>
      <c r="K372" s="2">
        <f>I372*J372</f>
        <v/>
      </c>
      <c r="L372" t="inlineStr">
        <is>
          <t>2 đôi bạc đỡ 2 bên thân</t>
        </is>
      </c>
    </row>
    <row r="373">
      <c r="A373" t="inlineStr">
        <is>
          <t>SW-DAMPER-107-GEAR</t>
        </is>
      </c>
      <c r="B373" t="inlineStr">
        <is>
          <t>SW-DAMPER-107</t>
        </is>
      </c>
      <c r="C373" t="inlineStr">
        <is>
          <t>Bánh răng van nhôm</t>
        </is>
      </c>
      <c r="D373" t="inlineStr">
        <is>
          <t>PHỤ_KIỆN_VAN</t>
        </is>
      </c>
      <c r="E373" t="inlineStr">
        <is>
          <t>MAT-DAMPER-BANH-RANG-VAN-NHOM</t>
        </is>
      </c>
      <c r="F373" t="inlineStr">
        <is>
          <t>Bộ</t>
        </is>
      </c>
      <c r="G373" s="4" t="n">
        <v>1</v>
      </c>
      <c r="H373" s="2">
        <f>XLOOKUP(B373, '00_TONG_HOP_BAO_GIA'!B:B, '00_TONG_HOP_BAO_GIA'!G:G, 1)</f>
        <v/>
      </c>
      <c r="I373" s="5">
        <f>G373*H373</f>
        <v/>
      </c>
      <c r="J373" s="2">
        <f>XLOOKUP(E373, '06_BANG_GIA_VAT_TU_AP_DUNG'!B:B, '06_BANG_GIA_VAT_TU_AP_DUNG'!C:C, "LỖI_MÃ_VT")</f>
        <v/>
      </c>
      <c r="K373" s="2">
        <f>I373*J373</f>
        <v/>
      </c>
      <c r="L373" t="inlineStr">
        <is>
          <t>Cơ cấu liên động bánh răng van</t>
        </is>
      </c>
    </row>
    <row r="374">
      <c r="A374" t="inlineStr">
        <is>
          <t>SW-DAMPER-107-HANDLE</t>
        </is>
      </c>
      <c r="B374" t="inlineStr">
        <is>
          <t>SW-DAMPER-107</t>
        </is>
      </c>
      <c r="C374" t="inlineStr">
        <is>
          <t>Tay gạt nhỏ</t>
        </is>
      </c>
      <c r="D374" t="inlineStr">
        <is>
          <t>PHỤ_KIỆN_VAN</t>
        </is>
      </c>
      <c r="E374" t="inlineStr">
        <is>
          <t>MAT-DAMPER-TAY-GAT-NHO</t>
        </is>
      </c>
      <c r="F374" t="inlineStr">
        <is>
          <t>Bộ</t>
        </is>
      </c>
      <c r="G374" s="4" t="n">
        <v>1</v>
      </c>
      <c r="H374" s="2">
        <f>XLOOKUP(B374, '00_TONG_HOP_BAO_GIA'!B:B, '00_TONG_HOP_BAO_GIA'!G:G, 1)</f>
        <v/>
      </c>
      <c r="I374" s="5">
        <f>G374*H374</f>
        <v/>
      </c>
      <c r="J374" s="2">
        <f>XLOOKUP(E374, '06_BANG_GIA_VAT_TU_AP_DUNG'!B:B, '06_BANG_GIA_VAT_TU_AP_DUNG'!C:C, "LỖI_MÃ_VT")</f>
        <v/>
      </c>
      <c r="K374" s="2">
        <f>I374*J374</f>
        <v/>
      </c>
      <c r="L374" t="inlineStr">
        <is>
          <t>Tay gạt khóa vị trí nan (S=0.11m2)</t>
        </is>
      </c>
    </row>
    <row r="375">
      <c r="A375" t="inlineStr">
        <is>
          <t>SW-DAMPER-108-BODY</t>
        </is>
      </c>
      <c r="B375" t="inlineStr">
        <is>
          <t>SW-DAMPER-108</t>
        </is>
      </c>
      <c r="C375" t="inlineStr">
        <is>
          <t>Thân vỏ van VCD bích TDF (0.75mm)</t>
        </is>
      </c>
      <c r="D375" t="inlineStr">
        <is>
          <t>TÔN_CUỘN_MẠ_KẼM</t>
        </is>
      </c>
      <c r="E375" t="inlineStr">
        <is>
          <t>MAT-STEEL-PN-0.75</t>
        </is>
      </c>
      <c r="F375" t="inlineStr">
        <is>
          <t>kg</t>
        </is>
      </c>
      <c r="G375" s="4" t="n">
        <v>2.6656245</v>
      </c>
      <c r="H375" s="2">
        <f>XLOOKUP(B375, '00_TONG_HOP_BAO_GIA'!B:B, '00_TONG_HOP_BAO_GIA'!G:G, 1)</f>
        <v/>
      </c>
      <c r="I375" s="5">
        <f>G375*H375</f>
        <v/>
      </c>
      <c r="J375" s="2">
        <f>XLOOKUP(E375, '06_BANG_GIA_VAT_TU_AP_DUNG'!B:B, '06_BANG_GIA_VAT_TU_AP_DUNG'!C:C, "LỖI_MÃ_VT")</f>
        <v/>
      </c>
      <c r="K375" s="2">
        <f>I375*J375</f>
        <v/>
      </c>
      <c r="L375" t="inlineStr">
        <is>
          <t>Kích thước vỏ 500.0x250.0x210mm</t>
        </is>
      </c>
    </row>
    <row r="376">
      <c r="A376" t="inlineStr">
        <is>
          <t>SW-DAMPER-108-BLADE</t>
        </is>
      </c>
      <c r="B376" t="inlineStr">
        <is>
          <t>SW-DAMPER-108</t>
        </is>
      </c>
      <c r="C376" t="inlineStr">
        <is>
          <t>Lá cánh van (2 cánh overlap)</t>
        </is>
      </c>
      <c r="D376" t="inlineStr">
        <is>
          <t>TÔN_CUỘN_MẠ_KẼM</t>
        </is>
      </c>
      <c r="E376" t="inlineStr">
        <is>
          <t>MAT-STEEL-PN-0.75</t>
        </is>
      </c>
      <c r="F376" t="inlineStr">
        <is>
          <t>kg</t>
        </is>
      </c>
      <c r="G376" s="4" t="n">
        <v>0.9219824999999998</v>
      </c>
      <c r="H376" s="2">
        <f>XLOOKUP(B376, '00_TONG_HOP_BAO_GIA'!B:B, '00_TONG_HOP_BAO_GIA'!G:G, 1)</f>
        <v/>
      </c>
      <c r="I376" s="5">
        <f>G376*H376</f>
        <v/>
      </c>
      <c r="J376" s="2">
        <f>XLOOKUP(E376, '06_BANG_GIA_VAT_TU_AP_DUNG'!B:B, '06_BANG_GIA_VAT_TU_AP_DUNG'!C:C, "LỖI_MÃ_VT")</f>
        <v/>
      </c>
      <c r="K376" s="2">
        <f>I376*J376</f>
        <v/>
      </c>
      <c r="L376" t="inlineStr">
        <is>
          <t>2 cánh cao 145mm</t>
        </is>
      </c>
    </row>
    <row r="377">
      <c r="A377" t="inlineStr">
        <is>
          <t>SW-DAMPER-108-AXLE</t>
        </is>
      </c>
      <c r="B377" t="inlineStr">
        <is>
          <t>SW-DAMPER-108</t>
        </is>
      </c>
      <c r="C377" t="inlineStr">
        <is>
          <t>Trục Sus 201 D10</t>
        </is>
      </c>
      <c r="D377" t="inlineStr">
        <is>
          <t>PHỤ_KIỆN_VAN</t>
        </is>
      </c>
      <c r="E377" t="inlineStr">
        <is>
          <t>MAT-DAMPER-TRUC-SUS-201-D10</t>
        </is>
      </c>
      <c r="F377" t="inlineStr">
        <is>
          <t>m</t>
        </is>
      </c>
      <c r="G377" s="4" t="n">
        <v>1.12</v>
      </c>
      <c r="H377" s="2">
        <f>XLOOKUP(B377, '00_TONG_HOP_BAO_GIA'!B:B, '00_TONG_HOP_BAO_GIA'!G:G, 1)</f>
        <v/>
      </c>
      <c r="I377" s="5">
        <f>G377*H377</f>
        <v/>
      </c>
      <c r="J377" s="2">
        <f>XLOOKUP(E377, '06_BANG_GIA_VAT_TU_AP_DUNG'!B:B, '06_BANG_GIA_VAT_TU_AP_DUNG'!C:C, "LỖI_MÃ_VT")</f>
        <v/>
      </c>
      <c r="K377" s="2">
        <f>I377*J377</f>
        <v/>
      </c>
      <c r="L377" t="inlineStr">
        <is>
          <t>2 trục dài 560mm</t>
        </is>
      </c>
    </row>
    <row r="378">
      <c r="A378" t="inlineStr">
        <is>
          <t>SW-DAMPER-108-BEARING</t>
        </is>
      </c>
      <c r="B378" t="inlineStr">
        <is>
          <t>SW-DAMPER-108</t>
        </is>
      </c>
      <c r="C378" t="inlineStr">
        <is>
          <t>Bạc đồng D10</t>
        </is>
      </c>
      <c r="D378" t="inlineStr">
        <is>
          <t>PHỤ_KIỆN_VAN</t>
        </is>
      </c>
      <c r="E378" t="inlineStr">
        <is>
          <t>MAT-DAMPER-BAC-DONG-D10</t>
        </is>
      </c>
      <c r="F378" t="inlineStr">
        <is>
          <t>Đôi</t>
        </is>
      </c>
      <c r="G378" s="4" t="n">
        <v>2</v>
      </c>
      <c r="H378" s="2">
        <f>XLOOKUP(B378, '00_TONG_HOP_BAO_GIA'!B:B, '00_TONG_HOP_BAO_GIA'!G:G, 1)</f>
        <v/>
      </c>
      <c r="I378" s="5">
        <f>G378*H378</f>
        <v/>
      </c>
      <c r="J378" s="2">
        <f>XLOOKUP(E378, '06_BANG_GIA_VAT_TU_AP_DUNG'!B:B, '06_BANG_GIA_VAT_TU_AP_DUNG'!C:C, "LỖI_MÃ_VT")</f>
        <v/>
      </c>
      <c r="K378" s="2">
        <f>I378*J378</f>
        <v/>
      </c>
      <c r="L378" t="inlineStr">
        <is>
          <t>2 đôi bạc đỡ 2 bên thân</t>
        </is>
      </c>
    </row>
    <row r="379">
      <c r="A379" t="inlineStr">
        <is>
          <t>SW-DAMPER-108-GEAR</t>
        </is>
      </c>
      <c r="B379" t="inlineStr">
        <is>
          <t>SW-DAMPER-108</t>
        </is>
      </c>
      <c r="C379" t="inlineStr">
        <is>
          <t>Bánh răng van nhôm</t>
        </is>
      </c>
      <c r="D379" t="inlineStr">
        <is>
          <t>PHỤ_KIỆN_VAN</t>
        </is>
      </c>
      <c r="E379" t="inlineStr">
        <is>
          <t>MAT-DAMPER-BANH-RANG-VAN-NHOM</t>
        </is>
      </c>
      <c r="F379" t="inlineStr">
        <is>
          <t>Bộ</t>
        </is>
      </c>
      <c r="G379" s="4" t="n">
        <v>1</v>
      </c>
      <c r="H379" s="2">
        <f>XLOOKUP(B379, '00_TONG_HOP_BAO_GIA'!B:B, '00_TONG_HOP_BAO_GIA'!G:G, 1)</f>
        <v/>
      </c>
      <c r="I379" s="5">
        <f>G379*H379</f>
        <v/>
      </c>
      <c r="J379" s="2">
        <f>XLOOKUP(E379, '06_BANG_GIA_VAT_TU_AP_DUNG'!B:B, '06_BANG_GIA_VAT_TU_AP_DUNG'!C:C, "LỖI_MÃ_VT")</f>
        <v/>
      </c>
      <c r="K379" s="2">
        <f>I379*J379</f>
        <v/>
      </c>
      <c r="L379" t="inlineStr">
        <is>
          <t>Cơ cấu liên động bánh răng van</t>
        </is>
      </c>
    </row>
    <row r="380">
      <c r="A380" t="inlineStr">
        <is>
          <t>SW-DAMPER-108-HANDLE</t>
        </is>
      </c>
      <c r="B380" t="inlineStr">
        <is>
          <t>SW-DAMPER-108</t>
        </is>
      </c>
      <c r="C380" t="inlineStr">
        <is>
          <t>Tay gạt nhỏ</t>
        </is>
      </c>
      <c r="D380" t="inlineStr">
        <is>
          <t>PHỤ_KIỆN_VAN</t>
        </is>
      </c>
      <c r="E380" t="inlineStr">
        <is>
          <t>MAT-DAMPER-TAY-GAT-NHO</t>
        </is>
      </c>
      <c r="F380" t="inlineStr">
        <is>
          <t>Bộ</t>
        </is>
      </c>
      <c r="G380" s="4" t="n">
        <v>1</v>
      </c>
      <c r="H380" s="2">
        <f>XLOOKUP(B380, '00_TONG_HOP_BAO_GIA'!B:B, '00_TONG_HOP_BAO_GIA'!G:G, 1)</f>
        <v/>
      </c>
      <c r="I380" s="5">
        <f>G380*H380</f>
        <v/>
      </c>
      <c r="J380" s="2">
        <f>XLOOKUP(E380, '06_BANG_GIA_VAT_TU_AP_DUNG'!B:B, '06_BANG_GIA_VAT_TU_AP_DUNG'!C:C, "LỖI_MÃ_VT")</f>
        <v/>
      </c>
      <c r="K380" s="2">
        <f>I380*J380</f>
        <v/>
      </c>
      <c r="L380" t="inlineStr">
        <is>
          <t>Tay gạt khóa vị trí nan (S=0.12m2)</t>
        </is>
      </c>
    </row>
    <row r="381">
      <c r="A381" t="inlineStr">
        <is>
          <t>SW-DAMPER-109-BODY</t>
        </is>
      </c>
      <c r="B381" t="inlineStr">
        <is>
          <t>SW-DAMPER-109</t>
        </is>
      </c>
      <c r="C381" t="inlineStr">
        <is>
          <t>Thân vỏ van VCD bích TDF (0.75mm)</t>
        </is>
      </c>
      <c r="D381" t="inlineStr">
        <is>
          <t>TÔN_CUỘN_MẠ_KẼM</t>
        </is>
      </c>
      <c r="E381" t="inlineStr">
        <is>
          <t>MAT-STEEL-PN-0.75</t>
        </is>
      </c>
      <c r="F381" t="inlineStr">
        <is>
          <t>kg</t>
        </is>
      </c>
      <c r="G381" s="4" t="n">
        <v>2.838717</v>
      </c>
      <c r="H381" s="2">
        <f>XLOOKUP(B381, '00_TONG_HOP_BAO_GIA'!B:B, '00_TONG_HOP_BAO_GIA'!G:G, 1)</f>
        <v/>
      </c>
      <c r="I381" s="5">
        <f>G381*H381</f>
        <v/>
      </c>
      <c r="J381" s="2">
        <f>XLOOKUP(E381, '06_BANG_GIA_VAT_TU_AP_DUNG'!B:B, '06_BANG_GIA_VAT_TU_AP_DUNG'!C:C, "LỖI_MÃ_VT")</f>
        <v/>
      </c>
      <c r="K381" s="2">
        <f>I381*J381</f>
        <v/>
      </c>
      <c r="L381" t="inlineStr">
        <is>
          <t>Kích thước vỏ 500.0x300.0x210mm</t>
        </is>
      </c>
    </row>
    <row r="382">
      <c r="A382" t="inlineStr">
        <is>
          <t>SW-DAMPER-109-BLADE</t>
        </is>
      </c>
      <c r="B382" t="inlineStr">
        <is>
          <t>SW-DAMPER-109</t>
        </is>
      </c>
      <c r="C382" t="inlineStr">
        <is>
          <t>Lá cánh van (2 cánh overlap)</t>
        </is>
      </c>
      <c r="D382" t="inlineStr">
        <is>
          <t>TÔN_CUỘN_MẠ_KẼM</t>
        </is>
      </c>
      <c r="E382" t="inlineStr">
        <is>
          <t>MAT-STEEL-PN-0.75</t>
        </is>
      </c>
      <c r="F382" t="inlineStr">
        <is>
          <t>kg</t>
        </is>
      </c>
      <c r="G382" s="4" t="n">
        <v>1.080945</v>
      </c>
      <c r="H382" s="2">
        <f>XLOOKUP(B382, '00_TONG_HOP_BAO_GIA'!B:B, '00_TONG_HOP_BAO_GIA'!G:G, 1)</f>
        <v/>
      </c>
      <c r="I382" s="5">
        <f>G382*H382</f>
        <v/>
      </c>
      <c r="J382" s="2">
        <f>XLOOKUP(E382, '06_BANG_GIA_VAT_TU_AP_DUNG'!B:B, '06_BANG_GIA_VAT_TU_AP_DUNG'!C:C, "LỖI_MÃ_VT")</f>
        <v/>
      </c>
      <c r="K382" s="2">
        <f>I382*J382</f>
        <v/>
      </c>
      <c r="L382" t="inlineStr">
        <is>
          <t>2 cánh cao 170mm</t>
        </is>
      </c>
    </row>
    <row r="383">
      <c r="A383" t="inlineStr">
        <is>
          <t>SW-DAMPER-109-AXLE</t>
        </is>
      </c>
      <c r="B383" t="inlineStr">
        <is>
          <t>SW-DAMPER-109</t>
        </is>
      </c>
      <c r="C383" t="inlineStr">
        <is>
          <t>Trục Sus 201 D10</t>
        </is>
      </c>
      <c r="D383" t="inlineStr">
        <is>
          <t>PHỤ_KIỆN_VAN</t>
        </is>
      </c>
      <c r="E383" t="inlineStr">
        <is>
          <t>MAT-DAMPER-TRUC-SUS-201-D10</t>
        </is>
      </c>
      <c r="F383" t="inlineStr">
        <is>
          <t>m</t>
        </is>
      </c>
      <c r="G383" s="4" t="n">
        <v>1.12</v>
      </c>
      <c r="H383" s="2">
        <f>XLOOKUP(B383, '00_TONG_HOP_BAO_GIA'!B:B, '00_TONG_HOP_BAO_GIA'!G:G, 1)</f>
        <v/>
      </c>
      <c r="I383" s="5">
        <f>G383*H383</f>
        <v/>
      </c>
      <c r="J383" s="2">
        <f>XLOOKUP(E383, '06_BANG_GIA_VAT_TU_AP_DUNG'!B:B, '06_BANG_GIA_VAT_TU_AP_DUNG'!C:C, "LỖI_MÃ_VT")</f>
        <v/>
      </c>
      <c r="K383" s="2">
        <f>I383*J383</f>
        <v/>
      </c>
      <c r="L383" t="inlineStr">
        <is>
          <t>2 trục dài 560mm</t>
        </is>
      </c>
    </row>
    <row r="384">
      <c r="A384" t="inlineStr">
        <is>
          <t>SW-DAMPER-109-BEARING</t>
        </is>
      </c>
      <c r="B384" t="inlineStr">
        <is>
          <t>SW-DAMPER-109</t>
        </is>
      </c>
      <c r="C384" t="inlineStr">
        <is>
          <t>Bạc đồng D10</t>
        </is>
      </c>
      <c r="D384" t="inlineStr">
        <is>
          <t>PHỤ_KIỆN_VAN</t>
        </is>
      </c>
      <c r="E384" t="inlineStr">
        <is>
          <t>MAT-DAMPER-BAC-DONG-D10</t>
        </is>
      </c>
      <c r="F384" t="inlineStr">
        <is>
          <t>Đôi</t>
        </is>
      </c>
      <c r="G384" s="4" t="n">
        <v>2</v>
      </c>
      <c r="H384" s="2">
        <f>XLOOKUP(B384, '00_TONG_HOP_BAO_GIA'!B:B, '00_TONG_HOP_BAO_GIA'!G:G, 1)</f>
        <v/>
      </c>
      <c r="I384" s="5">
        <f>G384*H384</f>
        <v/>
      </c>
      <c r="J384" s="2">
        <f>XLOOKUP(E384, '06_BANG_GIA_VAT_TU_AP_DUNG'!B:B, '06_BANG_GIA_VAT_TU_AP_DUNG'!C:C, "LỖI_MÃ_VT")</f>
        <v/>
      </c>
      <c r="K384" s="2">
        <f>I384*J384</f>
        <v/>
      </c>
      <c r="L384" t="inlineStr">
        <is>
          <t>2 đôi bạc đỡ 2 bên thân</t>
        </is>
      </c>
    </row>
    <row r="385">
      <c r="A385" t="inlineStr">
        <is>
          <t>SW-DAMPER-109-GEAR</t>
        </is>
      </c>
      <c r="B385" t="inlineStr">
        <is>
          <t>SW-DAMPER-109</t>
        </is>
      </c>
      <c r="C385" t="inlineStr">
        <is>
          <t>Bánh răng van nhôm</t>
        </is>
      </c>
      <c r="D385" t="inlineStr">
        <is>
          <t>PHỤ_KIỆN_VAN</t>
        </is>
      </c>
      <c r="E385" t="inlineStr">
        <is>
          <t>MAT-DAMPER-BANH-RANG-VAN-NHOM</t>
        </is>
      </c>
      <c r="F385" t="inlineStr">
        <is>
          <t>Bộ</t>
        </is>
      </c>
      <c r="G385" s="4" t="n">
        <v>1</v>
      </c>
      <c r="H385" s="2">
        <f>XLOOKUP(B385, '00_TONG_HOP_BAO_GIA'!B:B, '00_TONG_HOP_BAO_GIA'!G:G, 1)</f>
        <v/>
      </c>
      <c r="I385" s="5">
        <f>G385*H385</f>
        <v/>
      </c>
      <c r="J385" s="2">
        <f>XLOOKUP(E385, '06_BANG_GIA_VAT_TU_AP_DUNG'!B:B, '06_BANG_GIA_VAT_TU_AP_DUNG'!C:C, "LỖI_MÃ_VT")</f>
        <v/>
      </c>
      <c r="K385" s="2">
        <f>I385*J385</f>
        <v/>
      </c>
      <c r="L385" t="inlineStr">
        <is>
          <t>Cơ cấu liên động bánh răng van</t>
        </is>
      </c>
    </row>
    <row r="386">
      <c r="A386" t="inlineStr">
        <is>
          <t>SW-DAMPER-109-HANDLE</t>
        </is>
      </c>
      <c r="B386" t="inlineStr">
        <is>
          <t>SW-DAMPER-109</t>
        </is>
      </c>
      <c r="C386" t="inlineStr">
        <is>
          <t>Tay gạt nhỏ</t>
        </is>
      </c>
      <c r="D386" t="inlineStr">
        <is>
          <t>PHỤ_KIỆN_VAN</t>
        </is>
      </c>
      <c r="E386" t="inlineStr">
        <is>
          <t>MAT-DAMPER-TAY-GAT-NHO</t>
        </is>
      </c>
      <c r="F386" t="inlineStr">
        <is>
          <t>Bộ</t>
        </is>
      </c>
      <c r="G386" s="4" t="n">
        <v>1</v>
      </c>
      <c r="H386" s="2">
        <f>XLOOKUP(B386, '00_TONG_HOP_BAO_GIA'!B:B, '00_TONG_HOP_BAO_GIA'!G:G, 1)</f>
        <v/>
      </c>
      <c r="I386" s="5">
        <f>G386*H386</f>
        <v/>
      </c>
      <c r="J386" s="2">
        <f>XLOOKUP(E386, '06_BANG_GIA_VAT_TU_AP_DUNG'!B:B, '06_BANG_GIA_VAT_TU_AP_DUNG'!C:C, "LỖI_MÃ_VT")</f>
        <v/>
      </c>
      <c r="K386" s="2">
        <f>I386*J386</f>
        <v/>
      </c>
      <c r="L386" t="inlineStr">
        <is>
          <t>Tay gạt khóa vị trí nan (S=0.15m2)</t>
        </is>
      </c>
    </row>
    <row r="387">
      <c r="A387" t="inlineStr">
        <is>
          <t>SW-DAMPER-110-BODY</t>
        </is>
      </c>
      <c r="B387" t="inlineStr">
        <is>
          <t>SW-DAMPER-110</t>
        </is>
      </c>
      <c r="C387" t="inlineStr">
        <is>
          <t>Thân vỏ van VCD bích TDF (0.75mm)</t>
        </is>
      </c>
      <c r="D387" t="inlineStr">
        <is>
          <t>TÔN_CUỘN_MẠ_KẼM</t>
        </is>
      </c>
      <c r="E387" t="inlineStr">
        <is>
          <t>MAT-STEEL-PN-0.75</t>
        </is>
      </c>
      <c r="F387" t="inlineStr">
        <is>
          <t>kg</t>
        </is>
      </c>
      <c r="G387" s="4" t="n">
        <v>3.0118095</v>
      </c>
      <c r="H387" s="2">
        <f>XLOOKUP(B387, '00_TONG_HOP_BAO_GIA'!B:B, '00_TONG_HOP_BAO_GIA'!G:G, 1)</f>
        <v/>
      </c>
      <c r="I387" s="5">
        <f>G387*H387</f>
        <v/>
      </c>
      <c r="J387" s="2">
        <f>XLOOKUP(E387, '06_BANG_GIA_VAT_TU_AP_DUNG'!B:B, '06_BANG_GIA_VAT_TU_AP_DUNG'!C:C, "LỖI_MÃ_VT")</f>
        <v/>
      </c>
      <c r="K387" s="2">
        <f>I387*J387</f>
        <v/>
      </c>
      <c r="L387" t="inlineStr">
        <is>
          <t>Kích thước vỏ 600.0x250.0x210mm</t>
        </is>
      </c>
    </row>
    <row r="388">
      <c r="A388" t="inlineStr">
        <is>
          <t>SW-DAMPER-110-BLADE</t>
        </is>
      </c>
      <c r="B388" t="inlineStr">
        <is>
          <t>SW-DAMPER-110</t>
        </is>
      </c>
      <c r="C388" t="inlineStr">
        <is>
          <t>Lá cánh van (2 cánh overlap)</t>
        </is>
      </c>
      <c r="D388" t="inlineStr">
        <is>
          <t>TÔN_CUỘN_MẠ_KẼM</t>
        </is>
      </c>
      <c r="E388" t="inlineStr">
        <is>
          <t>MAT-STEEL-PN-0.75</t>
        </is>
      </c>
      <c r="F388" t="inlineStr">
        <is>
          <t>kg</t>
        </is>
      </c>
      <c r="G388" s="4" t="n">
        <v>1.106379</v>
      </c>
      <c r="H388" s="2">
        <f>XLOOKUP(B388, '00_TONG_HOP_BAO_GIA'!B:B, '00_TONG_HOP_BAO_GIA'!G:G, 1)</f>
        <v/>
      </c>
      <c r="I388" s="5">
        <f>G388*H388</f>
        <v/>
      </c>
      <c r="J388" s="2">
        <f>XLOOKUP(E388, '06_BANG_GIA_VAT_TU_AP_DUNG'!B:B, '06_BANG_GIA_VAT_TU_AP_DUNG'!C:C, "LỖI_MÃ_VT")</f>
        <v/>
      </c>
      <c r="K388" s="2">
        <f>I388*J388</f>
        <v/>
      </c>
      <c r="L388" t="inlineStr">
        <is>
          <t>2 cánh cao 145mm</t>
        </is>
      </c>
    </row>
    <row r="389">
      <c r="A389" t="inlineStr">
        <is>
          <t>SW-DAMPER-110-AXLE</t>
        </is>
      </c>
      <c r="B389" t="inlineStr">
        <is>
          <t>SW-DAMPER-110</t>
        </is>
      </c>
      <c r="C389" t="inlineStr">
        <is>
          <t>Trục Sus 201 D10</t>
        </is>
      </c>
      <c r="D389" t="inlineStr">
        <is>
          <t>PHỤ_KIỆN_VAN</t>
        </is>
      </c>
      <c r="E389" t="inlineStr">
        <is>
          <t>MAT-DAMPER-TRUC-SUS-201-D10</t>
        </is>
      </c>
      <c r="F389" t="inlineStr">
        <is>
          <t>m</t>
        </is>
      </c>
      <c r="G389" s="4" t="n">
        <v>1.32</v>
      </c>
      <c r="H389" s="2">
        <f>XLOOKUP(B389, '00_TONG_HOP_BAO_GIA'!B:B, '00_TONG_HOP_BAO_GIA'!G:G, 1)</f>
        <v/>
      </c>
      <c r="I389" s="5">
        <f>G389*H389</f>
        <v/>
      </c>
      <c r="J389" s="2">
        <f>XLOOKUP(E389, '06_BANG_GIA_VAT_TU_AP_DUNG'!B:B, '06_BANG_GIA_VAT_TU_AP_DUNG'!C:C, "LỖI_MÃ_VT")</f>
        <v/>
      </c>
      <c r="K389" s="2">
        <f>I389*J389</f>
        <v/>
      </c>
      <c r="L389" t="inlineStr">
        <is>
          <t>2 trục dài 660mm</t>
        </is>
      </c>
    </row>
    <row r="390">
      <c r="A390" t="inlineStr">
        <is>
          <t>SW-DAMPER-110-BEARING</t>
        </is>
      </c>
      <c r="B390" t="inlineStr">
        <is>
          <t>SW-DAMPER-110</t>
        </is>
      </c>
      <c r="C390" t="inlineStr">
        <is>
          <t>Bạc đồng D10</t>
        </is>
      </c>
      <c r="D390" t="inlineStr">
        <is>
          <t>PHỤ_KIỆN_VAN</t>
        </is>
      </c>
      <c r="E390" t="inlineStr">
        <is>
          <t>MAT-DAMPER-BAC-DONG-D10</t>
        </is>
      </c>
      <c r="F390" t="inlineStr">
        <is>
          <t>Đôi</t>
        </is>
      </c>
      <c r="G390" s="4" t="n">
        <v>2</v>
      </c>
      <c r="H390" s="2">
        <f>XLOOKUP(B390, '00_TONG_HOP_BAO_GIA'!B:B, '00_TONG_HOP_BAO_GIA'!G:G, 1)</f>
        <v/>
      </c>
      <c r="I390" s="5">
        <f>G390*H390</f>
        <v/>
      </c>
      <c r="J390" s="2">
        <f>XLOOKUP(E390, '06_BANG_GIA_VAT_TU_AP_DUNG'!B:B, '06_BANG_GIA_VAT_TU_AP_DUNG'!C:C, "LỖI_MÃ_VT")</f>
        <v/>
      </c>
      <c r="K390" s="2">
        <f>I390*J390</f>
        <v/>
      </c>
      <c r="L390" t="inlineStr">
        <is>
          <t>2 đôi bạc đỡ 2 bên thân</t>
        </is>
      </c>
    </row>
    <row r="391">
      <c r="A391" t="inlineStr">
        <is>
          <t>SW-DAMPER-110-GEAR</t>
        </is>
      </c>
      <c r="B391" t="inlineStr">
        <is>
          <t>SW-DAMPER-110</t>
        </is>
      </c>
      <c r="C391" t="inlineStr">
        <is>
          <t>Bánh răng van nhôm</t>
        </is>
      </c>
      <c r="D391" t="inlineStr">
        <is>
          <t>PHỤ_KIỆN_VAN</t>
        </is>
      </c>
      <c r="E391" t="inlineStr">
        <is>
          <t>MAT-DAMPER-BANH-RANG-VAN-NHOM</t>
        </is>
      </c>
      <c r="F391" t="inlineStr">
        <is>
          <t>Bộ</t>
        </is>
      </c>
      <c r="G391" s="4" t="n">
        <v>1</v>
      </c>
      <c r="H391" s="2">
        <f>XLOOKUP(B391, '00_TONG_HOP_BAO_GIA'!B:B, '00_TONG_HOP_BAO_GIA'!G:G, 1)</f>
        <v/>
      </c>
      <c r="I391" s="5">
        <f>G391*H391</f>
        <v/>
      </c>
      <c r="J391" s="2">
        <f>XLOOKUP(E391, '06_BANG_GIA_VAT_TU_AP_DUNG'!B:B, '06_BANG_GIA_VAT_TU_AP_DUNG'!C:C, "LỖI_MÃ_VT")</f>
        <v/>
      </c>
      <c r="K391" s="2">
        <f>I391*J391</f>
        <v/>
      </c>
      <c r="L391" t="inlineStr">
        <is>
          <t>Cơ cấu liên động bánh răng van</t>
        </is>
      </c>
    </row>
    <row r="392">
      <c r="A392" t="inlineStr">
        <is>
          <t>SW-DAMPER-110-HANDLE</t>
        </is>
      </c>
      <c r="B392" t="inlineStr">
        <is>
          <t>SW-DAMPER-110</t>
        </is>
      </c>
      <c r="C392" t="inlineStr">
        <is>
          <t>Tay gạt nhỏ</t>
        </is>
      </c>
      <c r="D392" t="inlineStr">
        <is>
          <t>PHỤ_KIỆN_VAN</t>
        </is>
      </c>
      <c r="E392" t="inlineStr">
        <is>
          <t>MAT-DAMPER-TAY-GAT-NHO</t>
        </is>
      </c>
      <c r="F392" t="inlineStr">
        <is>
          <t>Bộ</t>
        </is>
      </c>
      <c r="G392" s="4" t="n">
        <v>1</v>
      </c>
      <c r="H392" s="2">
        <f>XLOOKUP(B392, '00_TONG_HOP_BAO_GIA'!B:B, '00_TONG_HOP_BAO_GIA'!G:G, 1)</f>
        <v/>
      </c>
      <c r="I392" s="5">
        <f>G392*H392</f>
        <v/>
      </c>
      <c r="J392" s="2">
        <f>XLOOKUP(E392, '06_BANG_GIA_VAT_TU_AP_DUNG'!B:B, '06_BANG_GIA_VAT_TU_AP_DUNG'!C:C, "LỖI_MÃ_VT")</f>
        <v/>
      </c>
      <c r="K392" s="2">
        <f>I392*J392</f>
        <v/>
      </c>
      <c r="L392" t="inlineStr">
        <is>
          <t>Tay gạt khóa vị trí nan (S=0.15m2)</t>
        </is>
      </c>
    </row>
    <row r="393">
      <c r="A393" t="inlineStr">
        <is>
          <t>SW-DAMPER-111-BODY</t>
        </is>
      </c>
      <c r="B393" t="inlineStr">
        <is>
          <t>SW-DAMPER-111</t>
        </is>
      </c>
      <c r="C393" t="inlineStr">
        <is>
          <t>Thân vỏ van VCD bích TDF (0.75mm)</t>
        </is>
      </c>
      <c r="D393" t="inlineStr">
        <is>
          <t>TÔN_CUỘN_MẠ_KẼM</t>
        </is>
      </c>
      <c r="E393" t="inlineStr">
        <is>
          <t>MAT-STEEL-PN-0.75</t>
        </is>
      </c>
      <c r="F393" t="inlineStr">
        <is>
          <t>kg</t>
        </is>
      </c>
      <c r="G393" s="4" t="n">
        <v>3.184902</v>
      </c>
      <c r="H393" s="2">
        <f>XLOOKUP(B393, '00_TONG_HOP_BAO_GIA'!B:B, '00_TONG_HOP_BAO_GIA'!G:G, 1)</f>
        <v/>
      </c>
      <c r="I393" s="5">
        <f>G393*H393</f>
        <v/>
      </c>
      <c r="J393" s="2">
        <f>XLOOKUP(E393, '06_BANG_GIA_VAT_TU_AP_DUNG'!B:B, '06_BANG_GIA_VAT_TU_AP_DUNG'!C:C, "LỖI_MÃ_VT")</f>
        <v/>
      </c>
      <c r="K393" s="2">
        <f>I393*J393</f>
        <v/>
      </c>
      <c r="L393" t="inlineStr">
        <is>
          <t>Kích thước vỏ 600.0x300.0x210mm</t>
        </is>
      </c>
    </row>
    <row r="394">
      <c r="A394" t="inlineStr">
        <is>
          <t>SW-DAMPER-111-BLADE</t>
        </is>
      </c>
      <c r="B394" t="inlineStr">
        <is>
          <t>SW-DAMPER-111</t>
        </is>
      </c>
      <c r="C394" t="inlineStr">
        <is>
          <t>Lá cánh van (2 cánh overlap)</t>
        </is>
      </c>
      <c r="D394" t="inlineStr">
        <is>
          <t>TÔN_CUỘN_MẠ_KẼM</t>
        </is>
      </c>
      <c r="E394" t="inlineStr">
        <is>
          <t>MAT-STEEL-PN-0.75</t>
        </is>
      </c>
      <c r="F394" t="inlineStr">
        <is>
          <t>kg</t>
        </is>
      </c>
      <c r="G394" s="4" t="n">
        <v>1.297134</v>
      </c>
      <c r="H394" s="2">
        <f>XLOOKUP(B394, '00_TONG_HOP_BAO_GIA'!B:B, '00_TONG_HOP_BAO_GIA'!G:G, 1)</f>
        <v/>
      </c>
      <c r="I394" s="5">
        <f>G394*H394</f>
        <v/>
      </c>
      <c r="J394" s="2">
        <f>XLOOKUP(E394, '06_BANG_GIA_VAT_TU_AP_DUNG'!B:B, '06_BANG_GIA_VAT_TU_AP_DUNG'!C:C, "LỖI_MÃ_VT")</f>
        <v/>
      </c>
      <c r="K394" s="2">
        <f>I394*J394</f>
        <v/>
      </c>
      <c r="L394" t="inlineStr">
        <is>
          <t>2 cánh cao 170mm</t>
        </is>
      </c>
    </row>
    <row r="395">
      <c r="A395" t="inlineStr">
        <is>
          <t>SW-DAMPER-111-AXLE</t>
        </is>
      </c>
      <c r="B395" t="inlineStr">
        <is>
          <t>SW-DAMPER-111</t>
        </is>
      </c>
      <c r="C395" t="inlineStr">
        <is>
          <t>Trục Sus 201 D10</t>
        </is>
      </c>
      <c r="D395" t="inlineStr">
        <is>
          <t>PHỤ_KIỆN_VAN</t>
        </is>
      </c>
      <c r="E395" t="inlineStr">
        <is>
          <t>MAT-DAMPER-TRUC-SUS-201-D10</t>
        </is>
      </c>
      <c r="F395" t="inlineStr">
        <is>
          <t>m</t>
        </is>
      </c>
      <c r="G395" s="4" t="n">
        <v>1.32</v>
      </c>
      <c r="H395" s="2">
        <f>XLOOKUP(B395, '00_TONG_HOP_BAO_GIA'!B:B, '00_TONG_HOP_BAO_GIA'!G:G, 1)</f>
        <v/>
      </c>
      <c r="I395" s="5">
        <f>G395*H395</f>
        <v/>
      </c>
      <c r="J395" s="2">
        <f>XLOOKUP(E395, '06_BANG_GIA_VAT_TU_AP_DUNG'!B:B, '06_BANG_GIA_VAT_TU_AP_DUNG'!C:C, "LỖI_MÃ_VT")</f>
        <v/>
      </c>
      <c r="K395" s="2">
        <f>I395*J395</f>
        <v/>
      </c>
      <c r="L395" t="inlineStr">
        <is>
          <t>2 trục dài 660mm</t>
        </is>
      </c>
    </row>
    <row r="396">
      <c r="A396" t="inlineStr">
        <is>
          <t>SW-DAMPER-111-BEARING</t>
        </is>
      </c>
      <c r="B396" t="inlineStr">
        <is>
          <t>SW-DAMPER-111</t>
        </is>
      </c>
      <c r="C396" t="inlineStr">
        <is>
          <t>Bạc đồng D10</t>
        </is>
      </c>
      <c r="D396" t="inlineStr">
        <is>
          <t>PHỤ_KIỆN_VAN</t>
        </is>
      </c>
      <c r="E396" t="inlineStr">
        <is>
          <t>MAT-DAMPER-BAC-DONG-D10</t>
        </is>
      </c>
      <c r="F396" t="inlineStr">
        <is>
          <t>Đôi</t>
        </is>
      </c>
      <c r="G396" s="4" t="n">
        <v>2</v>
      </c>
      <c r="H396" s="2">
        <f>XLOOKUP(B396, '00_TONG_HOP_BAO_GIA'!B:B, '00_TONG_HOP_BAO_GIA'!G:G, 1)</f>
        <v/>
      </c>
      <c r="I396" s="5">
        <f>G396*H396</f>
        <v/>
      </c>
      <c r="J396" s="2">
        <f>XLOOKUP(E396, '06_BANG_GIA_VAT_TU_AP_DUNG'!B:B, '06_BANG_GIA_VAT_TU_AP_DUNG'!C:C, "LỖI_MÃ_VT")</f>
        <v/>
      </c>
      <c r="K396" s="2">
        <f>I396*J396</f>
        <v/>
      </c>
      <c r="L396" t="inlineStr">
        <is>
          <t>2 đôi bạc đỡ 2 bên thân</t>
        </is>
      </c>
    </row>
    <row r="397">
      <c r="A397" t="inlineStr">
        <is>
          <t>SW-DAMPER-111-GEAR</t>
        </is>
      </c>
      <c r="B397" t="inlineStr">
        <is>
          <t>SW-DAMPER-111</t>
        </is>
      </c>
      <c r="C397" t="inlineStr">
        <is>
          <t>Bánh răng van nhôm</t>
        </is>
      </c>
      <c r="D397" t="inlineStr">
        <is>
          <t>PHỤ_KIỆN_VAN</t>
        </is>
      </c>
      <c r="E397" t="inlineStr">
        <is>
          <t>MAT-DAMPER-BANH-RANG-VAN-NHOM</t>
        </is>
      </c>
      <c r="F397" t="inlineStr">
        <is>
          <t>Bộ</t>
        </is>
      </c>
      <c r="G397" s="4" t="n">
        <v>1</v>
      </c>
      <c r="H397" s="2">
        <f>XLOOKUP(B397, '00_TONG_HOP_BAO_GIA'!B:B, '00_TONG_HOP_BAO_GIA'!G:G, 1)</f>
        <v/>
      </c>
      <c r="I397" s="5">
        <f>G397*H397</f>
        <v/>
      </c>
      <c r="J397" s="2">
        <f>XLOOKUP(E397, '06_BANG_GIA_VAT_TU_AP_DUNG'!B:B, '06_BANG_GIA_VAT_TU_AP_DUNG'!C:C, "LỖI_MÃ_VT")</f>
        <v/>
      </c>
      <c r="K397" s="2">
        <f>I397*J397</f>
        <v/>
      </c>
      <c r="L397" t="inlineStr">
        <is>
          <t>Cơ cấu liên động bánh răng van</t>
        </is>
      </c>
    </row>
    <row r="398">
      <c r="A398" t="inlineStr">
        <is>
          <t>SW-DAMPER-111-HANDLE</t>
        </is>
      </c>
      <c r="B398" t="inlineStr">
        <is>
          <t>SW-DAMPER-111</t>
        </is>
      </c>
      <c r="C398" t="inlineStr">
        <is>
          <t>Tay gạt nhỏ</t>
        </is>
      </c>
      <c r="D398" t="inlineStr">
        <is>
          <t>PHỤ_KIỆN_VAN</t>
        </is>
      </c>
      <c r="E398" t="inlineStr">
        <is>
          <t>MAT-DAMPER-TAY-GAT-NHO</t>
        </is>
      </c>
      <c r="F398" t="inlineStr">
        <is>
          <t>Bộ</t>
        </is>
      </c>
      <c r="G398" s="4" t="n">
        <v>1</v>
      </c>
      <c r="H398" s="2">
        <f>XLOOKUP(B398, '00_TONG_HOP_BAO_GIA'!B:B, '00_TONG_HOP_BAO_GIA'!G:G, 1)</f>
        <v/>
      </c>
      <c r="I398" s="5">
        <f>G398*H398</f>
        <v/>
      </c>
      <c r="J398" s="2">
        <f>XLOOKUP(E398, '06_BANG_GIA_VAT_TU_AP_DUNG'!B:B, '06_BANG_GIA_VAT_TU_AP_DUNG'!C:C, "LỖI_MÃ_VT")</f>
        <v/>
      </c>
      <c r="K398" s="2">
        <f>I398*J398</f>
        <v/>
      </c>
      <c r="L398" t="inlineStr">
        <is>
          <t>Tay gạt khóa vị trí nan (S=0.18m2)</t>
        </is>
      </c>
    </row>
    <row r="399">
      <c r="A399" t="inlineStr">
        <is>
          <t>SW-DAMPER-112-BODY</t>
        </is>
      </c>
      <c r="B399" t="inlineStr">
        <is>
          <t>SW-DAMPER-112</t>
        </is>
      </c>
      <c r="C399" t="inlineStr">
        <is>
          <t>Thân vỏ van VCD bích TDF (0.75mm)</t>
        </is>
      </c>
      <c r="D399" t="inlineStr">
        <is>
          <t>TÔN_CUỘN_MẠ_KẼM</t>
        </is>
      </c>
      <c r="E399" t="inlineStr">
        <is>
          <t>MAT-STEEL-PN-0.75</t>
        </is>
      </c>
      <c r="F399" t="inlineStr">
        <is>
          <t>kg</t>
        </is>
      </c>
      <c r="G399" s="4" t="n">
        <v>3.531087</v>
      </c>
      <c r="H399" s="2">
        <f>XLOOKUP(B399, '00_TONG_HOP_BAO_GIA'!B:B, '00_TONG_HOP_BAO_GIA'!G:G, 1)</f>
        <v/>
      </c>
      <c r="I399" s="5">
        <f>G399*H399</f>
        <v/>
      </c>
      <c r="J399" s="2">
        <f>XLOOKUP(E399, '06_BANG_GIA_VAT_TU_AP_DUNG'!B:B, '06_BANG_GIA_VAT_TU_AP_DUNG'!C:C, "LỖI_MÃ_VT")</f>
        <v/>
      </c>
      <c r="K399" s="2">
        <f>I399*J399</f>
        <v/>
      </c>
      <c r="L399" t="inlineStr">
        <is>
          <t>Kích thước vỏ 600.0x400.0x210mm</t>
        </is>
      </c>
    </row>
    <row r="400">
      <c r="A400" t="inlineStr">
        <is>
          <t>SW-DAMPER-112-BLADE</t>
        </is>
      </c>
      <c r="B400" t="inlineStr">
        <is>
          <t>SW-DAMPER-112</t>
        </is>
      </c>
      <c r="C400" t="inlineStr">
        <is>
          <t>Lá cánh van (3 cánh overlap)</t>
        </is>
      </c>
      <c r="D400" t="inlineStr">
        <is>
          <t>TÔN_CUỘN_MẠ_KẼM</t>
        </is>
      </c>
      <c r="E400" t="inlineStr">
        <is>
          <t>MAT-STEEL-PN-0.75</t>
        </is>
      </c>
      <c r="F400" t="inlineStr">
        <is>
          <t>kg</t>
        </is>
      </c>
      <c r="G400" s="4" t="n">
        <v>1.754946</v>
      </c>
      <c r="H400" s="2">
        <f>XLOOKUP(B400, '00_TONG_HOP_BAO_GIA'!B:B, '00_TONG_HOP_BAO_GIA'!G:G, 1)</f>
        <v/>
      </c>
      <c r="I400" s="5">
        <f>G400*H400</f>
        <v/>
      </c>
      <c r="J400" s="2">
        <f>XLOOKUP(E400, '06_BANG_GIA_VAT_TU_AP_DUNG'!B:B, '06_BANG_GIA_VAT_TU_AP_DUNG'!C:C, "LỖI_MÃ_VT")</f>
        <v/>
      </c>
      <c r="K400" s="2">
        <f>I400*J400</f>
        <v/>
      </c>
      <c r="L400" t="inlineStr">
        <is>
          <t>3 cánh cao 153mm</t>
        </is>
      </c>
    </row>
    <row r="401">
      <c r="A401" t="inlineStr">
        <is>
          <t>SW-DAMPER-112-AXLE</t>
        </is>
      </c>
      <c r="B401" t="inlineStr">
        <is>
          <t>SW-DAMPER-112</t>
        </is>
      </c>
      <c r="C401" t="inlineStr">
        <is>
          <t>Trục Sus 201 D10</t>
        </is>
      </c>
      <c r="D401" t="inlineStr">
        <is>
          <t>PHỤ_KIỆN_VAN</t>
        </is>
      </c>
      <c r="E401" t="inlineStr">
        <is>
          <t>MAT-DAMPER-TRUC-SUS-201-D10</t>
        </is>
      </c>
      <c r="F401" t="inlineStr">
        <is>
          <t>m</t>
        </is>
      </c>
      <c r="G401" s="4" t="n">
        <v>1.98</v>
      </c>
      <c r="H401" s="2">
        <f>XLOOKUP(B401, '00_TONG_HOP_BAO_GIA'!B:B, '00_TONG_HOP_BAO_GIA'!G:G, 1)</f>
        <v/>
      </c>
      <c r="I401" s="5">
        <f>G401*H401</f>
        <v/>
      </c>
      <c r="J401" s="2">
        <f>XLOOKUP(E401, '06_BANG_GIA_VAT_TU_AP_DUNG'!B:B, '06_BANG_GIA_VAT_TU_AP_DUNG'!C:C, "LỖI_MÃ_VT")</f>
        <v/>
      </c>
      <c r="K401" s="2">
        <f>I401*J401</f>
        <v/>
      </c>
      <c r="L401" t="inlineStr">
        <is>
          <t>3 trục dài 660mm</t>
        </is>
      </c>
    </row>
    <row r="402">
      <c r="A402" t="inlineStr">
        <is>
          <t>SW-DAMPER-112-BEARING</t>
        </is>
      </c>
      <c r="B402" t="inlineStr">
        <is>
          <t>SW-DAMPER-112</t>
        </is>
      </c>
      <c r="C402" t="inlineStr">
        <is>
          <t>Bạc đồng D10</t>
        </is>
      </c>
      <c r="D402" t="inlineStr">
        <is>
          <t>PHỤ_KIỆN_VAN</t>
        </is>
      </c>
      <c r="E402" t="inlineStr">
        <is>
          <t>MAT-DAMPER-BAC-DONG-D10</t>
        </is>
      </c>
      <c r="F402" t="inlineStr">
        <is>
          <t>Đôi</t>
        </is>
      </c>
      <c r="G402" s="4" t="n">
        <v>3</v>
      </c>
      <c r="H402" s="2">
        <f>XLOOKUP(B402, '00_TONG_HOP_BAO_GIA'!B:B, '00_TONG_HOP_BAO_GIA'!G:G, 1)</f>
        <v/>
      </c>
      <c r="I402" s="5">
        <f>G402*H402</f>
        <v/>
      </c>
      <c r="J402" s="2">
        <f>XLOOKUP(E402, '06_BANG_GIA_VAT_TU_AP_DUNG'!B:B, '06_BANG_GIA_VAT_TU_AP_DUNG'!C:C, "LỖI_MÃ_VT")</f>
        <v/>
      </c>
      <c r="K402" s="2">
        <f>I402*J402</f>
        <v/>
      </c>
      <c r="L402" t="inlineStr">
        <is>
          <t>3 đôi bạc đỡ 2 bên thân</t>
        </is>
      </c>
    </row>
    <row r="403">
      <c r="A403" t="inlineStr">
        <is>
          <t>SW-DAMPER-112-GEAR</t>
        </is>
      </c>
      <c r="B403" t="inlineStr">
        <is>
          <t>SW-DAMPER-112</t>
        </is>
      </c>
      <c r="C403" t="inlineStr">
        <is>
          <t>Bánh răng van nhôm</t>
        </is>
      </c>
      <c r="D403" t="inlineStr">
        <is>
          <t>PHỤ_KIỆN_VAN</t>
        </is>
      </c>
      <c r="E403" t="inlineStr">
        <is>
          <t>MAT-DAMPER-BANH-RANG-VAN-NHOM</t>
        </is>
      </c>
      <c r="F403" t="inlineStr">
        <is>
          <t>Bộ</t>
        </is>
      </c>
      <c r="G403" s="4" t="n">
        <v>1</v>
      </c>
      <c r="H403" s="2">
        <f>XLOOKUP(B403, '00_TONG_HOP_BAO_GIA'!B:B, '00_TONG_HOP_BAO_GIA'!G:G, 1)</f>
        <v/>
      </c>
      <c r="I403" s="5">
        <f>G403*H403</f>
        <v/>
      </c>
      <c r="J403" s="2">
        <f>XLOOKUP(E403, '06_BANG_GIA_VAT_TU_AP_DUNG'!B:B, '06_BANG_GIA_VAT_TU_AP_DUNG'!C:C, "LỖI_MÃ_VT")</f>
        <v/>
      </c>
      <c r="K403" s="2">
        <f>I403*J403</f>
        <v/>
      </c>
      <c r="L403" t="inlineStr">
        <is>
          <t>Cơ cấu liên động bánh răng van</t>
        </is>
      </c>
    </row>
    <row r="404">
      <c r="A404" t="inlineStr">
        <is>
          <t>SW-DAMPER-112-HANDLE</t>
        </is>
      </c>
      <c r="B404" t="inlineStr">
        <is>
          <t>SW-DAMPER-112</t>
        </is>
      </c>
      <c r="C404" t="inlineStr">
        <is>
          <t>Tay gạt nhỏ</t>
        </is>
      </c>
      <c r="D404" t="inlineStr">
        <is>
          <t>PHỤ_KIỆN_VAN</t>
        </is>
      </c>
      <c r="E404" t="inlineStr">
        <is>
          <t>MAT-DAMPER-TAY-GAT-NHO</t>
        </is>
      </c>
      <c r="F404" t="inlineStr">
        <is>
          <t>Bộ</t>
        </is>
      </c>
      <c r="G404" s="4" t="n">
        <v>1</v>
      </c>
      <c r="H404" s="2">
        <f>XLOOKUP(B404, '00_TONG_HOP_BAO_GIA'!B:B, '00_TONG_HOP_BAO_GIA'!G:G, 1)</f>
        <v/>
      </c>
      <c r="I404" s="5">
        <f>G404*H404</f>
        <v/>
      </c>
      <c r="J404" s="2">
        <f>XLOOKUP(E404, '06_BANG_GIA_VAT_TU_AP_DUNG'!B:B, '06_BANG_GIA_VAT_TU_AP_DUNG'!C:C, "LỖI_MÃ_VT")</f>
        <v/>
      </c>
      <c r="K404" s="2">
        <f>I404*J404</f>
        <v/>
      </c>
      <c r="L404" t="inlineStr">
        <is>
          <t>Tay gạt khóa vị trí nan (S=0.24m2)</t>
        </is>
      </c>
    </row>
    <row r="405">
      <c r="A405" t="inlineStr">
        <is>
          <t>SW-DAMPER-113-BODY</t>
        </is>
      </c>
      <c r="B405" t="inlineStr">
        <is>
          <t>SW-DAMPER-113</t>
        </is>
      </c>
      <c r="C405" t="inlineStr">
        <is>
          <t>Thân vỏ van VCD bích TDF (0.75mm)</t>
        </is>
      </c>
      <c r="D405" t="inlineStr">
        <is>
          <t>TÔN_CUỘN_MẠ_KẼM</t>
        </is>
      </c>
      <c r="E405" t="inlineStr">
        <is>
          <t>MAT-STEEL-PN-0.75</t>
        </is>
      </c>
      <c r="F405" t="inlineStr">
        <is>
          <t>kg</t>
        </is>
      </c>
      <c r="G405" s="4" t="n">
        <v>3.184902</v>
      </c>
      <c r="H405" s="2">
        <f>XLOOKUP(B405, '00_TONG_HOP_BAO_GIA'!B:B, '00_TONG_HOP_BAO_GIA'!G:G, 1)</f>
        <v/>
      </c>
      <c r="I405" s="5">
        <f>G405*H405</f>
        <v/>
      </c>
      <c r="J405" s="2">
        <f>XLOOKUP(E405, '06_BANG_GIA_VAT_TU_AP_DUNG'!B:B, '06_BANG_GIA_VAT_TU_AP_DUNG'!C:C, "LỖI_MÃ_VT")</f>
        <v/>
      </c>
      <c r="K405" s="2">
        <f>I405*J405</f>
        <v/>
      </c>
      <c r="L405" t="inlineStr">
        <is>
          <t>Kích thước vỏ 650.0x250.0x210mm</t>
        </is>
      </c>
    </row>
    <row r="406">
      <c r="A406" t="inlineStr">
        <is>
          <t>SW-DAMPER-113-BLADE</t>
        </is>
      </c>
      <c r="B406" t="inlineStr">
        <is>
          <t>SW-DAMPER-113</t>
        </is>
      </c>
      <c r="C406" t="inlineStr">
        <is>
          <t>Lá cánh van (2 cánh overlap)</t>
        </is>
      </c>
      <c r="D406" t="inlineStr">
        <is>
          <t>TÔN_CUỘN_MẠ_KẼM</t>
        </is>
      </c>
      <c r="E406" t="inlineStr">
        <is>
          <t>MAT-STEEL-PN-0.75</t>
        </is>
      </c>
      <c r="F406" t="inlineStr">
        <is>
          <t>kg</t>
        </is>
      </c>
      <c r="G406" s="4" t="n">
        <v>1.19857725</v>
      </c>
      <c r="H406" s="2">
        <f>XLOOKUP(B406, '00_TONG_HOP_BAO_GIA'!B:B, '00_TONG_HOP_BAO_GIA'!G:G, 1)</f>
        <v/>
      </c>
      <c r="I406" s="5">
        <f>G406*H406</f>
        <v/>
      </c>
      <c r="J406" s="2">
        <f>XLOOKUP(E406, '06_BANG_GIA_VAT_TU_AP_DUNG'!B:B, '06_BANG_GIA_VAT_TU_AP_DUNG'!C:C, "LỖI_MÃ_VT")</f>
        <v/>
      </c>
      <c r="K406" s="2">
        <f>I406*J406</f>
        <v/>
      </c>
      <c r="L406" t="inlineStr">
        <is>
          <t>2 cánh cao 145mm</t>
        </is>
      </c>
    </row>
    <row r="407">
      <c r="A407" t="inlineStr">
        <is>
          <t>SW-DAMPER-113-AXLE</t>
        </is>
      </c>
      <c r="B407" t="inlineStr">
        <is>
          <t>SW-DAMPER-113</t>
        </is>
      </c>
      <c r="C407" t="inlineStr">
        <is>
          <t>Trục Sus 201 D10</t>
        </is>
      </c>
      <c r="D407" t="inlineStr">
        <is>
          <t>PHỤ_KIỆN_VAN</t>
        </is>
      </c>
      <c r="E407" t="inlineStr">
        <is>
          <t>MAT-DAMPER-TRUC-SUS-201-D10</t>
        </is>
      </c>
      <c r="F407" t="inlineStr">
        <is>
          <t>m</t>
        </is>
      </c>
      <c r="G407" s="4" t="n">
        <v>1.42</v>
      </c>
      <c r="H407" s="2">
        <f>XLOOKUP(B407, '00_TONG_HOP_BAO_GIA'!B:B, '00_TONG_HOP_BAO_GIA'!G:G, 1)</f>
        <v/>
      </c>
      <c r="I407" s="5">
        <f>G407*H407</f>
        <v/>
      </c>
      <c r="J407" s="2">
        <f>XLOOKUP(E407, '06_BANG_GIA_VAT_TU_AP_DUNG'!B:B, '06_BANG_GIA_VAT_TU_AP_DUNG'!C:C, "LỖI_MÃ_VT")</f>
        <v/>
      </c>
      <c r="K407" s="2">
        <f>I407*J407</f>
        <v/>
      </c>
      <c r="L407" t="inlineStr">
        <is>
          <t>2 trục dài 710mm</t>
        </is>
      </c>
    </row>
    <row r="408">
      <c r="A408" t="inlineStr">
        <is>
          <t>SW-DAMPER-113-BEARING</t>
        </is>
      </c>
      <c r="B408" t="inlineStr">
        <is>
          <t>SW-DAMPER-113</t>
        </is>
      </c>
      <c r="C408" t="inlineStr">
        <is>
          <t>Bạc đồng D10</t>
        </is>
      </c>
      <c r="D408" t="inlineStr">
        <is>
          <t>PHỤ_KIỆN_VAN</t>
        </is>
      </c>
      <c r="E408" t="inlineStr">
        <is>
          <t>MAT-DAMPER-BAC-DONG-D10</t>
        </is>
      </c>
      <c r="F408" t="inlineStr">
        <is>
          <t>Đôi</t>
        </is>
      </c>
      <c r="G408" s="4" t="n">
        <v>2</v>
      </c>
      <c r="H408" s="2">
        <f>XLOOKUP(B408, '00_TONG_HOP_BAO_GIA'!B:B, '00_TONG_HOP_BAO_GIA'!G:G, 1)</f>
        <v/>
      </c>
      <c r="I408" s="5">
        <f>G408*H408</f>
        <v/>
      </c>
      <c r="J408" s="2">
        <f>XLOOKUP(E408, '06_BANG_GIA_VAT_TU_AP_DUNG'!B:B, '06_BANG_GIA_VAT_TU_AP_DUNG'!C:C, "LỖI_MÃ_VT")</f>
        <v/>
      </c>
      <c r="K408" s="2">
        <f>I408*J408</f>
        <v/>
      </c>
      <c r="L408" t="inlineStr">
        <is>
          <t>2 đôi bạc đỡ 2 bên thân</t>
        </is>
      </c>
    </row>
    <row r="409">
      <c r="A409" t="inlineStr">
        <is>
          <t>SW-DAMPER-113-GEAR</t>
        </is>
      </c>
      <c r="B409" t="inlineStr">
        <is>
          <t>SW-DAMPER-113</t>
        </is>
      </c>
      <c r="C409" t="inlineStr">
        <is>
          <t>Bánh răng van nhôm</t>
        </is>
      </c>
      <c r="D409" t="inlineStr">
        <is>
          <t>PHỤ_KIỆN_VAN</t>
        </is>
      </c>
      <c r="E409" t="inlineStr">
        <is>
          <t>MAT-DAMPER-BANH-RANG-VAN-NHOM</t>
        </is>
      </c>
      <c r="F409" t="inlineStr">
        <is>
          <t>Bộ</t>
        </is>
      </c>
      <c r="G409" s="4" t="n">
        <v>1</v>
      </c>
      <c r="H409" s="2">
        <f>XLOOKUP(B409, '00_TONG_HOP_BAO_GIA'!B:B, '00_TONG_HOP_BAO_GIA'!G:G, 1)</f>
        <v/>
      </c>
      <c r="I409" s="5">
        <f>G409*H409</f>
        <v/>
      </c>
      <c r="J409" s="2">
        <f>XLOOKUP(E409, '06_BANG_GIA_VAT_TU_AP_DUNG'!B:B, '06_BANG_GIA_VAT_TU_AP_DUNG'!C:C, "LỖI_MÃ_VT")</f>
        <v/>
      </c>
      <c r="K409" s="2">
        <f>I409*J409</f>
        <v/>
      </c>
      <c r="L409" t="inlineStr">
        <is>
          <t>Cơ cấu liên động bánh răng van</t>
        </is>
      </c>
    </row>
    <row r="410">
      <c r="A410" t="inlineStr">
        <is>
          <t>SW-DAMPER-113-HANDLE</t>
        </is>
      </c>
      <c r="B410" t="inlineStr">
        <is>
          <t>SW-DAMPER-113</t>
        </is>
      </c>
      <c r="C410" t="inlineStr">
        <is>
          <t>Tay gạt nhỏ</t>
        </is>
      </c>
      <c r="D410" t="inlineStr">
        <is>
          <t>PHỤ_KIỆN_VAN</t>
        </is>
      </c>
      <c r="E410" t="inlineStr">
        <is>
          <t>MAT-DAMPER-TAY-GAT-NHO</t>
        </is>
      </c>
      <c r="F410" t="inlineStr">
        <is>
          <t>Bộ</t>
        </is>
      </c>
      <c r="G410" s="4" t="n">
        <v>1</v>
      </c>
      <c r="H410" s="2">
        <f>XLOOKUP(B410, '00_TONG_HOP_BAO_GIA'!B:B, '00_TONG_HOP_BAO_GIA'!G:G, 1)</f>
        <v/>
      </c>
      <c r="I410" s="5">
        <f>G410*H410</f>
        <v/>
      </c>
      <c r="J410" s="2">
        <f>XLOOKUP(E410, '06_BANG_GIA_VAT_TU_AP_DUNG'!B:B, '06_BANG_GIA_VAT_TU_AP_DUNG'!C:C, "LỖI_MÃ_VT")</f>
        <v/>
      </c>
      <c r="K410" s="2">
        <f>I410*J410</f>
        <v/>
      </c>
      <c r="L410" t="inlineStr">
        <is>
          <t>Tay gạt khóa vị trí nan (S=0.16m2)</t>
        </is>
      </c>
    </row>
    <row r="411">
      <c r="A411" t="inlineStr">
        <is>
          <t>SW-DAMPER-114-BODY</t>
        </is>
      </c>
      <c r="B411" t="inlineStr">
        <is>
          <t>SW-DAMPER-114</t>
        </is>
      </c>
      <c r="C411" t="inlineStr">
        <is>
          <t>Thân vỏ van VCD bích TDF (0.75mm)</t>
        </is>
      </c>
      <c r="D411" t="inlineStr">
        <is>
          <t>TÔN_CUỘN_MẠ_KẼM</t>
        </is>
      </c>
      <c r="E411" t="inlineStr">
        <is>
          <t>MAT-STEEL-PN-0.75</t>
        </is>
      </c>
      <c r="F411" t="inlineStr">
        <is>
          <t>kg</t>
        </is>
      </c>
      <c r="G411" s="4" t="n">
        <v>3.3579945</v>
      </c>
      <c r="H411" s="2">
        <f>XLOOKUP(B411, '00_TONG_HOP_BAO_GIA'!B:B, '00_TONG_HOP_BAO_GIA'!G:G, 1)</f>
        <v/>
      </c>
      <c r="I411" s="5">
        <f>G411*H411</f>
        <v/>
      </c>
      <c r="J411" s="2">
        <f>XLOOKUP(E411, '06_BANG_GIA_VAT_TU_AP_DUNG'!B:B, '06_BANG_GIA_VAT_TU_AP_DUNG'!C:C, "LỖI_MÃ_VT")</f>
        <v/>
      </c>
      <c r="K411" s="2">
        <f>I411*J411</f>
        <v/>
      </c>
      <c r="L411" t="inlineStr">
        <is>
          <t>Kích thước vỏ 650.0x300.0x210mm</t>
        </is>
      </c>
    </row>
    <row r="412">
      <c r="A412" t="inlineStr">
        <is>
          <t>SW-DAMPER-114-BLADE</t>
        </is>
      </c>
      <c r="B412" t="inlineStr">
        <is>
          <t>SW-DAMPER-114</t>
        </is>
      </c>
      <c r="C412" t="inlineStr">
        <is>
          <t>Lá cánh van (2 cánh overlap)</t>
        </is>
      </c>
      <c r="D412" t="inlineStr">
        <is>
          <t>TÔN_CUỘN_MẠ_KẼM</t>
        </is>
      </c>
      <c r="E412" t="inlineStr">
        <is>
          <t>MAT-STEEL-PN-0.75</t>
        </is>
      </c>
      <c r="F412" t="inlineStr">
        <is>
          <t>kg</t>
        </is>
      </c>
      <c r="G412" s="4" t="n">
        <v>1.4052285</v>
      </c>
      <c r="H412" s="2">
        <f>XLOOKUP(B412, '00_TONG_HOP_BAO_GIA'!B:B, '00_TONG_HOP_BAO_GIA'!G:G, 1)</f>
        <v/>
      </c>
      <c r="I412" s="5">
        <f>G412*H412</f>
        <v/>
      </c>
      <c r="J412" s="2">
        <f>XLOOKUP(E412, '06_BANG_GIA_VAT_TU_AP_DUNG'!B:B, '06_BANG_GIA_VAT_TU_AP_DUNG'!C:C, "LỖI_MÃ_VT")</f>
        <v/>
      </c>
      <c r="K412" s="2">
        <f>I412*J412</f>
        <v/>
      </c>
      <c r="L412" t="inlineStr">
        <is>
          <t>2 cánh cao 170mm</t>
        </is>
      </c>
    </row>
    <row r="413">
      <c r="A413" t="inlineStr">
        <is>
          <t>SW-DAMPER-114-AXLE</t>
        </is>
      </c>
      <c r="B413" t="inlineStr">
        <is>
          <t>SW-DAMPER-114</t>
        </is>
      </c>
      <c r="C413" t="inlineStr">
        <is>
          <t>Trục Sus 201 D10</t>
        </is>
      </c>
      <c r="D413" t="inlineStr">
        <is>
          <t>PHỤ_KIỆN_VAN</t>
        </is>
      </c>
      <c r="E413" t="inlineStr">
        <is>
          <t>MAT-DAMPER-TRUC-SUS-201-D10</t>
        </is>
      </c>
      <c r="F413" t="inlineStr">
        <is>
          <t>m</t>
        </is>
      </c>
      <c r="G413" s="4" t="n">
        <v>1.42</v>
      </c>
      <c r="H413" s="2">
        <f>XLOOKUP(B413, '00_TONG_HOP_BAO_GIA'!B:B, '00_TONG_HOP_BAO_GIA'!G:G, 1)</f>
        <v/>
      </c>
      <c r="I413" s="5">
        <f>G413*H413</f>
        <v/>
      </c>
      <c r="J413" s="2">
        <f>XLOOKUP(E413, '06_BANG_GIA_VAT_TU_AP_DUNG'!B:B, '06_BANG_GIA_VAT_TU_AP_DUNG'!C:C, "LỖI_MÃ_VT")</f>
        <v/>
      </c>
      <c r="K413" s="2">
        <f>I413*J413</f>
        <v/>
      </c>
      <c r="L413" t="inlineStr">
        <is>
          <t>2 trục dài 710mm</t>
        </is>
      </c>
    </row>
    <row r="414">
      <c r="A414" t="inlineStr">
        <is>
          <t>SW-DAMPER-114-BEARING</t>
        </is>
      </c>
      <c r="B414" t="inlineStr">
        <is>
          <t>SW-DAMPER-114</t>
        </is>
      </c>
      <c r="C414" t="inlineStr">
        <is>
          <t>Bạc đồng D10</t>
        </is>
      </c>
      <c r="D414" t="inlineStr">
        <is>
          <t>PHỤ_KIỆN_VAN</t>
        </is>
      </c>
      <c r="E414" t="inlineStr">
        <is>
          <t>MAT-DAMPER-BAC-DONG-D10</t>
        </is>
      </c>
      <c r="F414" t="inlineStr">
        <is>
          <t>Đôi</t>
        </is>
      </c>
      <c r="G414" s="4" t="n">
        <v>2</v>
      </c>
      <c r="H414" s="2">
        <f>XLOOKUP(B414, '00_TONG_HOP_BAO_GIA'!B:B, '00_TONG_HOP_BAO_GIA'!G:G, 1)</f>
        <v/>
      </c>
      <c r="I414" s="5">
        <f>G414*H414</f>
        <v/>
      </c>
      <c r="J414" s="2">
        <f>XLOOKUP(E414, '06_BANG_GIA_VAT_TU_AP_DUNG'!B:B, '06_BANG_GIA_VAT_TU_AP_DUNG'!C:C, "LỖI_MÃ_VT")</f>
        <v/>
      </c>
      <c r="K414" s="2">
        <f>I414*J414</f>
        <v/>
      </c>
      <c r="L414" t="inlineStr">
        <is>
          <t>2 đôi bạc đỡ 2 bên thân</t>
        </is>
      </c>
    </row>
    <row r="415">
      <c r="A415" t="inlineStr">
        <is>
          <t>SW-DAMPER-114-GEAR</t>
        </is>
      </c>
      <c r="B415" t="inlineStr">
        <is>
          <t>SW-DAMPER-114</t>
        </is>
      </c>
      <c r="C415" t="inlineStr">
        <is>
          <t>Bánh răng van nhôm</t>
        </is>
      </c>
      <c r="D415" t="inlineStr">
        <is>
          <t>PHỤ_KIỆN_VAN</t>
        </is>
      </c>
      <c r="E415" t="inlineStr">
        <is>
          <t>MAT-DAMPER-BANH-RANG-VAN-NHOM</t>
        </is>
      </c>
      <c r="F415" t="inlineStr">
        <is>
          <t>Bộ</t>
        </is>
      </c>
      <c r="G415" s="4" t="n">
        <v>1</v>
      </c>
      <c r="H415" s="2">
        <f>XLOOKUP(B415, '00_TONG_HOP_BAO_GIA'!B:B, '00_TONG_HOP_BAO_GIA'!G:G, 1)</f>
        <v/>
      </c>
      <c r="I415" s="5">
        <f>G415*H415</f>
        <v/>
      </c>
      <c r="J415" s="2">
        <f>XLOOKUP(E415, '06_BANG_GIA_VAT_TU_AP_DUNG'!B:B, '06_BANG_GIA_VAT_TU_AP_DUNG'!C:C, "LỖI_MÃ_VT")</f>
        <v/>
      </c>
      <c r="K415" s="2">
        <f>I415*J415</f>
        <v/>
      </c>
      <c r="L415" t="inlineStr">
        <is>
          <t>Cơ cấu liên động bánh răng van</t>
        </is>
      </c>
    </row>
    <row r="416">
      <c r="A416" t="inlineStr">
        <is>
          <t>SW-DAMPER-114-HANDLE</t>
        </is>
      </c>
      <c r="B416" t="inlineStr">
        <is>
          <t>SW-DAMPER-114</t>
        </is>
      </c>
      <c r="C416" t="inlineStr">
        <is>
          <t>Tay gạt nhỏ</t>
        </is>
      </c>
      <c r="D416" t="inlineStr">
        <is>
          <t>PHỤ_KIỆN_VAN</t>
        </is>
      </c>
      <c r="E416" t="inlineStr">
        <is>
          <t>MAT-DAMPER-TAY-GAT-NHO</t>
        </is>
      </c>
      <c r="F416" t="inlineStr">
        <is>
          <t>Bộ</t>
        </is>
      </c>
      <c r="G416" s="4" t="n">
        <v>1</v>
      </c>
      <c r="H416" s="2">
        <f>XLOOKUP(B416, '00_TONG_HOP_BAO_GIA'!B:B, '00_TONG_HOP_BAO_GIA'!G:G, 1)</f>
        <v/>
      </c>
      <c r="I416" s="5">
        <f>G416*H416</f>
        <v/>
      </c>
      <c r="J416" s="2">
        <f>XLOOKUP(E416, '06_BANG_GIA_VAT_TU_AP_DUNG'!B:B, '06_BANG_GIA_VAT_TU_AP_DUNG'!C:C, "LỖI_MÃ_VT")</f>
        <v/>
      </c>
      <c r="K416" s="2">
        <f>I416*J416</f>
        <v/>
      </c>
      <c r="L416" t="inlineStr">
        <is>
          <t>Tay gạt khóa vị trí nan (S=0.20m2)</t>
        </is>
      </c>
    </row>
    <row r="417">
      <c r="A417" t="inlineStr">
        <is>
          <t>SW-DAMPER-115-BODY</t>
        </is>
      </c>
      <c r="B417" t="inlineStr">
        <is>
          <t>SW-DAMPER-115</t>
        </is>
      </c>
      <c r="C417" t="inlineStr">
        <is>
          <t>Thân vỏ van VCD bích TDF (0.75mm)</t>
        </is>
      </c>
      <c r="D417" t="inlineStr">
        <is>
          <t>TÔN_CUỘN_MẠ_KẼM</t>
        </is>
      </c>
      <c r="E417" t="inlineStr">
        <is>
          <t>MAT-STEEL-PN-0.75</t>
        </is>
      </c>
      <c r="F417" t="inlineStr">
        <is>
          <t>kg</t>
        </is>
      </c>
      <c r="G417" s="4" t="n">
        <v>3.531087</v>
      </c>
      <c r="H417" s="2">
        <f>XLOOKUP(B417, '00_TONG_HOP_BAO_GIA'!B:B, '00_TONG_HOP_BAO_GIA'!G:G, 1)</f>
        <v/>
      </c>
      <c r="I417" s="5">
        <f>G417*H417</f>
        <v/>
      </c>
      <c r="J417" s="2">
        <f>XLOOKUP(E417, '06_BANG_GIA_VAT_TU_AP_DUNG'!B:B, '06_BANG_GIA_VAT_TU_AP_DUNG'!C:C, "LỖI_MÃ_VT")</f>
        <v/>
      </c>
      <c r="K417" s="2">
        <f>I417*J417</f>
        <v/>
      </c>
      <c r="L417" t="inlineStr">
        <is>
          <t>Kích thước vỏ 650.0x350.0x210mm</t>
        </is>
      </c>
    </row>
    <row r="418">
      <c r="A418" t="inlineStr">
        <is>
          <t>SW-DAMPER-115-BLADE</t>
        </is>
      </c>
      <c r="B418" t="inlineStr">
        <is>
          <t>SW-DAMPER-115</t>
        </is>
      </c>
      <c r="C418" t="inlineStr">
        <is>
          <t>Lá cánh van (2 cánh overlap)</t>
        </is>
      </c>
      <c r="D418" t="inlineStr">
        <is>
          <t>TÔN_CUỘN_MẠ_KẼM</t>
        </is>
      </c>
      <c r="E418" t="inlineStr">
        <is>
          <t>MAT-STEEL-PN-0.75</t>
        </is>
      </c>
      <c r="F418" t="inlineStr">
        <is>
          <t>kg</t>
        </is>
      </c>
      <c r="G418" s="4" t="n">
        <v>1.61187975</v>
      </c>
      <c r="H418" s="2">
        <f>XLOOKUP(B418, '00_TONG_HOP_BAO_GIA'!B:B, '00_TONG_HOP_BAO_GIA'!G:G, 1)</f>
        <v/>
      </c>
      <c r="I418" s="5">
        <f>G418*H418</f>
        <v/>
      </c>
      <c r="J418" s="2">
        <f>XLOOKUP(E418, '06_BANG_GIA_VAT_TU_AP_DUNG'!B:B, '06_BANG_GIA_VAT_TU_AP_DUNG'!C:C, "LỖI_MÃ_VT")</f>
        <v/>
      </c>
      <c r="K418" s="2">
        <f>I418*J418</f>
        <v/>
      </c>
      <c r="L418" t="inlineStr">
        <is>
          <t>2 cánh cao 195mm</t>
        </is>
      </c>
    </row>
    <row r="419">
      <c r="A419" t="inlineStr">
        <is>
          <t>SW-DAMPER-115-AXLE</t>
        </is>
      </c>
      <c r="B419" t="inlineStr">
        <is>
          <t>SW-DAMPER-115</t>
        </is>
      </c>
      <c r="C419" t="inlineStr">
        <is>
          <t>Trục Sus 201 D10</t>
        </is>
      </c>
      <c r="D419" t="inlineStr">
        <is>
          <t>PHỤ_KIỆN_VAN</t>
        </is>
      </c>
      <c r="E419" t="inlineStr">
        <is>
          <t>MAT-DAMPER-TRUC-SUS-201-D10</t>
        </is>
      </c>
      <c r="F419" t="inlineStr">
        <is>
          <t>m</t>
        </is>
      </c>
      <c r="G419" s="4" t="n">
        <v>1.42</v>
      </c>
      <c r="H419" s="2">
        <f>XLOOKUP(B419, '00_TONG_HOP_BAO_GIA'!B:B, '00_TONG_HOP_BAO_GIA'!G:G, 1)</f>
        <v/>
      </c>
      <c r="I419" s="5">
        <f>G419*H419</f>
        <v/>
      </c>
      <c r="J419" s="2">
        <f>XLOOKUP(E419, '06_BANG_GIA_VAT_TU_AP_DUNG'!B:B, '06_BANG_GIA_VAT_TU_AP_DUNG'!C:C, "LỖI_MÃ_VT")</f>
        <v/>
      </c>
      <c r="K419" s="2">
        <f>I419*J419</f>
        <v/>
      </c>
      <c r="L419" t="inlineStr">
        <is>
          <t>2 trục dài 710mm</t>
        </is>
      </c>
    </row>
    <row r="420">
      <c r="A420" t="inlineStr">
        <is>
          <t>SW-DAMPER-115-BEARING</t>
        </is>
      </c>
      <c r="B420" t="inlineStr">
        <is>
          <t>SW-DAMPER-115</t>
        </is>
      </c>
      <c r="C420" t="inlineStr">
        <is>
          <t>Bạc đồng D10</t>
        </is>
      </c>
      <c r="D420" t="inlineStr">
        <is>
          <t>PHỤ_KIỆN_VAN</t>
        </is>
      </c>
      <c r="E420" t="inlineStr">
        <is>
          <t>MAT-DAMPER-BAC-DONG-D10</t>
        </is>
      </c>
      <c r="F420" t="inlineStr">
        <is>
          <t>Đôi</t>
        </is>
      </c>
      <c r="G420" s="4" t="n">
        <v>2</v>
      </c>
      <c r="H420" s="2">
        <f>XLOOKUP(B420, '00_TONG_HOP_BAO_GIA'!B:B, '00_TONG_HOP_BAO_GIA'!G:G, 1)</f>
        <v/>
      </c>
      <c r="I420" s="5">
        <f>G420*H420</f>
        <v/>
      </c>
      <c r="J420" s="2">
        <f>XLOOKUP(E420, '06_BANG_GIA_VAT_TU_AP_DUNG'!B:B, '06_BANG_GIA_VAT_TU_AP_DUNG'!C:C, "LỖI_MÃ_VT")</f>
        <v/>
      </c>
      <c r="K420" s="2">
        <f>I420*J420</f>
        <v/>
      </c>
      <c r="L420" t="inlineStr">
        <is>
          <t>2 đôi bạc đỡ 2 bên thân</t>
        </is>
      </c>
    </row>
    <row r="421">
      <c r="A421" t="inlineStr">
        <is>
          <t>SW-DAMPER-115-GEAR</t>
        </is>
      </c>
      <c r="B421" t="inlineStr">
        <is>
          <t>SW-DAMPER-115</t>
        </is>
      </c>
      <c r="C421" t="inlineStr">
        <is>
          <t>Bánh răng van nhôm</t>
        </is>
      </c>
      <c r="D421" t="inlineStr">
        <is>
          <t>PHỤ_KIỆN_VAN</t>
        </is>
      </c>
      <c r="E421" t="inlineStr">
        <is>
          <t>MAT-DAMPER-BANH-RANG-VAN-NHOM</t>
        </is>
      </c>
      <c r="F421" t="inlineStr">
        <is>
          <t>Bộ</t>
        </is>
      </c>
      <c r="G421" s="4" t="n">
        <v>1</v>
      </c>
      <c r="H421" s="2">
        <f>XLOOKUP(B421, '00_TONG_HOP_BAO_GIA'!B:B, '00_TONG_HOP_BAO_GIA'!G:G, 1)</f>
        <v/>
      </c>
      <c r="I421" s="5">
        <f>G421*H421</f>
        <v/>
      </c>
      <c r="J421" s="2">
        <f>XLOOKUP(E421, '06_BANG_GIA_VAT_TU_AP_DUNG'!B:B, '06_BANG_GIA_VAT_TU_AP_DUNG'!C:C, "LỖI_MÃ_VT")</f>
        <v/>
      </c>
      <c r="K421" s="2">
        <f>I421*J421</f>
        <v/>
      </c>
      <c r="L421" t="inlineStr">
        <is>
          <t>Cơ cấu liên động bánh răng van</t>
        </is>
      </c>
    </row>
    <row r="422">
      <c r="A422" t="inlineStr">
        <is>
          <t>SW-DAMPER-115-HANDLE</t>
        </is>
      </c>
      <c r="B422" t="inlineStr">
        <is>
          <t>SW-DAMPER-115</t>
        </is>
      </c>
      <c r="C422" t="inlineStr">
        <is>
          <t>Tay gạt nhỏ</t>
        </is>
      </c>
      <c r="D422" t="inlineStr">
        <is>
          <t>PHỤ_KIỆN_VAN</t>
        </is>
      </c>
      <c r="E422" t="inlineStr">
        <is>
          <t>MAT-DAMPER-TAY-GAT-NHO</t>
        </is>
      </c>
      <c r="F422" t="inlineStr">
        <is>
          <t>Bộ</t>
        </is>
      </c>
      <c r="G422" s="4" t="n">
        <v>1</v>
      </c>
      <c r="H422" s="2">
        <f>XLOOKUP(B422, '00_TONG_HOP_BAO_GIA'!B:B, '00_TONG_HOP_BAO_GIA'!G:G, 1)</f>
        <v/>
      </c>
      <c r="I422" s="5">
        <f>G422*H422</f>
        <v/>
      </c>
      <c r="J422" s="2">
        <f>XLOOKUP(E422, '06_BANG_GIA_VAT_TU_AP_DUNG'!B:B, '06_BANG_GIA_VAT_TU_AP_DUNG'!C:C, "LỖI_MÃ_VT")</f>
        <v/>
      </c>
      <c r="K422" s="2">
        <f>I422*J422</f>
        <v/>
      </c>
      <c r="L422" t="inlineStr">
        <is>
          <t>Tay gạt khóa vị trí nan (S=0.23m2)</t>
        </is>
      </c>
    </row>
    <row r="423">
      <c r="A423" t="inlineStr">
        <is>
          <t>SW-DAMPER-116-BODY</t>
        </is>
      </c>
      <c r="B423" t="inlineStr">
        <is>
          <t>SW-DAMPER-116</t>
        </is>
      </c>
      <c r="C423" t="inlineStr">
        <is>
          <t>Thân vỏ van VCD bích TDF (0.75mm)</t>
        </is>
      </c>
      <c r="D423" t="inlineStr">
        <is>
          <t>TÔN_CUỘN_MẠ_KẼM</t>
        </is>
      </c>
      <c r="E423" t="inlineStr">
        <is>
          <t>MAT-STEEL-PN-0.75</t>
        </is>
      </c>
      <c r="F423" t="inlineStr">
        <is>
          <t>kg</t>
        </is>
      </c>
      <c r="G423" s="4" t="n">
        <v>3.7041795</v>
      </c>
      <c r="H423" s="2">
        <f>XLOOKUP(B423, '00_TONG_HOP_BAO_GIA'!B:B, '00_TONG_HOP_BAO_GIA'!G:G, 1)</f>
        <v/>
      </c>
      <c r="I423" s="5">
        <f>G423*H423</f>
        <v/>
      </c>
      <c r="J423" s="2">
        <f>XLOOKUP(E423, '06_BANG_GIA_VAT_TU_AP_DUNG'!B:B, '06_BANG_GIA_VAT_TU_AP_DUNG'!C:C, "LỖI_MÃ_VT")</f>
        <v/>
      </c>
      <c r="K423" s="2">
        <f>I423*J423</f>
        <v/>
      </c>
      <c r="L423" t="inlineStr">
        <is>
          <t>Kích thước vỏ 650.0x400.0x210mm</t>
        </is>
      </c>
    </row>
    <row r="424">
      <c r="A424" t="inlineStr">
        <is>
          <t>SW-DAMPER-116-BLADE</t>
        </is>
      </c>
      <c r="B424" t="inlineStr">
        <is>
          <t>SW-DAMPER-116</t>
        </is>
      </c>
      <c r="C424" t="inlineStr">
        <is>
          <t>Lá cánh van (3 cánh overlap)</t>
        </is>
      </c>
      <c r="D424" t="inlineStr">
        <is>
          <t>TÔN_CUỘN_MẠ_KẼM</t>
        </is>
      </c>
      <c r="E424" t="inlineStr">
        <is>
          <t>MAT-STEEL-PN-0.75</t>
        </is>
      </c>
      <c r="F424" t="inlineStr">
        <is>
          <t>kg</t>
        </is>
      </c>
      <c r="G424" s="4" t="n">
        <v>1.9011915</v>
      </c>
      <c r="H424" s="2">
        <f>XLOOKUP(B424, '00_TONG_HOP_BAO_GIA'!B:B, '00_TONG_HOP_BAO_GIA'!G:G, 1)</f>
        <v/>
      </c>
      <c r="I424" s="5">
        <f>G424*H424</f>
        <v/>
      </c>
      <c r="J424" s="2">
        <f>XLOOKUP(E424, '06_BANG_GIA_VAT_TU_AP_DUNG'!B:B, '06_BANG_GIA_VAT_TU_AP_DUNG'!C:C, "LỖI_MÃ_VT")</f>
        <v/>
      </c>
      <c r="K424" s="2">
        <f>I424*J424</f>
        <v/>
      </c>
      <c r="L424" t="inlineStr">
        <is>
          <t>3 cánh cao 153mm</t>
        </is>
      </c>
    </row>
    <row r="425">
      <c r="A425" t="inlineStr">
        <is>
          <t>SW-DAMPER-116-AXLE</t>
        </is>
      </c>
      <c r="B425" t="inlineStr">
        <is>
          <t>SW-DAMPER-116</t>
        </is>
      </c>
      <c r="C425" t="inlineStr">
        <is>
          <t>Trục Sus 201 D10</t>
        </is>
      </c>
      <c r="D425" t="inlineStr">
        <is>
          <t>PHỤ_KIỆN_VAN</t>
        </is>
      </c>
      <c r="E425" t="inlineStr">
        <is>
          <t>MAT-DAMPER-TRUC-SUS-201-D10</t>
        </is>
      </c>
      <c r="F425" t="inlineStr">
        <is>
          <t>m</t>
        </is>
      </c>
      <c r="G425" s="4" t="n">
        <v>2.13</v>
      </c>
      <c r="H425" s="2">
        <f>XLOOKUP(B425, '00_TONG_HOP_BAO_GIA'!B:B, '00_TONG_HOP_BAO_GIA'!G:G, 1)</f>
        <v/>
      </c>
      <c r="I425" s="5">
        <f>G425*H425</f>
        <v/>
      </c>
      <c r="J425" s="2">
        <f>XLOOKUP(E425, '06_BANG_GIA_VAT_TU_AP_DUNG'!B:B, '06_BANG_GIA_VAT_TU_AP_DUNG'!C:C, "LỖI_MÃ_VT")</f>
        <v/>
      </c>
      <c r="K425" s="2">
        <f>I425*J425</f>
        <v/>
      </c>
      <c r="L425" t="inlineStr">
        <is>
          <t>3 trục dài 710mm</t>
        </is>
      </c>
    </row>
    <row r="426">
      <c r="A426" t="inlineStr">
        <is>
          <t>SW-DAMPER-116-BEARING</t>
        </is>
      </c>
      <c r="B426" t="inlineStr">
        <is>
          <t>SW-DAMPER-116</t>
        </is>
      </c>
      <c r="C426" t="inlineStr">
        <is>
          <t>Bạc đồng D10</t>
        </is>
      </c>
      <c r="D426" t="inlineStr">
        <is>
          <t>PHỤ_KIỆN_VAN</t>
        </is>
      </c>
      <c r="E426" t="inlineStr">
        <is>
          <t>MAT-DAMPER-BAC-DONG-D10</t>
        </is>
      </c>
      <c r="F426" t="inlineStr">
        <is>
          <t>Đôi</t>
        </is>
      </c>
      <c r="G426" s="4" t="n">
        <v>3</v>
      </c>
      <c r="H426" s="2">
        <f>XLOOKUP(B426, '00_TONG_HOP_BAO_GIA'!B:B, '00_TONG_HOP_BAO_GIA'!G:G, 1)</f>
        <v/>
      </c>
      <c r="I426" s="5">
        <f>G426*H426</f>
        <v/>
      </c>
      <c r="J426" s="2">
        <f>XLOOKUP(E426, '06_BANG_GIA_VAT_TU_AP_DUNG'!B:B, '06_BANG_GIA_VAT_TU_AP_DUNG'!C:C, "LỖI_MÃ_VT")</f>
        <v/>
      </c>
      <c r="K426" s="2">
        <f>I426*J426</f>
        <v/>
      </c>
      <c r="L426" t="inlineStr">
        <is>
          <t>3 đôi bạc đỡ 2 bên thân</t>
        </is>
      </c>
    </row>
    <row r="427">
      <c r="A427" t="inlineStr">
        <is>
          <t>SW-DAMPER-116-GEAR</t>
        </is>
      </c>
      <c r="B427" t="inlineStr">
        <is>
          <t>SW-DAMPER-116</t>
        </is>
      </c>
      <c r="C427" t="inlineStr">
        <is>
          <t>Bánh răng van nhôm</t>
        </is>
      </c>
      <c r="D427" t="inlineStr">
        <is>
          <t>PHỤ_KIỆN_VAN</t>
        </is>
      </c>
      <c r="E427" t="inlineStr">
        <is>
          <t>MAT-DAMPER-BANH-RANG-VAN-NHOM</t>
        </is>
      </c>
      <c r="F427" t="inlineStr">
        <is>
          <t>Bộ</t>
        </is>
      </c>
      <c r="G427" s="4" t="n">
        <v>1</v>
      </c>
      <c r="H427" s="2">
        <f>XLOOKUP(B427, '00_TONG_HOP_BAO_GIA'!B:B, '00_TONG_HOP_BAO_GIA'!G:G, 1)</f>
        <v/>
      </c>
      <c r="I427" s="5">
        <f>G427*H427</f>
        <v/>
      </c>
      <c r="J427" s="2">
        <f>XLOOKUP(E427, '06_BANG_GIA_VAT_TU_AP_DUNG'!B:B, '06_BANG_GIA_VAT_TU_AP_DUNG'!C:C, "LỖI_MÃ_VT")</f>
        <v/>
      </c>
      <c r="K427" s="2">
        <f>I427*J427</f>
        <v/>
      </c>
      <c r="L427" t="inlineStr">
        <is>
          <t>Cơ cấu liên động bánh răng van</t>
        </is>
      </c>
    </row>
    <row r="428">
      <c r="A428" t="inlineStr">
        <is>
          <t>SW-DAMPER-116-HANDLE</t>
        </is>
      </c>
      <c r="B428" t="inlineStr">
        <is>
          <t>SW-DAMPER-116</t>
        </is>
      </c>
      <c r="C428" t="inlineStr">
        <is>
          <t>Tay gạt nhỏ</t>
        </is>
      </c>
      <c r="D428" t="inlineStr">
        <is>
          <t>PHỤ_KIỆN_VAN</t>
        </is>
      </c>
      <c r="E428" t="inlineStr">
        <is>
          <t>MAT-DAMPER-TAY-GAT-NHO</t>
        </is>
      </c>
      <c r="F428" t="inlineStr">
        <is>
          <t>Bộ</t>
        </is>
      </c>
      <c r="G428" s="4" t="n">
        <v>1</v>
      </c>
      <c r="H428" s="2">
        <f>XLOOKUP(B428, '00_TONG_HOP_BAO_GIA'!B:B, '00_TONG_HOP_BAO_GIA'!G:G, 1)</f>
        <v/>
      </c>
      <c r="I428" s="5">
        <f>G428*H428</f>
        <v/>
      </c>
      <c r="J428" s="2">
        <f>XLOOKUP(E428, '06_BANG_GIA_VAT_TU_AP_DUNG'!B:B, '06_BANG_GIA_VAT_TU_AP_DUNG'!C:C, "LỖI_MÃ_VT")</f>
        <v/>
      </c>
      <c r="K428" s="2">
        <f>I428*J428</f>
        <v/>
      </c>
      <c r="L428" t="inlineStr">
        <is>
          <t>Tay gạt khóa vị trí nan (S=0.26m2)</t>
        </is>
      </c>
    </row>
    <row r="429">
      <c r="A429" t="inlineStr">
        <is>
          <t>SW-DAMPER-117-BODY</t>
        </is>
      </c>
      <c r="B429" t="inlineStr">
        <is>
          <t>SW-DAMPER-117</t>
        </is>
      </c>
      <c r="C429" t="inlineStr">
        <is>
          <t>Thân vỏ van VCD bích TDF (0.75mm)</t>
        </is>
      </c>
      <c r="D429" t="inlineStr">
        <is>
          <t>TÔN_CUỘN_MẠ_KẼM</t>
        </is>
      </c>
      <c r="E429" t="inlineStr">
        <is>
          <t>MAT-STEEL-PN-0.75</t>
        </is>
      </c>
      <c r="F429" t="inlineStr">
        <is>
          <t>kg</t>
        </is>
      </c>
      <c r="G429" s="4" t="n">
        <v>3.7041795</v>
      </c>
      <c r="H429" s="2">
        <f>XLOOKUP(B429, '00_TONG_HOP_BAO_GIA'!B:B, '00_TONG_HOP_BAO_GIA'!G:G, 1)</f>
        <v/>
      </c>
      <c r="I429" s="5">
        <f>G429*H429</f>
        <v/>
      </c>
      <c r="J429" s="2">
        <f>XLOOKUP(E429, '06_BANG_GIA_VAT_TU_AP_DUNG'!B:B, '06_BANG_GIA_VAT_TU_AP_DUNG'!C:C, "LỖI_MÃ_VT")</f>
        <v/>
      </c>
      <c r="K429" s="2">
        <f>I429*J429</f>
        <v/>
      </c>
      <c r="L429" t="inlineStr">
        <is>
          <t>Kích thước vỏ 700.0x350.0x210mm</t>
        </is>
      </c>
    </row>
    <row r="430">
      <c r="A430" t="inlineStr">
        <is>
          <t>SW-DAMPER-117-BLADE</t>
        </is>
      </c>
      <c r="B430" t="inlineStr">
        <is>
          <t>SW-DAMPER-117</t>
        </is>
      </c>
      <c r="C430" t="inlineStr">
        <is>
          <t>Lá cánh van (2 cánh overlap)</t>
        </is>
      </c>
      <c r="D430" t="inlineStr">
        <is>
          <t>TÔN_CUỘN_MẠ_KẼM</t>
        </is>
      </c>
      <c r="E430" t="inlineStr">
        <is>
          <t>MAT-STEEL-PN-0.75</t>
        </is>
      </c>
      <c r="F430" t="inlineStr">
        <is>
          <t>kg</t>
        </is>
      </c>
      <c r="G430" s="4" t="n">
        <v>1.7358705</v>
      </c>
      <c r="H430" s="2">
        <f>XLOOKUP(B430, '00_TONG_HOP_BAO_GIA'!B:B, '00_TONG_HOP_BAO_GIA'!G:G, 1)</f>
        <v/>
      </c>
      <c r="I430" s="5">
        <f>G430*H430</f>
        <v/>
      </c>
      <c r="J430" s="2">
        <f>XLOOKUP(E430, '06_BANG_GIA_VAT_TU_AP_DUNG'!B:B, '06_BANG_GIA_VAT_TU_AP_DUNG'!C:C, "LỖI_MÃ_VT")</f>
        <v/>
      </c>
      <c r="K430" s="2">
        <f>I430*J430</f>
        <v/>
      </c>
      <c r="L430" t="inlineStr">
        <is>
          <t>2 cánh cao 195mm</t>
        </is>
      </c>
    </row>
    <row r="431">
      <c r="A431" t="inlineStr">
        <is>
          <t>SW-DAMPER-117-AXLE</t>
        </is>
      </c>
      <c r="B431" t="inlineStr">
        <is>
          <t>SW-DAMPER-117</t>
        </is>
      </c>
      <c r="C431" t="inlineStr">
        <is>
          <t>Trục Sus 201 D10</t>
        </is>
      </c>
      <c r="D431" t="inlineStr">
        <is>
          <t>PHỤ_KIỆN_VAN</t>
        </is>
      </c>
      <c r="E431" t="inlineStr">
        <is>
          <t>MAT-DAMPER-TRUC-SUS-201-D10</t>
        </is>
      </c>
      <c r="F431" t="inlineStr">
        <is>
          <t>m</t>
        </is>
      </c>
      <c r="G431" s="4" t="n">
        <v>1.52</v>
      </c>
      <c r="H431" s="2">
        <f>XLOOKUP(B431, '00_TONG_HOP_BAO_GIA'!B:B, '00_TONG_HOP_BAO_GIA'!G:G, 1)</f>
        <v/>
      </c>
      <c r="I431" s="5">
        <f>G431*H431</f>
        <v/>
      </c>
      <c r="J431" s="2">
        <f>XLOOKUP(E431, '06_BANG_GIA_VAT_TU_AP_DUNG'!B:B, '06_BANG_GIA_VAT_TU_AP_DUNG'!C:C, "LỖI_MÃ_VT")</f>
        <v/>
      </c>
      <c r="K431" s="2">
        <f>I431*J431</f>
        <v/>
      </c>
      <c r="L431" t="inlineStr">
        <is>
          <t>2 trục dài 760mm</t>
        </is>
      </c>
    </row>
    <row r="432">
      <c r="A432" t="inlineStr">
        <is>
          <t>SW-DAMPER-117-BEARING</t>
        </is>
      </c>
      <c r="B432" t="inlineStr">
        <is>
          <t>SW-DAMPER-117</t>
        </is>
      </c>
      <c r="C432" t="inlineStr">
        <is>
          <t>Bạc đồng D10</t>
        </is>
      </c>
      <c r="D432" t="inlineStr">
        <is>
          <t>PHỤ_KIỆN_VAN</t>
        </is>
      </c>
      <c r="E432" t="inlineStr">
        <is>
          <t>MAT-DAMPER-BAC-DONG-D10</t>
        </is>
      </c>
      <c r="F432" t="inlineStr">
        <is>
          <t>Đôi</t>
        </is>
      </c>
      <c r="G432" s="4" t="n">
        <v>2</v>
      </c>
      <c r="H432" s="2">
        <f>XLOOKUP(B432, '00_TONG_HOP_BAO_GIA'!B:B, '00_TONG_HOP_BAO_GIA'!G:G, 1)</f>
        <v/>
      </c>
      <c r="I432" s="5">
        <f>G432*H432</f>
        <v/>
      </c>
      <c r="J432" s="2">
        <f>XLOOKUP(E432, '06_BANG_GIA_VAT_TU_AP_DUNG'!B:B, '06_BANG_GIA_VAT_TU_AP_DUNG'!C:C, "LỖI_MÃ_VT")</f>
        <v/>
      </c>
      <c r="K432" s="2">
        <f>I432*J432</f>
        <v/>
      </c>
      <c r="L432" t="inlineStr">
        <is>
          <t>2 đôi bạc đỡ 2 bên thân</t>
        </is>
      </c>
    </row>
    <row r="433">
      <c r="A433" t="inlineStr">
        <is>
          <t>SW-DAMPER-117-GEAR</t>
        </is>
      </c>
      <c r="B433" t="inlineStr">
        <is>
          <t>SW-DAMPER-117</t>
        </is>
      </c>
      <c r="C433" t="inlineStr">
        <is>
          <t>Bánh răng van nhôm</t>
        </is>
      </c>
      <c r="D433" t="inlineStr">
        <is>
          <t>PHỤ_KIỆN_VAN</t>
        </is>
      </c>
      <c r="E433" t="inlineStr">
        <is>
          <t>MAT-DAMPER-BANH-RANG-VAN-NHOM</t>
        </is>
      </c>
      <c r="F433" t="inlineStr">
        <is>
          <t>Bộ</t>
        </is>
      </c>
      <c r="G433" s="4" t="n">
        <v>1</v>
      </c>
      <c r="H433" s="2">
        <f>XLOOKUP(B433, '00_TONG_HOP_BAO_GIA'!B:B, '00_TONG_HOP_BAO_GIA'!G:G, 1)</f>
        <v/>
      </c>
      <c r="I433" s="5">
        <f>G433*H433</f>
        <v/>
      </c>
      <c r="J433" s="2">
        <f>XLOOKUP(E433, '06_BANG_GIA_VAT_TU_AP_DUNG'!B:B, '06_BANG_GIA_VAT_TU_AP_DUNG'!C:C, "LỖI_MÃ_VT")</f>
        <v/>
      </c>
      <c r="K433" s="2">
        <f>I433*J433</f>
        <v/>
      </c>
      <c r="L433" t="inlineStr">
        <is>
          <t>Cơ cấu liên động bánh răng van</t>
        </is>
      </c>
    </row>
    <row r="434">
      <c r="A434" t="inlineStr">
        <is>
          <t>SW-DAMPER-117-HANDLE</t>
        </is>
      </c>
      <c r="B434" t="inlineStr">
        <is>
          <t>SW-DAMPER-117</t>
        </is>
      </c>
      <c r="C434" t="inlineStr">
        <is>
          <t>Tay gạt nhỏ</t>
        </is>
      </c>
      <c r="D434" t="inlineStr">
        <is>
          <t>PHỤ_KIỆN_VAN</t>
        </is>
      </c>
      <c r="E434" t="inlineStr">
        <is>
          <t>MAT-DAMPER-TAY-GAT-NHO</t>
        </is>
      </c>
      <c r="F434" t="inlineStr">
        <is>
          <t>Bộ</t>
        </is>
      </c>
      <c r="G434" s="4" t="n">
        <v>1</v>
      </c>
      <c r="H434" s="2">
        <f>XLOOKUP(B434, '00_TONG_HOP_BAO_GIA'!B:B, '00_TONG_HOP_BAO_GIA'!G:G, 1)</f>
        <v/>
      </c>
      <c r="I434" s="5">
        <f>G434*H434</f>
        <v/>
      </c>
      <c r="J434" s="2">
        <f>XLOOKUP(E434, '06_BANG_GIA_VAT_TU_AP_DUNG'!B:B, '06_BANG_GIA_VAT_TU_AP_DUNG'!C:C, "LỖI_MÃ_VT")</f>
        <v/>
      </c>
      <c r="K434" s="2">
        <f>I434*J434</f>
        <v/>
      </c>
      <c r="L434" t="inlineStr">
        <is>
          <t>Tay gạt khóa vị trí nan (S=0.24m2)</t>
        </is>
      </c>
    </row>
    <row r="435">
      <c r="A435" t="inlineStr">
        <is>
          <t>SW-DAMPER-118-BODY</t>
        </is>
      </c>
      <c r="B435" t="inlineStr">
        <is>
          <t>SW-DAMPER-118</t>
        </is>
      </c>
      <c r="C435" t="inlineStr">
        <is>
          <t>Thân vỏ van VCD bích TDF (0.75mm)</t>
        </is>
      </c>
      <c r="D435" t="inlineStr">
        <is>
          <t>TÔN_CUỘN_MẠ_KẼM</t>
        </is>
      </c>
      <c r="E435" t="inlineStr">
        <is>
          <t>MAT-STEEL-PN-0.75</t>
        </is>
      </c>
      <c r="F435" t="inlineStr">
        <is>
          <t>kg</t>
        </is>
      </c>
      <c r="G435" s="4" t="n">
        <v>3.877272</v>
      </c>
      <c r="H435" s="2">
        <f>XLOOKUP(B435, '00_TONG_HOP_BAO_GIA'!B:B, '00_TONG_HOP_BAO_GIA'!G:G, 1)</f>
        <v/>
      </c>
      <c r="I435" s="5">
        <f>G435*H435</f>
        <v/>
      </c>
      <c r="J435" s="2">
        <f>XLOOKUP(E435, '06_BANG_GIA_VAT_TU_AP_DUNG'!B:B, '06_BANG_GIA_VAT_TU_AP_DUNG'!C:C, "LỖI_MÃ_VT")</f>
        <v/>
      </c>
      <c r="K435" s="2">
        <f>I435*J435</f>
        <v/>
      </c>
      <c r="L435" t="inlineStr">
        <is>
          <t>Kích thước vỏ 700.0x400.0x210mm</t>
        </is>
      </c>
    </row>
    <row r="436">
      <c r="A436" t="inlineStr">
        <is>
          <t>SW-DAMPER-118-BLADE</t>
        </is>
      </c>
      <c r="B436" t="inlineStr">
        <is>
          <t>SW-DAMPER-118</t>
        </is>
      </c>
      <c r="C436" t="inlineStr">
        <is>
          <t>Lá cánh van (3 cánh overlap)</t>
        </is>
      </c>
      <c r="D436" t="inlineStr">
        <is>
          <t>TÔN_CUỘN_MẠ_KẼM</t>
        </is>
      </c>
      <c r="E436" t="inlineStr">
        <is>
          <t>MAT-STEEL-PN-0.75</t>
        </is>
      </c>
      <c r="F436" t="inlineStr">
        <is>
          <t>kg</t>
        </is>
      </c>
      <c r="G436" s="4" t="n">
        <v>2.047437</v>
      </c>
      <c r="H436" s="2">
        <f>XLOOKUP(B436, '00_TONG_HOP_BAO_GIA'!B:B, '00_TONG_HOP_BAO_GIA'!G:G, 1)</f>
        <v/>
      </c>
      <c r="I436" s="5">
        <f>G436*H436</f>
        <v/>
      </c>
      <c r="J436" s="2">
        <f>XLOOKUP(E436, '06_BANG_GIA_VAT_TU_AP_DUNG'!B:B, '06_BANG_GIA_VAT_TU_AP_DUNG'!C:C, "LỖI_MÃ_VT")</f>
        <v/>
      </c>
      <c r="K436" s="2">
        <f>I436*J436</f>
        <v/>
      </c>
      <c r="L436" t="inlineStr">
        <is>
          <t>3 cánh cao 153mm</t>
        </is>
      </c>
    </row>
    <row r="437">
      <c r="A437" t="inlineStr">
        <is>
          <t>SW-DAMPER-118-AXLE</t>
        </is>
      </c>
      <c r="B437" t="inlineStr">
        <is>
          <t>SW-DAMPER-118</t>
        </is>
      </c>
      <c r="C437" t="inlineStr">
        <is>
          <t>Trục Sus 201 D10</t>
        </is>
      </c>
      <c r="D437" t="inlineStr">
        <is>
          <t>PHỤ_KIỆN_VAN</t>
        </is>
      </c>
      <c r="E437" t="inlineStr">
        <is>
          <t>MAT-DAMPER-TRUC-SUS-201-D10</t>
        </is>
      </c>
      <c r="F437" t="inlineStr">
        <is>
          <t>m</t>
        </is>
      </c>
      <c r="G437" s="4" t="n">
        <v>2.28</v>
      </c>
      <c r="H437" s="2">
        <f>XLOOKUP(B437, '00_TONG_HOP_BAO_GIA'!B:B, '00_TONG_HOP_BAO_GIA'!G:G, 1)</f>
        <v/>
      </c>
      <c r="I437" s="5">
        <f>G437*H437</f>
        <v/>
      </c>
      <c r="J437" s="2">
        <f>XLOOKUP(E437, '06_BANG_GIA_VAT_TU_AP_DUNG'!B:B, '06_BANG_GIA_VAT_TU_AP_DUNG'!C:C, "LỖI_MÃ_VT")</f>
        <v/>
      </c>
      <c r="K437" s="2">
        <f>I437*J437</f>
        <v/>
      </c>
      <c r="L437" t="inlineStr">
        <is>
          <t>3 trục dài 760mm</t>
        </is>
      </c>
    </row>
    <row r="438">
      <c r="A438" t="inlineStr">
        <is>
          <t>SW-DAMPER-118-BEARING</t>
        </is>
      </c>
      <c r="B438" t="inlineStr">
        <is>
          <t>SW-DAMPER-118</t>
        </is>
      </c>
      <c r="C438" t="inlineStr">
        <is>
          <t>Bạc đồng D10</t>
        </is>
      </c>
      <c r="D438" t="inlineStr">
        <is>
          <t>PHỤ_KIỆN_VAN</t>
        </is>
      </c>
      <c r="E438" t="inlineStr">
        <is>
          <t>MAT-DAMPER-BAC-DONG-D10</t>
        </is>
      </c>
      <c r="F438" t="inlineStr">
        <is>
          <t>Đôi</t>
        </is>
      </c>
      <c r="G438" s="4" t="n">
        <v>3</v>
      </c>
      <c r="H438" s="2">
        <f>XLOOKUP(B438, '00_TONG_HOP_BAO_GIA'!B:B, '00_TONG_HOP_BAO_GIA'!G:G, 1)</f>
        <v/>
      </c>
      <c r="I438" s="5">
        <f>G438*H438</f>
        <v/>
      </c>
      <c r="J438" s="2">
        <f>XLOOKUP(E438, '06_BANG_GIA_VAT_TU_AP_DUNG'!B:B, '06_BANG_GIA_VAT_TU_AP_DUNG'!C:C, "LỖI_MÃ_VT")</f>
        <v/>
      </c>
      <c r="K438" s="2">
        <f>I438*J438</f>
        <v/>
      </c>
      <c r="L438" t="inlineStr">
        <is>
          <t>3 đôi bạc đỡ 2 bên thân</t>
        </is>
      </c>
    </row>
    <row r="439">
      <c r="A439" t="inlineStr">
        <is>
          <t>SW-DAMPER-118-GEAR</t>
        </is>
      </c>
      <c r="B439" t="inlineStr">
        <is>
          <t>SW-DAMPER-118</t>
        </is>
      </c>
      <c r="C439" t="inlineStr">
        <is>
          <t>Bánh răng van nhôm</t>
        </is>
      </c>
      <c r="D439" t="inlineStr">
        <is>
          <t>PHỤ_KIỆN_VAN</t>
        </is>
      </c>
      <c r="E439" t="inlineStr">
        <is>
          <t>MAT-DAMPER-BANH-RANG-VAN-NHOM</t>
        </is>
      </c>
      <c r="F439" t="inlineStr">
        <is>
          <t>Bộ</t>
        </is>
      </c>
      <c r="G439" s="4" t="n">
        <v>1</v>
      </c>
      <c r="H439" s="2">
        <f>XLOOKUP(B439, '00_TONG_HOP_BAO_GIA'!B:B, '00_TONG_HOP_BAO_GIA'!G:G, 1)</f>
        <v/>
      </c>
      <c r="I439" s="5">
        <f>G439*H439</f>
        <v/>
      </c>
      <c r="J439" s="2">
        <f>XLOOKUP(E439, '06_BANG_GIA_VAT_TU_AP_DUNG'!B:B, '06_BANG_GIA_VAT_TU_AP_DUNG'!C:C, "LỖI_MÃ_VT")</f>
        <v/>
      </c>
      <c r="K439" s="2">
        <f>I439*J439</f>
        <v/>
      </c>
      <c r="L439" t="inlineStr">
        <is>
          <t>Cơ cấu liên động bánh răng van</t>
        </is>
      </c>
    </row>
    <row r="440">
      <c r="A440" t="inlineStr">
        <is>
          <t>SW-DAMPER-118-HANDLE</t>
        </is>
      </c>
      <c r="B440" t="inlineStr">
        <is>
          <t>SW-DAMPER-118</t>
        </is>
      </c>
      <c r="C440" t="inlineStr">
        <is>
          <t>Tay gạt nhỏ</t>
        </is>
      </c>
      <c r="D440" t="inlineStr">
        <is>
          <t>PHỤ_KIỆN_VAN</t>
        </is>
      </c>
      <c r="E440" t="inlineStr">
        <is>
          <t>MAT-DAMPER-TAY-GAT-NHO</t>
        </is>
      </c>
      <c r="F440" t="inlineStr">
        <is>
          <t>Bộ</t>
        </is>
      </c>
      <c r="G440" s="4" t="n">
        <v>1</v>
      </c>
      <c r="H440" s="2">
        <f>XLOOKUP(B440, '00_TONG_HOP_BAO_GIA'!B:B, '00_TONG_HOP_BAO_GIA'!G:G, 1)</f>
        <v/>
      </c>
      <c r="I440" s="5">
        <f>G440*H440</f>
        <v/>
      </c>
      <c r="J440" s="2">
        <f>XLOOKUP(E440, '06_BANG_GIA_VAT_TU_AP_DUNG'!B:B, '06_BANG_GIA_VAT_TU_AP_DUNG'!C:C, "LỖI_MÃ_VT")</f>
        <v/>
      </c>
      <c r="K440" s="2">
        <f>I440*J440</f>
        <v/>
      </c>
      <c r="L440" t="inlineStr">
        <is>
          <t>Tay gạt khóa vị trí nan (S=0.28m2)</t>
        </is>
      </c>
    </row>
    <row r="441">
      <c r="A441" t="inlineStr">
        <is>
          <t>SW-DAMPER-119-BODY</t>
        </is>
      </c>
      <c r="B441" t="inlineStr">
        <is>
          <t>SW-DAMPER-119</t>
        </is>
      </c>
      <c r="C441" t="inlineStr">
        <is>
          <t>Thân vỏ van VCD bích TDF (0.75mm)</t>
        </is>
      </c>
      <c r="D441" t="inlineStr">
        <is>
          <t>TÔN_CUỘN_MẠ_KẼM</t>
        </is>
      </c>
      <c r="E441" t="inlineStr">
        <is>
          <t>MAT-STEEL-PN-0.75</t>
        </is>
      </c>
      <c r="F441" t="inlineStr">
        <is>
          <t>kg</t>
        </is>
      </c>
      <c r="G441" s="4" t="n">
        <v>4.915826999999999</v>
      </c>
      <c r="H441" s="2">
        <f>XLOOKUP(B441, '00_TONG_HOP_BAO_GIA'!B:B, '00_TONG_HOP_BAO_GIA'!G:G, 1)</f>
        <v/>
      </c>
      <c r="I441" s="5">
        <f>G441*H441</f>
        <v/>
      </c>
      <c r="J441" s="2">
        <f>XLOOKUP(E441, '06_BANG_GIA_VAT_TU_AP_DUNG'!B:B, '06_BANG_GIA_VAT_TU_AP_DUNG'!C:C, "LỖI_MÃ_VT")</f>
        <v/>
      </c>
      <c r="K441" s="2">
        <f>I441*J441</f>
        <v/>
      </c>
      <c r="L441" t="inlineStr">
        <is>
          <t>Kích thước vỏ 800.0x600.0x210mm</t>
        </is>
      </c>
    </row>
    <row r="442">
      <c r="A442" t="inlineStr">
        <is>
          <t>SW-DAMPER-119-BLADE</t>
        </is>
      </c>
      <c r="B442" t="inlineStr">
        <is>
          <t>SW-DAMPER-119</t>
        </is>
      </c>
      <c r="C442" t="inlineStr">
        <is>
          <t>Lá cánh van (4 cánh overlap)</t>
        </is>
      </c>
      <c r="D442" t="inlineStr">
        <is>
          <t>TÔN_CUỘN_MẠ_KẼM</t>
        </is>
      </c>
      <c r="E442" t="inlineStr">
        <is>
          <t>MAT-STEEL-PN-0.75</t>
        </is>
      </c>
      <c r="F442" t="inlineStr">
        <is>
          <t>kg</t>
        </is>
      </c>
      <c r="G442" s="4" t="n">
        <v>3.459024</v>
      </c>
      <c r="H442" s="2">
        <f>XLOOKUP(B442, '00_TONG_HOP_BAO_GIA'!B:B, '00_TONG_HOP_BAO_GIA'!G:G, 1)</f>
        <v/>
      </c>
      <c r="I442" s="5">
        <f>G442*H442</f>
        <v/>
      </c>
      <c r="J442" s="2">
        <f>XLOOKUP(E442, '06_BANG_GIA_VAT_TU_AP_DUNG'!B:B, '06_BANG_GIA_VAT_TU_AP_DUNG'!C:C, "LỖI_MÃ_VT")</f>
        <v/>
      </c>
      <c r="K442" s="2">
        <f>I442*J442</f>
        <v/>
      </c>
      <c r="L442" t="inlineStr">
        <is>
          <t>4 cánh cao 170mm</t>
        </is>
      </c>
    </row>
    <row r="443">
      <c r="A443" t="inlineStr">
        <is>
          <t>SW-DAMPER-119-AXLE</t>
        </is>
      </c>
      <c r="B443" t="inlineStr">
        <is>
          <t>SW-DAMPER-119</t>
        </is>
      </c>
      <c r="C443" t="inlineStr">
        <is>
          <t>Trục Sus 201 D10</t>
        </is>
      </c>
      <c r="D443" t="inlineStr">
        <is>
          <t>PHỤ_KIỆN_VAN</t>
        </is>
      </c>
      <c r="E443" t="inlineStr">
        <is>
          <t>MAT-DAMPER-TRUC-SUS-201-D10</t>
        </is>
      </c>
      <c r="F443" t="inlineStr">
        <is>
          <t>m</t>
        </is>
      </c>
      <c r="G443" s="4" t="n">
        <v>3.44</v>
      </c>
      <c r="H443" s="2">
        <f>XLOOKUP(B443, '00_TONG_HOP_BAO_GIA'!B:B, '00_TONG_HOP_BAO_GIA'!G:G, 1)</f>
        <v/>
      </c>
      <c r="I443" s="5">
        <f>G443*H443</f>
        <v/>
      </c>
      <c r="J443" s="2">
        <f>XLOOKUP(E443, '06_BANG_GIA_VAT_TU_AP_DUNG'!B:B, '06_BANG_GIA_VAT_TU_AP_DUNG'!C:C, "LỖI_MÃ_VT")</f>
        <v/>
      </c>
      <c r="K443" s="2">
        <f>I443*J443</f>
        <v/>
      </c>
      <c r="L443" t="inlineStr">
        <is>
          <t>4 trục dài 860mm</t>
        </is>
      </c>
    </row>
    <row r="444">
      <c r="A444" t="inlineStr">
        <is>
          <t>SW-DAMPER-119-BEARING</t>
        </is>
      </c>
      <c r="B444" t="inlineStr">
        <is>
          <t>SW-DAMPER-119</t>
        </is>
      </c>
      <c r="C444" t="inlineStr">
        <is>
          <t>Bạc đồng D10</t>
        </is>
      </c>
      <c r="D444" t="inlineStr">
        <is>
          <t>PHỤ_KIỆN_VAN</t>
        </is>
      </c>
      <c r="E444" t="inlineStr">
        <is>
          <t>MAT-DAMPER-BAC-DONG-D10</t>
        </is>
      </c>
      <c r="F444" t="inlineStr">
        <is>
          <t>Đôi</t>
        </is>
      </c>
      <c r="G444" s="4" t="n">
        <v>4</v>
      </c>
      <c r="H444" s="2">
        <f>XLOOKUP(B444, '00_TONG_HOP_BAO_GIA'!B:B, '00_TONG_HOP_BAO_GIA'!G:G, 1)</f>
        <v/>
      </c>
      <c r="I444" s="5">
        <f>G444*H444</f>
        <v/>
      </c>
      <c r="J444" s="2">
        <f>XLOOKUP(E444, '06_BANG_GIA_VAT_TU_AP_DUNG'!B:B, '06_BANG_GIA_VAT_TU_AP_DUNG'!C:C, "LỖI_MÃ_VT")</f>
        <v/>
      </c>
      <c r="K444" s="2">
        <f>I444*J444</f>
        <v/>
      </c>
      <c r="L444" t="inlineStr">
        <is>
          <t>4 đôi bạc đỡ 2 bên thân</t>
        </is>
      </c>
    </row>
    <row r="445">
      <c r="A445" t="inlineStr">
        <is>
          <t>SW-DAMPER-119-GEAR</t>
        </is>
      </c>
      <c r="B445" t="inlineStr">
        <is>
          <t>SW-DAMPER-119</t>
        </is>
      </c>
      <c r="C445" t="inlineStr">
        <is>
          <t>Bánh răng van nhôm</t>
        </is>
      </c>
      <c r="D445" t="inlineStr">
        <is>
          <t>PHỤ_KIỆN_VAN</t>
        </is>
      </c>
      <c r="E445" t="inlineStr">
        <is>
          <t>MAT-DAMPER-BANH-RANG-VAN-NHOM</t>
        </is>
      </c>
      <c r="F445" t="inlineStr">
        <is>
          <t>Bộ</t>
        </is>
      </c>
      <c r="G445" s="4" t="n">
        <v>1</v>
      </c>
      <c r="H445" s="2">
        <f>XLOOKUP(B445, '00_TONG_HOP_BAO_GIA'!B:B, '00_TONG_HOP_BAO_GIA'!G:G, 1)</f>
        <v/>
      </c>
      <c r="I445" s="5">
        <f>G445*H445</f>
        <v/>
      </c>
      <c r="J445" s="2">
        <f>XLOOKUP(E445, '06_BANG_GIA_VAT_TU_AP_DUNG'!B:B, '06_BANG_GIA_VAT_TU_AP_DUNG'!C:C, "LỖI_MÃ_VT")</f>
        <v/>
      </c>
      <c r="K445" s="2">
        <f>I445*J445</f>
        <v/>
      </c>
      <c r="L445" t="inlineStr">
        <is>
          <t>Cơ cấu liên động bánh răng van</t>
        </is>
      </c>
    </row>
    <row r="446">
      <c r="A446" t="inlineStr">
        <is>
          <t>SW-DAMPER-119-HANDLE</t>
        </is>
      </c>
      <c r="B446" t="inlineStr">
        <is>
          <t>SW-DAMPER-119</t>
        </is>
      </c>
      <c r="C446" t="inlineStr">
        <is>
          <t>Tay gạt nhỏ</t>
        </is>
      </c>
      <c r="D446" t="inlineStr">
        <is>
          <t>PHỤ_KIỆN_VAN</t>
        </is>
      </c>
      <c r="E446" t="inlineStr">
        <is>
          <t>MAT-DAMPER-TAY-GAT-NHO</t>
        </is>
      </c>
      <c r="F446" t="inlineStr">
        <is>
          <t>Bộ</t>
        </is>
      </c>
      <c r="G446" s="4" t="n">
        <v>1</v>
      </c>
      <c r="H446" s="2">
        <f>XLOOKUP(B446, '00_TONG_HOP_BAO_GIA'!B:B, '00_TONG_HOP_BAO_GIA'!G:G, 1)</f>
        <v/>
      </c>
      <c r="I446" s="5">
        <f>G446*H446</f>
        <v/>
      </c>
      <c r="J446" s="2">
        <f>XLOOKUP(E446, '06_BANG_GIA_VAT_TU_AP_DUNG'!B:B, '06_BANG_GIA_VAT_TU_AP_DUNG'!C:C, "LỖI_MÃ_VT")</f>
        <v/>
      </c>
      <c r="K446" s="2">
        <f>I446*J446</f>
        <v/>
      </c>
      <c r="L446" t="inlineStr">
        <is>
          <t>Tay gạt khóa vị trí nan (S=0.48m2)</t>
        </is>
      </c>
    </row>
    <row r="447">
      <c r="A447" t="inlineStr">
        <is>
          <t>SW-DAMPER-120-BODY</t>
        </is>
      </c>
      <c r="B447" t="inlineStr">
        <is>
          <t>SW-DAMPER-120</t>
        </is>
      </c>
      <c r="C447" t="inlineStr">
        <is>
          <t>Thân vỏ van VCD bích TDF (0.95mm)</t>
        </is>
      </c>
      <c r="D447" t="inlineStr">
        <is>
          <t>TÔN_CUỘN_MẠ_KẼM</t>
        </is>
      </c>
      <c r="E447" t="inlineStr">
        <is>
          <t>MAT-STEEL-PN-0.95</t>
        </is>
      </c>
      <c r="F447" t="inlineStr">
        <is>
          <t>kg</t>
        </is>
      </c>
      <c r="G447" s="4" t="n">
        <v>6.2267142</v>
      </c>
      <c r="H447" s="2">
        <f>XLOOKUP(B447, '00_TONG_HOP_BAO_GIA'!B:B, '00_TONG_HOP_BAO_GIA'!G:G, 1)</f>
        <v/>
      </c>
      <c r="I447" s="5">
        <f>G447*H447</f>
        <v/>
      </c>
      <c r="J447" s="2">
        <f>XLOOKUP(E447, '06_BANG_GIA_VAT_TU_AP_DUNG'!B:B, '06_BANG_GIA_VAT_TU_AP_DUNG'!C:C, "LỖI_MÃ_VT")</f>
        <v/>
      </c>
      <c r="K447" s="2">
        <f>I447*J447</f>
        <v/>
      </c>
      <c r="L447" t="inlineStr">
        <is>
          <t>Kích thước vỏ 900.0x500.0x210mm</t>
        </is>
      </c>
    </row>
    <row r="448">
      <c r="A448" t="inlineStr">
        <is>
          <t>SW-DAMPER-120-BLADE</t>
        </is>
      </c>
      <c r="B448" t="inlineStr">
        <is>
          <t>SW-DAMPER-120</t>
        </is>
      </c>
      <c r="C448" t="inlineStr">
        <is>
          <t>Lá cánh van (3 cánh overlap)</t>
        </is>
      </c>
      <c r="D448" t="inlineStr">
        <is>
          <t>TÔN_CUỘN_MẠ_KẼM</t>
        </is>
      </c>
      <c r="E448" t="inlineStr">
        <is>
          <t>MAT-STEEL-PN-0.75</t>
        </is>
      </c>
      <c r="F448" t="inlineStr">
        <is>
          <t>kg</t>
        </is>
      </c>
      <c r="G448" s="4" t="n">
        <v>3.204684</v>
      </c>
      <c r="H448" s="2">
        <f>XLOOKUP(B448, '00_TONG_HOP_BAO_GIA'!B:B, '00_TONG_HOP_BAO_GIA'!G:G, 1)</f>
        <v/>
      </c>
      <c r="I448" s="5">
        <f>G448*H448</f>
        <v/>
      </c>
      <c r="J448" s="2">
        <f>XLOOKUP(E448, '06_BANG_GIA_VAT_TU_AP_DUNG'!B:B, '06_BANG_GIA_VAT_TU_AP_DUNG'!C:C, "LỖI_MÃ_VT")</f>
        <v/>
      </c>
      <c r="K448" s="2">
        <f>I448*J448</f>
        <v/>
      </c>
      <c r="L448" t="inlineStr">
        <is>
          <t>3 cánh cao 187mm</t>
        </is>
      </c>
    </row>
    <row r="449">
      <c r="A449" t="inlineStr">
        <is>
          <t>SW-DAMPER-120-AXLE</t>
        </is>
      </c>
      <c r="B449" t="inlineStr">
        <is>
          <t>SW-DAMPER-120</t>
        </is>
      </c>
      <c r="C449" t="inlineStr">
        <is>
          <t>Trục Sus 201 D10</t>
        </is>
      </c>
      <c r="D449" t="inlineStr">
        <is>
          <t>PHỤ_KIỆN_VAN</t>
        </is>
      </c>
      <c r="E449" t="inlineStr">
        <is>
          <t>MAT-DAMPER-TRUC-SUS-201-D10</t>
        </is>
      </c>
      <c r="F449" t="inlineStr">
        <is>
          <t>m</t>
        </is>
      </c>
      <c r="G449" s="4" t="n">
        <v>2.88</v>
      </c>
      <c r="H449" s="2">
        <f>XLOOKUP(B449, '00_TONG_HOP_BAO_GIA'!B:B, '00_TONG_HOP_BAO_GIA'!G:G, 1)</f>
        <v/>
      </c>
      <c r="I449" s="5">
        <f>G449*H449</f>
        <v/>
      </c>
      <c r="J449" s="2">
        <f>XLOOKUP(E449, '06_BANG_GIA_VAT_TU_AP_DUNG'!B:B, '06_BANG_GIA_VAT_TU_AP_DUNG'!C:C, "LỖI_MÃ_VT")</f>
        <v/>
      </c>
      <c r="K449" s="2">
        <f>I449*J449</f>
        <v/>
      </c>
      <c r="L449" t="inlineStr">
        <is>
          <t>3 trục dài 960mm</t>
        </is>
      </c>
    </row>
    <row r="450">
      <c r="A450" t="inlineStr">
        <is>
          <t>SW-DAMPER-120-BEARING</t>
        </is>
      </c>
      <c r="B450" t="inlineStr">
        <is>
          <t>SW-DAMPER-120</t>
        </is>
      </c>
      <c r="C450" t="inlineStr">
        <is>
          <t>Bạc đồng D10</t>
        </is>
      </c>
      <c r="D450" t="inlineStr">
        <is>
          <t>PHỤ_KIỆN_VAN</t>
        </is>
      </c>
      <c r="E450" t="inlineStr">
        <is>
          <t>MAT-DAMPER-BAC-DONG-D10</t>
        </is>
      </c>
      <c r="F450" t="inlineStr">
        <is>
          <t>Đôi</t>
        </is>
      </c>
      <c r="G450" s="4" t="n">
        <v>3</v>
      </c>
      <c r="H450" s="2">
        <f>XLOOKUP(B450, '00_TONG_HOP_BAO_GIA'!B:B, '00_TONG_HOP_BAO_GIA'!G:G, 1)</f>
        <v/>
      </c>
      <c r="I450" s="5">
        <f>G450*H450</f>
        <v/>
      </c>
      <c r="J450" s="2">
        <f>XLOOKUP(E450, '06_BANG_GIA_VAT_TU_AP_DUNG'!B:B, '06_BANG_GIA_VAT_TU_AP_DUNG'!C:C, "LỖI_MÃ_VT")</f>
        <v/>
      </c>
      <c r="K450" s="2">
        <f>I450*J450</f>
        <v/>
      </c>
      <c r="L450" t="inlineStr">
        <is>
          <t>3 đôi bạc đỡ 2 bên thân</t>
        </is>
      </c>
    </row>
    <row r="451">
      <c r="A451" t="inlineStr">
        <is>
          <t>SW-DAMPER-120-GEAR</t>
        </is>
      </c>
      <c r="B451" t="inlineStr">
        <is>
          <t>SW-DAMPER-120</t>
        </is>
      </c>
      <c r="C451" t="inlineStr">
        <is>
          <t>Bánh răng van nhôm</t>
        </is>
      </c>
      <c r="D451" t="inlineStr">
        <is>
          <t>PHỤ_KIỆN_VAN</t>
        </is>
      </c>
      <c r="E451" t="inlineStr">
        <is>
          <t>MAT-DAMPER-BANH-RANG-VAN-NHOM</t>
        </is>
      </c>
      <c r="F451" t="inlineStr">
        <is>
          <t>Bộ</t>
        </is>
      </c>
      <c r="G451" s="4" t="n">
        <v>1</v>
      </c>
      <c r="H451" s="2">
        <f>XLOOKUP(B451, '00_TONG_HOP_BAO_GIA'!B:B, '00_TONG_HOP_BAO_GIA'!G:G, 1)</f>
        <v/>
      </c>
      <c r="I451" s="5">
        <f>G451*H451</f>
        <v/>
      </c>
      <c r="J451" s="2">
        <f>XLOOKUP(E451, '06_BANG_GIA_VAT_TU_AP_DUNG'!B:B, '06_BANG_GIA_VAT_TU_AP_DUNG'!C:C, "LỖI_MÃ_VT")</f>
        <v/>
      </c>
      <c r="K451" s="2">
        <f>I451*J451</f>
        <v/>
      </c>
      <c r="L451" t="inlineStr">
        <is>
          <t>Cơ cấu liên động bánh răng van</t>
        </is>
      </c>
    </row>
    <row r="452">
      <c r="A452" t="inlineStr">
        <is>
          <t>SW-DAMPER-120-HANDLE</t>
        </is>
      </c>
      <c r="B452" t="inlineStr">
        <is>
          <t>SW-DAMPER-120</t>
        </is>
      </c>
      <c r="C452" t="inlineStr">
        <is>
          <t>Tay gạt nhỏ</t>
        </is>
      </c>
      <c r="D452" t="inlineStr">
        <is>
          <t>PHỤ_KIỆN_VAN</t>
        </is>
      </c>
      <c r="E452" t="inlineStr">
        <is>
          <t>MAT-DAMPER-TAY-GAT-NHO</t>
        </is>
      </c>
      <c r="F452" t="inlineStr">
        <is>
          <t>Bộ</t>
        </is>
      </c>
      <c r="G452" s="4" t="n">
        <v>1</v>
      </c>
      <c r="H452" s="2">
        <f>XLOOKUP(B452, '00_TONG_HOP_BAO_GIA'!B:B, '00_TONG_HOP_BAO_GIA'!G:G, 1)</f>
        <v/>
      </c>
      <c r="I452" s="5">
        <f>G452*H452</f>
        <v/>
      </c>
      <c r="J452" s="2">
        <f>XLOOKUP(E452, '06_BANG_GIA_VAT_TU_AP_DUNG'!B:B, '06_BANG_GIA_VAT_TU_AP_DUNG'!C:C, "LỖI_MÃ_VT")</f>
        <v/>
      </c>
      <c r="K452" s="2">
        <f>I452*J452</f>
        <v/>
      </c>
      <c r="L452" t="inlineStr">
        <is>
          <t>Tay gạt khóa vị trí nan (S=0.45m2)</t>
        </is>
      </c>
    </row>
    <row r="453">
      <c r="A453" t="inlineStr">
        <is>
          <t>SW-DAMPER-121-BODY</t>
        </is>
      </c>
      <c r="B453" t="inlineStr">
        <is>
          <t>SW-DAMPER-121</t>
        </is>
      </c>
      <c r="C453" t="inlineStr">
        <is>
          <t>Thân vỏ van VCD bích TDF (0.95mm)</t>
        </is>
      </c>
      <c r="D453" t="inlineStr">
        <is>
          <t>TÔN_CUỘN_MẠ_KẼM</t>
        </is>
      </c>
      <c r="E453" t="inlineStr">
        <is>
          <t>MAT-STEEL-PN-0.95</t>
        </is>
      </c>
      <c r="F453" t="inlineStr">
        <is>
          <t>kg</t>
        </is>
      </c>
      <c r="G453" s="4" t="n">
        <v>6.4459647</v>
      </c>
      <c r="H453" s="2">
        <f>XLOOKUP(B453, '00_TONG_HOP_BAO_GIA'!B:B, '00_TONG_HOP_BAO_GIA'!G:G, 1)</f>
        <v/>
      </c>
      <c r="I453" s="5">
        <f>G453*H453</f>
        <v/>
      </c>
      <c r="J453" s="2">
        <f>XLOOKUP(E453, '06_BANG_GIA_VAT_TU_AP_DUNG'!B:B, '06_BANG_GIA_VAT_TU_AP_DUNG'!C:C, "LỖI_MÃ_VT")</f>
        <v/>
      </c>
      <c r="K453" s="2">
        <f>I453*J453</f>
        <v/>
      </c>
      <c r="L453" t="inlineStr">
        <is>
          <t>Kích thước vỏ 950.0x500.0x210mm</t>
        </is>
      </c>
    </row>
    <row r="454">
      <c r="A454" t="inlineStr">
        <is>
          <t>SW-DAMPER-121-BLADE</t>
        </is>
      </c>
      <c r="B454" t="inlineStr">
        <is>
          <t>SW-DAMPER-121</t>
        </is>
      </c>
      <c r="C454" t="inlineStr">
        <is>
          <t>Lá cánh van (3 cánh overlap)</t>
        </is>
      </c>
      <c r="D454" t="inlineStr">
        <is>
          <t>TÔN_CUỘN_MẠ_KẼM</t>
        </is>
      </c>
      <c r="E454" t="inlineStr">
        <is>
          <t>MAT-STEEL-PN-0.75</t>
        </is>
      </c>
      <c r="F454" t="inlineStr">
        <is>
          <t>kg</t>
        </is>
      </c>
      <c r="G454" s="4" t="n">
        <v>3.382721999999999</v>
      </c>
      <c r="H454" s="2">
        <f>XLOOKUP(B454, '00_TONG_HOP_BAO_GIA'!B:B, '00_TONG_HOP_BAO_GIA'!G:G, 1)</f>
        <v/>
      </c>
      <c r="I454" s="5">
        <f>G454*H454</f>
        <v/>
      </c>
      <c r="J454" s="2">
        <f>XLOOKUP(E454, '06_BANG_GIA_VAT_TU_AP_DUNG'!B:B, '06_BANG_GIA_VAT_TU_AP_DUNG'!C:C, "LỖI_MÃ_VT")</f>
        <v/>
      </c>
      <c r="K454" s="2">
        <f>I454*J454</f>
        <v/>
      </c>
      <c r="L454" t="inlineStr">
        <is>
          <t>3 cánh cao 187mm</t>
        </is>
      </c>
    </row>
    <row r="455">
      <c r="A455" t="inlineStr">
        <is>
          <t>SW-DAMPER-121-AXLE</t>
        </is>
      </c>
      <c r="B455" t="inlineStr">
        <is>
          <t>SW-DAMPER-121</t>
        </is>
      </c>
      <c r="C455" t="inlineStr">
        <is>
          <t>Trục Sus 201 D10</t>
        </is>
      </c>
      <c r="D455" t="inlineStr">
        <is>
          <t>PHỤ_KIỆN_VAN</t>
        </is>
      </c>
      <c r="E455" t="inlineStr">
        <is>
          <t>MAT-DAMPER-TRUC-SUS-201-D10</t>
        </is>
      </c>
      <c r="F455" t="inlineStr">
        <is>
          <t>m</t>
        </is>
      </c>
      <c r="G455" s="4" t="n">
        <v>3.03</v>
      </c>
      <c r="H455" s="2">
        <f>XLOOKUP(B455, '00_TONG_HOP_BAO_GIA'!B:B, '00_TONG_HOP_BAO_GIA'!G:G, 1)</f>
        <v/>
      </c>
      <c r="I455" s="5">
        <f>G455*H455</f>
        <v/>
      </c>
      <c r="J455" s="2">
        <f>XLOOKUP(E455, '06_BANG_GIA_VAT_TU_AP_DUNG'!B:B, '06_BANG_GIA_VAT_TU_AP_DUNG'!C:C, "LỖI_MÃ_VT")</f>
        <v/>
      </c>
      <c r="K455" s="2">
        <f>I455*J455</f>
        <v/>
      </c>
      <c r="L455" t="inlineStr">
        <is>
          <t>3 trục dài 1010mm</t>
        </is>
      </c>
    </row>
    <row r="456">
      <c r="A456" t="inlineStr">
        <is>
          <t>SW-DAMPER-121-BEARING</t>
        </is>
      </c>
      <c r="B456" t="inlineStr">
        <is>
          <t>SW-DAMPER-121</t>
        </is>
      </c>
      <c r="C456" t="inlineStr">
        <is>
          <t>Bạc đồng D10</t>
        </is>
      </c>
      <c r="D456" t="inlineStr">
        <is>
          <t>PHỤ_KIỆN_VAN</t>
        </is>
      </c>
      <c r="E456" t="inlineStr">
        <is>
          <t>MAT-DAMPER-BAC-DONG-D10</t>
        </is>
      </c>
      <c r="F456" t="inlineStr">
        <is>
          <t>Đôi</t>
        </is>
      </c>
      <c r="G456" s="4" t="n">
        <v>3</v>
      </c>
      <c r="H456" s="2">
        <f>XLOOKUP(B456, '00_TONG_HOP_BAO_GIA'!B:B, '00_TONG_HOP_BAO_GIA'!G:G, 1)</f>
        <v/>
      </c>
      <c r="I456" s="5">
        <f>G456*H456</f>
        <v/>
      </c>
      <c r="J456" s="2">
        <f>XLOOKUP(E456, '06_BANG_GIA_VAT_TU_AP_DUNG'!B:B, '06_BANG_GIA_VAT_TU_AP_DUNG'!C:C, "LỖI_MÃ_VT")</f>
        <v/>
      </c>
      <c r="K456" s="2">
        <f>I456*J456</f>
        <v/>
      </c>
      <c r="L456" t="inlineStr">
        <is>
          <t>3 đôi bạc đỡ 2 bên thân</t>
        </is>
      </c>
    </row>
    <row r="457">
      <c r="A457" t="inlineStr">
        <is>
          <t>SW-DAMPER-121-GEAR</t>
        </is>
      </c>
      <c r="B457" t="inlineStr">
        <is>
          <t>SW-DAMPER-121</t>
        </is>
      </c>
      <c r="C457" t="inlineStr">
        <is>
          <t>Bánh răng van nhôm</t>
        </is>
      </c>
      <c r="D457" t="inlineStr">
        <is>
          <t>PHỤ_KIỆN_VAN</t>
        </is>
      </c>
      <c r="E457" t="inlineStr">
        <is>
          <t>MAT-DAMPER-BANH-RANG-VAN-NHOM</t>
        </is>
      </c>
      <c r="F457" t="inlineStr">
        <is>
          <t>Bộ</t>
        </is>
      </c>
      <c r="G457" s="4" t="n">
        <v>1</v>
      </c>
      <c r="H457" s="2">
        <f>XLOOKUP(B457, '00_TONG_HOP_BAO_GIA'!B:B, '00_TONG_HOP_BAO_GIA'!G:G, 1)</f>
        <v/>
      </c>
      <c r="I457" s="5">
        <f>G457*H457</f>
        <v/>
      </c>
      <c r="J457" s="2">
        <f>XLOOKUP(E457, '06_BANG_GIA_VAT_TU_AP_DUNG'!B:B, '06_BANG_GIA_VAT_TU_AP_DUNG'!C:C, "LỖI_MÃ_VT")</f>
        <v/>
      </c>
      <c r="K457" s="2">
        <f>I457*J457</f>
        <v/>
      </c>
      <c r="L457" t="inlineStr">
        <is>
          <t>Cơ cấu liên động bánh răng van</t>
        </is>
      </c>
    </row>
    <row r="458">
      <c r="A458" t="inlineStr">
        <is>
          <t>SW-DAMPER-121-HANDLE</t>
        </is>
      </c>
      <c r="B458" t="inlineStr">
        <is>
          <t>SW-DAMPER-121</t>
        </is>
      </c>
      <c r="C458" t="inlineStr">
        <is>
          <t>Tay gạt nhỏ</t>
        </is>
      </c>
      <c r="D458" t="inlineStr">
        <is>
          <t>PHỤ_KIỆN_VAN</t>
        </is>
      </c>
      <c r="E458" t="inlineStr">
        <is>
          <t>MAT-DAMPER-TAY-GAT-NHO</t>
        </is>
      </c>
      <c r="F458" t="inlineStr">
        <is>
          <t>Bộ</t>
        </is>
      </c>
      <c r="G458" s="4" t="n">
        <v>1</v>
      </c>
      <c r="H458" s="2">
        <f>XLOOKUP(B458, '00_TONG_HOP_BAO_GIA'!B:B, '00_TONG_HOP_BAO_GIA'!G:G, 1)</f>
        <v/>
      </c>
      <c r="I458" s="5">
        <f>G458*H458</f>
        <v/>
      </c>
      <c r="J458" s="2">
        <f>XLOOKUP(E458, '06_BANG_GIA_VAT_TU_AP_DUNG'!B:B, '06_BANG_GIA_VAT_TU_AP_DUNG'!C:C, "LỖI_MÃ_VT")</f>
        <v/>
      </c>
      <c r="K458" s="2">
        <f>I458*J458</f>
        <v/>
      </c>
      <c r="L458" t="inlineStr">
        <is>
          <t>Tay gạt khóa vị trí nan (S=0.47m2)</t>
        </is>
      </c>
    </row>
    <row r="459">
      <c r="A459" t="inlineStr">
        <is>
          <t>SW-DAMPER-122-BODY</t>
        </is>
      </c>
      <c r="B459" t="inlineStr">
        <is>
          <t>SW-DAMPER-122</t>
        </is>
      </c>
      <c r="C459" t="inlineStr">
        <is>
          <t>Thân vỏ van VCD bích TDF (0.95mm)</t>
        </is>
      </c>
      <c r="D459" t="inlineStr">
        <is>
          <t>TÔN_CUỘN_MẠ_KẼM</t>
        </is>
      </c>
      <c r="E459" t="inlineStr">
        <is>
          <t>MAT-STEEL-PN-0.95</t>
        </is>
      </c>
      <c r="F459" t="inlineStr">
        <is>
          <t>kg</t>
        </is>
      </c>
      <c r="G459" s="4" t="n">
        <v>8.857720200000003</v>
      </c>
      <c r="H459" s="2">
        <f>XLOOKUP(B459, '00_TONG_HOP_BAO_GIA'!B:B, '00_TONG_HOP_BAO_GIA'!G:G, 1)</f>
        <v/>
      </c>
      <c r="I459" s="5">
        <f>G459*H459</f>
        <v/>
      </c>
      <c r="J459" s="2">
        <f>XLOOKUP(E459, '06_BANG_GIA_VAT_TU_AP_DUNG'!B:B, '06_BANG_GIA_VAT_TU_AP_DUNG'!C:C, "LỖI_MÃ_VT")</f>
        <v/>
      </c>
      <c r="K459" s="2">
        <f>I459*J459</f>
        <v/>
      </c>
      <c r="L459" t="inlineStr">
        <is>
          <t>Kích thước vỏ 1000.0x1000.0x210mm</t>
        </is>
      </c>
    </row>
    <row r="460">
      <c r="A460" t="inlineStr">
        <is>
          <t>SW-DAMPER-122-BLADE</t>
        </is>
      </c>
      <c r="B460" t="inlineStr">
        <is>
          <t>SW-DAMPER-122</t>
        </is>
      </c>
      <c r="C460" t="inlineStr">
        <is>
          <t>Lá cánh van (6 cánh overlap)</t>
        </is>
      </c>
      <c r="D460" t="inlineStr">
        <is>
          <t>TÔN_CUỘN_MẠ_KẼM</t>
        </is>
      </c>
      <c r="E460" t="inlineStr">
        <is>
          <t>MAT-STEEL-PN-0.75</t>
        </is>
      </c>
      <c r="F460" t="inlineStr">
        <is>
          <t>kg</t>
        </is>
      </c>
      <c r="G460" s="4" t="n">
        <v>7.121519999999999</v>
      </c>
      <c r="H460" s="2">
        <f>XLOOKUP(B460, '00_TONG_HOP_BAO_GIA'!B:B, '00_TONG_HOP_BAO_GIA'!G:G, 1)</f>
        <v/>
      </c>
      <c r="I460" s="5">
        <f>G460*H460</f>
        <v/>
      </c>
      <c r="J460" s="2">
        <f>XLOOKUP(E460, '06_BANG_GIA_VAT_TU_AP_DUNG'!B:B, '06_BANG_GIA_VAT_TU_AP_DUNG'!C:C, "LỖI_MÃ_VT")</f>
        <v/>
      </c>
      <c r="K460" s="2">
        <f>I460*J460</f>
        <v/>
      </c>
      <c r="L460" t="inlineStr">
        <is>
          <t>6 cánh cao 187mm</t>
        </is>
      </c>
    </row>
    <row r="461">
      <c r="A461" t="inlineStr">
        <is>
          <t>SW-DAMPER-122-AXLE</t>
        </is>
      </c>
      <c r="B461" t="inlineStr">
        <is>
          <t>SW-DAMPER-122</t>
        </is>
      </c>
      <c r="C461" t="inlineStr">
        <is>
          <t>Trục Sus 201 D10</t>
        </is>
      </c>
      <c r="D461" t="inlineStr">
        <is>
          <t>PHỤ_KIỆN_VAN</t>
        </is>
      </c>
      <c r="E461" t="inlineStr">
        <is>
          <t>MAT-DAMPER-TRUC-SUS-201-D10</t>
        </is>
      </c>
      <c r="F461" t="inlineStr">
        <is>
          <t>m</t>
        </is>
      </c>
      <c r="G461" s="4" t="n">
        <v>6.36</v>
      </c>
      <c r="H461" s="2">
        <f>XLOOKUP(B461, '00_TONG_HOP_BAO_GIA'!B:B, '00_TONG_HOP_BAO_GIA'!G:G, 1)</f>
        <v/>
      </c>
      <c r="I461" s="5">
        <f>G461*H461</f>
        <v/>
      </c>
      <c r="J461" s="2">
        <f>XLOOKUP(E461, '06_BANG_GIA_VAT_TU_AP_DUNG'!B:B, '06_BANG_GIA_VAT_TU_AP_DUNG'!C:C, "LỖI_MÃ_VT")</f>
        <v/>
      </c>
      <c r="K461" s="2">
        <f>I461*J461</f>
        <v/>
      </c>
      <c r="L461" t="inlineStr">
        <is>
          <t>6 trục dài 1060mm</t>
        </is>
      </c>
    </row>
    <row r="462">
      <c r="A462" t="inlineStr">
        <is>
          <t>SW-DAMPER-122-BEARING</t>
        </is>
      </c>
      <c r="B462" t="inlineStr">
        <is>
          <t>SW-DAMPER-122</t>
        </is>
      </c>
      <c r="C462" t="inlineStr">
        <is>
          <t>Bạc đồng D10</t>
        </is>
      </c>
      <c r="D462" t="inlineStr">
        <is>
          <t>PHỤ_KIỆN_VAN</t>
        </is>
      </c>
      <c r="E462" t="inlineStr">
        <is>
          <t>MAT-DAMPER-BAC-DONG-D10</t>
        </is>
      </c>
      <c r="F462" t="inlineStr">
        <is>
          <t>Đôi</t>
        </is>
      </c>
      <c r="G462" s="4" t="n">
        <v>6</v>
      </c>
      <c r="H462" s="2">
        <f>XLOOKUP(B462, '00_TONG_HOP_BAO_GIA'!B:B, '00_TONG_HOP_BAO_GIA'!G:G, 1)</f>
        <v/>
      </c>
      <c r="I462" s="5">
        <f>G462*H462</f>
        <v/>
      </c>
      <c r="J462" s="2">
        <f>XLOOKUP(E462, '06_BANG_GIA_VAT_TU_AP_DUNG'!B:B, '06_BANG_GIA_VAT_TU_AP_DUNG'!C:C, "LỖI_MÃ_VT")</f>
        <v/>
      </c>
      <c r="K462" s="2">
        <f>I462*J462</f>
        <v/>
      </c>
      <c r="L462" t="inlineStr">
        <is>
          <t>6 đôi bạc đỡ 2 bên thân</t>
        </is>
      </c>
    </row>
    <row r="463">
      <c r="A463" t="inlineStr">
        <is>
          <t>SW-DAMPER-122-GEAR</t>
        </is>
      </c>
      <c r="B463" t="inlineStr">
        <is>
          <t>SW-DAMPER-122</t>
        </is>
      </c>
      <c r="C463" t="inlineStr">
        <is>
          <t>Bánh răng van nhôm</t>
        </is>
      </c>
      <c r="D463" t="inlineStr">
        <is>
          <t>PHỤ_KIỆN_VAN</t>
        </is>
      </c>
      <c r="E463" t="inlineStr">
        <is>
          <t>MAT-DAMPER-BANH-RANG-VAN-NHOM</t>
        </is>
      </c>
      <c r="F463" t="inlineStr">
        <is>
          <t>Bộ</t>
        </is>
      </c>
      <c r="G463" s="4" t="n">
        <v>1</v>
      </c>
      <c r="H463" s="2">
        <f>XLOOKUP(B463, '00_TONG_HOP_BAO_GIA'!B:B, '00_TONG_HOP_BAO_GIA'!G:G, 1)</f>
        <v/>
      </c>
      <c r="I463" s="5">
        <f>G463*H463</f>
        <v/>
      </c>
      <c r="J463" s="2">
        <f>XLOOKUP(E463, '06_BANG_GIA_VAT_TU_AP_DUNG'!B:B, '06_BANG_GIA_VAT_TU_AP_DUNG'!C:C, "LỖI_MÃ_VT")</f>
        <v/>
      </c>
      <c r="K463" s="2">
        <f>I463*J463</f>
        <v/>
      </c>
      <c r="L463" t="inlineStr">
        <is>
          <t>Cơ cấu liên động bánh răng van</t>
        </is>
      </c>
    </row>
    <row r="464">
      <c r="A464" t="inlineStr">
        <is>
          <t>SW-DAMPER-122-HANDLE</t>
        </is>
      </c>
      <c r="B464" t="inlineStr">
        <is>
          <t>SW-DAMPER-122</t>
        </is>
      </c>
      <c r="C464" t="inlineStr">
        <is>
          <t>Tay gạt trung bình</t>
        </is>
      </c>
      <c r="D464" t="inlineStr">
        <is>
          <t>PHỤ_KIỆN_VAN</t>
        </is>
      </c>
      <c r="E464" t="inlineStr">
        <is>
          <t>MAT-DAMPER-TAY-GAT-TRUNG-BINH</t>
        </is>
      </c>
      <c r="F464" t="inlineStr">
        <is>
          <t>Bộ</t>
        </is>
      </c>
      <c r="G464" s="4" t="n">
        <v>1</v>
      </c>
      <c r="H464" s="2">
        <f>XLOOKUP(B464, '00_TONG_HOP_BAO_GIA'!B:B, '00_TONG_HOP_BAO_GIA'!G:G, 1)</f>
        <v/>
      </c>
      <c r="I464" s="5">
        <f>G464*H464</f>
        <v/>
      </c>
      <c r="J464" s="2">
        <f>XLOOKUP(E464, '06_BANG_GIA_VAT_TU_AP_DUNG'!B:B, '06_BANG_GIA_VAT_TU_AP_DUNG'!C:C, "LỖI_MÃ_VT")</f>
        <v/>
      </c>
      <c r="K464" s="2">
        <f>I464*J464</f>
        <v/>
      </c>
      <c r="L464" t="inlineStr">
        <is>
          <t>Tay gạt khóa vị trí nan (S=1.00m2)</t>
        </is>
      </c>
    </row>
    <row r="465">
      <c r="A465" t="inlineStr">
        <is>
          <t>SW-DAMPER-123-BODY</t>
        </is>
      </c>
      <c r="B465" t="inlineStr">
        <is>
          <t>SW-DAMPER-123</t>
        </is>
      </c>
      <c r="C465" t="inlineStr">
        <is>
          <t>Thân vỏ van VCD bích TDF (0.95mm)</t>
        </is>
      </c>
      <c r="D465" t="inlineStr">
        <is>
          <t>TÔN_CUỘN_MẠ_KẼM</t>
        </is>
      </c>
      <c r="E465" t="inlineStr">
        <is>
          <t>MAT-STEEL-PN-0.95</t>
        </is>
      </c>
      <c r="F465" t="inlineStr">
        <is>
          <t>kg</t>
        </is>
      </c>
      <c r="G465" s="4" t="n">
        <v>11.0502252</v>
      </c>
      <c r="H465" s="2">
        <f>XLOOKUP(B465, '00_TONG_HOP_BAO_GIA'!B:B, '00_TONG_HOP_BAO_GIA'!G:G, 1)</f>
        <v/>
      </c>
      <c r="I465" s="5">
        <f>G465*H465</f>
        <v/>
      </c>
      <c r="J465" s="2">
        <f>XLOOKUP(E465, '06_BANG_GIA_VAT_TU_AP_DUNG'!B:B, '06_BANG_GIA_VAT_TU_AP_DUNG'!C:C, "LỖI_MÃ_VT")</f>
        <v/>
      </c>
      <c r="K465" s="2">
        <f>I465*J465</f>
        <v/>
      </c>
      <c r="L465" t="inlineStr">
        <is>
          <t>Kích thước vỏ 1900.0x600.0x210mm</t>
        </is>
      </c>
    </row>
    <row r="466">
      <c r="A466" t="inlineStr">
        <is>
          <t>SW-DAMPER-123-BLADE</t>
        </is>
      </c>
      <c r="B466" t="inlineStr">
        <is>
          <t>SW-DAMPER-123</t>
        </is>
      </c>
      <c r="C466" t="inlineStr">
        <is>
          <t>Lá cánh van (4 cánh overlap)</t>
        </is>
      </c>
      <c r="D466" t="inlineStr">
        <is>
          <t>TÔN_CUỘN_MẠ_KẼM</t>
        </is>
      </c>
      <c r="E466" t="inlineStr">
        <is>
          <t>MAT-STEEL-PN-0.75</t>
        </is>
      </c>
      <c r="F466" t="inlineStr">
        <is>
          <t>kg</t>
        </is>
      </c>
      <c r="G466" s="4" t="n">
        <v>8.215182</v>
      </c>
      <c r="H466" s="2">
        <f>XLOOKUP(B466, '00_TONG_HOP_BAO_GIA'!B:B, '00_TONG_HOP_BAO_GIA'!G:G, 1)</f>
        <v/>
      </c>
      <c r="I466" s="5">
        <f>G466*H466</f>
        <v/>
      </c>
      <c r="J466" s="2">
        <f>XLOOKUP(E466, '06_BANG_GIA_VAT_TU_AP_DUNG'!B:B, '06_BANG_GIA_VAT_TU_AP_DUNG'!C:C, "LỖI_MÃ_VT")</f>
        <v/>
      </c>
      <c r="K466" s="2">
        <f>I466*J466</f>
        <v/>
      </c>
      <c r="L466" t="inlineStr">
        <is>
          <t>4 cánh cao 170mm</t>
        </is>
      </c>
    </row>
    <row r="467">
      <c r="A467" t="inlineStr">
        <is>
          <t>SW-DAMPER-123-AXLE</t>
        </is>
      </c>
      <c r="B467" t="inlineStr">
        <is>
          <t>SW-DAMPER-123</t>
        </is>
      </c>
      <c r="C467" t="inlineStr">
        <is>
          <t>Trục Sus 201 D10</t>
        </is>
      </c>
      <c r="D467" t="inlineStr">
        <is>
          <t>PHỤ_KIỆN_VAN</t>
        </is>
      </c>
      <c r="E467" t="inlineStr">
        <is>
          <t>MAT-DAMPER-TRUC-SUS-201-D10</t>
        </is>
      </c>
      <c r="F467" t="inlineStr">
        <is>
          <t>m</t>
        </is>
      </c>
      <c r="G467" s="4" t="n">
        <v>7.84</v>
      </c>
      <c r="H467" s="2">
        <f>XLOOKUP(B467, '00_TONG_HOP_BAO_GIA'!B:B, '00_TONG_HOP_BAO_GIA'!G:G, 1)</f>
        <v/>
      </c>
      <c r="I467" s="5">
        <f>G467*H467</f>
        <v/>
      </c>
      <c r="J467" s="2">
        <f>XLOOKUP(E467, '06_BANG_GIA_VAT_TU_AP_DUNG'!B:B, '06_BANG_GIA_VAT_TU_AP_DUNG'!C:C, "LỖI_MÃ_VT")</f>
        <v/>
      </c>
      <c r="K467" s="2">
        <f>I467*J467</f>
        <v/>
      </c>
      <c r="L467" t="inlineStr">
        <is>
          <t>4 trục dài 1960mm</t>
        </is>
      </c>
    </row>
    <row r="468">
      <c r="A468" t="inlineStr">
        <is>
          <t>SW-DAMPER-123-BEARING</t>
        </is>
      </c>
      <c r="B468" t="inlineStr">
        <is>
          <t>SW-DAMPER-123</t>
        </is>
      </c>
      <c r="C468" t="inlineStr">
        <is>
          <t>Bạc đồng D10</t>
        </is>
      </c>
      <c r="D468" t="inlineStr">
        <is>
          <t>PHỤ_KIỆN_VAN</t>
        </is>
      </c>
      <c r="E468" t="inlineStr">
        <is>
          <t>MAT-DAMPER-BAC-DONG-D10</t>
        </is>
      </c>
      <c r="F468" t="inlineStr">
        <is>
          <t>Đôi</t>
        </is>
      </c>
      <c r="G468" s="4" t="n">
        <v>4</v>
      </c>
      <c r="H468" s="2">
        <f>XLOOKUP(B468, '00_TONG_HOP_BAO_GIA'!B:B, '00_TONG_HOP_BAO_GIA'!G:G, 1)</f>
        <v/>
      </c>
      <c r="I468" s="5">
        <f>G468*H468</f>
        <v/>
      </c>
      <c r="J468" s="2">
        <f>XLOOKUP(E468, '06_BANG_GIA_VAT_TU_AP_DUNG'!B:B, '06_BANG_GIA_VAT_TU_AP_DUNG'!C:C, "LỖI_MÃ_VT")</f>
        <v/>
      </c>
      <c r="K468" s="2">
        <f>I468*J468</f>
        <v/>
      </c>
      <c r="L468" t="inlineStr">
        <is>
          <t>4 đôi bạc đỡ 2 bên thân</t>
        </is>
      </c>
    </row>
    <row r="469">
      <c r="A469" t="inlineStr">
        <is>
          <t>SW-DAMPER-123-GEAR</t>
        </is>
      </c>
      <c r="B469" t="inlineStr">
        <is>
          <t>SW-DAMPER-123</t>
        </is>
      </c>
      <c r="C469" t="inlineStr">
        <is>
          <t>Bánh răng van nhôm</t>
        </is>
      </c>
      <c r="D469" t="inlineStr">
        <is>
          <t>PHỤ_KIỆN_VAN</t>
        </is>
      </c>
      <c r="E469" t="inlineStr">
        <is>
          <t>MAT-DAMPER-BANH-RANG-VAN-NHOM</t>
        </is>
      </c>
      <c r="F469" t="inlineStr">
        <is>
          <t>Bộ</t>
        </is>
      </c>
      <c r="G469" s="4" t="n">
        <v>1</v>
      </c>
      <c r="H469" s="2">
        <f>XLOOKUP(B469, '00_TONG_HOP_BAO_GIA'!B:B, '00_TONG_HOP_BAO_GIA'!G:G, 1)</f>
        <v/>
      </c>
      <c r="I469" s="5">
        <f>G469*H469</f>
        <v/>
      </c>
      <c r="J469" s="2">
        <f>XLOOKUP(E469, '06_BANG_GIA_VAT_TU_AP_DUNG'!B:B, '06_BANG_GIA_VAT_TU_AP_DUNG'!C:C, "LỖI_MÃ_VT")</f>
        <v/>
      </c>
      <c r="K469" s="2">
        <f>I469*J469</f>
        <v/>
      </c>
      <c r="L469" t="inlineStr">
        <is>
          <t>Cơ cấu liên động bánh răng van</t>
        </is>
      </c>
    </row>
    <row r="470">
      <c r="A470" t="inlineStr">
        <is>
          <t>SW-DAMPER-123-HANDLE</t>
        </is>
      </c>
      <c r="B470" t="inlineStr">
        <is>
          <t>SW-DAMPER-123</t>
        </is>
      </c>
      <c r="C470" t="inlineStr">
        <is>
          <t>Tay gạt 1 &gt;1m2</t>
        </is>
      </c>
      <c r="D470" t="inlineStr">
        <is>
          <t>PHỤ_KIỆN_VAN</t>
        </is>
      </c>
      <c r="E470" t="inlineStr">
        <is>
          <t>MAT-DAMPER-TAY-GAT-1-1M2</t>
        </is>
      </c>
      <c r="F470" t="inlineStr">
        <is>
          <t>Cái</t>
        </is>
      </c>
      <c r="G470" s="4" t="n">
        <v>1</v>
      </c>
      <c r="H470" s="2">
        <f>XLOOKUP(B470, '00_TONG_HOP_BAO_GIA'!B:B, '00_TONG_HOP_BAO_GIA'!G:G, 1)</f>
        <v/>
      </c>
      <c r="I470" s="5">
        <f>G470*H470</f>
        <v/>
      </c>
      <c r="J470" s="2">
        <f>XLOOKUP(E470, '06_BANG_GIA_VAT_TU_AP_DUNG'!B:B, '06_BANG_GIA_VAT_TU_AP_DUNG'!C:C, "LỖI_MÃ_VT")</f>
        <v/>
      </c>
      <c r="K470" s="2">
        <f>I470*J470</f>
        <v/>
      </c>
      <c r="L470" t="inlineStr">
        <is>
          <t>Tay gạt khóa vị trí nan (S=1.14m2)</t>
        </is>
      </c>
    </row>
    <row r="471">
      <c r="A471" t="inlineStr">
        <is>
          <t>SW-DAMPER-124-BODY</t>
        </is>
      </c>
      <c r="B471" t="inlineStr">
        <is>
          <t>SW-DAMPER-124</t>
        </is>
      </c>
      <c r="C471" t="inlineStr">
        <is>
          <t>Thân vỏ van FD bích TDF (0.75mm)</t>
        </is>
      </c>
      <c r="D471" t="inlineStr">
        <is>
          <t>TÔN_CUỘN_MẠ_KẼM</t>
        </is>
      </c>
      <c r="E471" t="inlineStr">
        <is>
          <t>MAT-STEEL-PN-0.75</t>
        </is>
      </c>
      <c r="F471" t="inlineStr">
        <is>
          <t>kg</t>
        </is>
      </c>
      <c r="G471" s="4" t="n">
        <v>1.266048</v>
      </c>
      <c r="H471" s="2">
        <f>XLOOKUP(B471, '00_TONG_HOP_BAO_GIA'!B:B, '00_TONG_HOP_BAO_GIA'!G:G, 1)</f>
        <v/>
      </c>
      <c r="I471" s="5">
        <f>G471*H471</f>
        <v/>
      </c>
      <c r="J471" s="2">
        <f>XLOOKUP(E471, '06_BANG_GIA_VAT_TU_AP_DUNG'!B:B, '06_BANG_GIA_VAT_TU_AP_DUNG'!C:C, "LỖI_MÃ_VT")</f>
        <v/>
      </c>
      <c r="K471" s="2">
        <f>I471*J471</f>
        <v/>
      </c>
      <c r="L471" t="inlineStr">
        <is>
          <t>Kích thước vỏ 150.0x150.0x250mm</t>
        </is>
      </c>
    </row>
    <row r="472">
      <c r="A472" t="inlineStr">
        <is>
          <t>SW-DAMPER-124-BLADE</t>
        </is>
      </c>
      <c r="B472" t="inlineStr">
        <is>
          <t>SW-DAMPER-124</t>
        </is>
      </c>
      <c r="C472" t="inlineStr">
        <is>
          <t>Lá cánh van (1 cánh overlap)</t>
        </is>
      </c>
      <c r="D472" t="inlineStr">
        <is>
          <t>TÔN_CUỘN_MẠ_KẼM</t>
        </is>
      </c>
      <c r="E472" t="inlineStr">
        <is>
          <t>MAT-STEEL-PN-0.75</t>
        </is>
      </c>
      <c r="F472" t="inlineStr">
        <is>
          <t>kg</t>
        </is>
      </c>
      <c r="G472" s="4" t="n">
        <v>0.16214175</v>
      </c>
      <c r="H472" s="2">
        <f>XLOOKUP(B472, '00_TONG_HOP_BAO_GIA'!B:B, '00_TONG_HOP_BAO_GIA'!G:G, 1)</f>
        <v/>
      </c>
      <c r="I472" s="5">
        <f>G472*H472</f>
        <v/>
      </c>
      <c r="J472" s="2">
        <f>XLOOKUP(E472, '06_BANG_GIA_VAT_TU_AP_DUNG'!B:B, '06_BANG_GIA_VAT_TU_AP_DUNG'!C:C, "LỖI_MÃ_VT")</f>
        <v/>
      </c>
      <c r="K472" s="2">
        <f>I472*J472</f>
        <v/>
      </c>
      <c r="L472" t="inlineStr">
        <is>
          <t>1 cánh cao 170mm</t>
        </is>
      </c>
    </row>
    <row r="473">
      <c r="A473" t="inlineStr">
        <is>
          <t>SW-DAMPER-124-AXLE</t>
        </is>
      </c>
      <c r="B473" t="inlineStr">
        <is>
          <t>SW-DAMPER-124</t>
        </is>
      </c>
      <c r="C473" t="inlineStr">
        <is>
          <t>Trục Sus 201 D10</t>
        </is>
      </c>
      <c r="D473" t="inlineStr">
        <is>
          <t>PHỤ_KIỆN_VAN</t>
        </is>
      </c>
      <c r="E473" t="inlineStr">
        <is>
          <t>MAT-DAMPER-TRUC-SUS-201-D10</t>
        </is>
      </c>
      <c r="F473" t="inlineStr">
        <is>
          <t>m</t>
        </is>
      </c>
      <c r="G473" s="4" t="n">
        <v>0.21</v>
      </c>
      <c r="H473" s="2">
        <f>XLOOKUP(B473, '00_TONG_HOP_BAO_GIA'!B:B, '00_TONG_HOP_BAO_GIA'!G:G, 1)</f>
        <v/>
      </c>
      <c r="I473" s="5">
        <f>G473*H473</f>
        <v/>
      </c>
      <c r="J473" s="2">
        <f>XLOOKUP(E473, '06_BANG_GIA_VAT_TU_AP_DUNG'!B:B, '06_BANG_GIA_VAT_TU_AP_DUNG'!C:C, "LỖI_MÃ_VT")</f>
        <v/>
      </c>
      <c r="K473" s="2">
        <f>I473*J473</f>
        <v/>
      </c>
      <c r="L473" t="inlineStr">
        <is>
          <t>1 trục dài 210mm</t>
        </is>
      </c>
    </row>
    <row r="474">
      <c r="A474" t="inlineStr">
        <is>
          <t>SW-DAMPER-124-BEARING</t>
        </is>
      </c>
      <c r="B474" t="inlineStr">
        <is>
          <t>SW-DAMPER-124</t>
        </is>
      </c>
      <c r="C474" t="inlineStr">
        <is>
          <t>Bạc đồng D10</t>
        </is>
      </c>
      <c r="D474" t="inlineStr">
        <is>
          <t>PHỤ_KIỆN_VAN</t>
        </is>
      </c>
      <c r="E474" t="inlineStr">
        <is>
          <t>MAT-DAMPER-BAC-DONG-D10</t>
        </is>
      </c>
      <c r="F474" t="inlineStr">
        <is>
          <t>Đôi</t>
        </is>
      </c>
      <c r="G474" s="4" t="n">
        <v>1</v>
      </c>
      <c r="H474" s="2">
        <f>XLOOKUP(B474, '00_TONG_HOP_BAO_GIA'!B:B, '00_TONG_HOP_BAO_GIA'!G:G, 1)</f>
        <v/>
      </c>
      <c r="I474" s="5">
        <f>G474*H474</f>
        <v/>
      </c>
      <c r="J474" s="2">
        <f>XLOOKUP(E474, '06_BANG_GIA_VAT_TU_AP_DUNG'!B:B, '06_BANG_GIA_VAT_TU_AP_DUNG'!C:C, "LỖI_MÃ_VT")</f>
        <v/>
      </c>
      <c r="K474" s="2">
        <f>I474*J474</f>
        <v/>
      </c>
      <c r="L474" t="inlineStr">
        <is>
          <t>1 đôi bạc đỡ 2 bên thân</t>
        </is>
      </c>
    </row>
    <row r="475">
      <c r="A475" t="inlineStr">
        <is>
          <t>SW-DAMPER-124-FUSE</t>
        </is>
      </c>
      <c r="B475" t="inlineStr">
        <is>
          <t>SW-DAMPER-124</t>
        </is>
      </c>
      <c r="C475" t="inlineStr">
        <is>
          <t>Cầu chì nhiệt nóng chảy 70°C (Elsie/USA)</t>
        </is>
      </c>
      <c r="D475" t="inlineStr">
        <is>
          <t>PHỤ_KIỆN_VAN</t>
        </is>
      </c>
      <c r="E475" t="inlineStr">
        <is>
          <t>MAT-DAMPER-CAU-CHI-USA-1-400X400</t>
        </is>
      </c>
      <c r="F475" t="inlineStr">
        <is>
          <t>Cái</t>
        </is>
      </c>
      <c r="G475" s="4" t="n">
        <v>1</v>
      </c>
      <c r="H475" s="2">
        <f>XLOOKUP(B475, '00_TONG_HOP_BAO_GIA'!B:B, '00_TONG_HOP_BAO_GIA'!G:G, 1)</f>
        <v/>
      </c>
      <c r="I475" s="5">
        <f>G475*H475</f>
        <v/>
      </c>
      <c r="J475" s="2">
        <f>XLOOKUP(E475, '06_BANG_GIA_VAT_TU_AP_DUNG'!B:B, '06_BANG_GIA_VAT_TU_AP_DUNG'!C:C, "LỖI_MÃ_VT")</f>
        <v/>
      </c>
      <c r="K475" s="2">
        <f>I475*J475</f>
        <v/>
      </c>
      <c r="L475" t="inlineStr">
        <is>
          <t>Cầu chì kiểm định PCCC</t>
        </is>
      </c>
    </row>
    <row r="476">
      <c r="A476" t="inlineStr">
        <is>
          <t>SW-DAMPER-125-BODY</t>
        </is>
      </c>
      <c r="B476" t="inlineStr">
        <is>
          <t>SW-DAMPER-125</t>
        </is>
      </c>
      <c r="C476" t="inlineStr">
        <is>
          <t>Thân vỏ van FD bích TDF (0.75mm)</t>
        </is>
      </c>
      <c r="D476" t="inlineStr">
        <is>
          <t>TÔN_CUỘN_MẠ_KẼM</t>
        </is>
      </c>
      <c r="E476" t="inlineStr">
        <is>
          <t>MAT-STEEL-PN-0.75</t>
        </is>
      </c>
      <c r="F476" t="inlineStr">
        <is>
          <t>kg</t>
        </is>
      </c>
      <c r="G476" s="4" t="n">
        <v>1.266048</v>
      </c>
      <c r="H476" s="2">
        <f>XLOOKUP(B476, '00_TONG_HOP_BAO_GIA'!B:B, '00_TONG_HOP_BAO_GIA'!G:G, 1)</f>
        <v/>
      </c>
      <c r="I476" s="5">
        <f>G476*H476</f>
        <v/>
      </c>
      <c r="J476" s="2">
        <f>XLOOKUP(E476, '06_BANG_GIA_VAT_TU_AP_DUNG'!B:B, '06_BANG_GIA_VAT_TU_AP_DUNG'!C:C, "LỖI_MÃ_VT")</f>
        <v/>
      </c>
      <c r="K476" s="2">
        <f>I476*J476</f>
        <v/>
      </c>
      <c r="L476" t="inlineStr">
        <is>
          <t>Kích thước vỏ 150.0x150.0x250mm</t>
        </is>
      </c>
    </row>
    <row r="477">
      <c r="A477" t="inlineStr">
        <is>
          <t>SW-DAMPER-125-BLADE</t>
        </is>
      </c>
      <c r="B477" t="inlineStr">
        <is>
          <t>SW-DAMPER-125</t>
        </is>
      </c>
      <c r="C477" t="inlineStr">
        <is>
          <t>Lá cánh van (1 cánh overlap)</t>
        </is>
      </c>
      <c r="D477" t="inlineStr">
        <is>
          <t>TÔN_CUỘN_MẠ_KẼM</t>
        </is>
      </c>
      <c r="E477" t="inlineStr">
        <is>
          <t>MAT-STEEL-PN-0.75</t>
        </is>
      </c>
      <c r="F477" t="inlineStr">
        <is>
          <t>kg</t>
        </is>
      </c>
      <c r="G477" s="4" t="n">
        <v>0.16214175</v>
      </c>
      <c r="H477" s="2">
        <f>XLOOKUP(B477, '00_TONG_HOP_BAO_GIA'!B:B, '00_TONG_HOP_BAO_GIA'!G:G, 1)</f>
        <v/>
      </c>
      <c r="I477" s="5">
        <f>G477*H477</f>
        <v/>
      </c>
      <c r="J477" s="2">
        <f>XLOOKUP(E477, '06_BANG_GIA_VAT_TU_AP_DUNG'!B:B, '06_BANG_GIA_VAT_TU_AP_DUNG'!C:C, "LỖI_MÃ_VT")</f>
        <v/>
      </c>
      <c r="K477" s="2">
        <f>I477*J477</f>
        <v/>
      </c>
      <c r="L477" t="inlineStr">
        <is>
          <t>1 cánh cao 170mm</t>
        </is>
      </c>
    </row>
    <row r="478">
      <c r="A478" t="inlineStr">
        <is>
          <t>SW-DAMPER-125-AXLE</t>
        </is>
      </c>
      <c r="B478" t="inlineStr">
        <is>
          <t>SW-DAMPER-125</t>
        </is>
      </c>
      <c r="C478" t="inlineStr">
        <is>
          <t>Trục Sus 201 D10</t>
        </is>
      </c>
      <c r="D478" t="inlineStr">
        <is>
          <t>PHỤ_KIỆN_VAN</t>
        </is>
      </c>
      <c r="E478" t="inlineStr">
        <is>
          <t>MAT-DAMPER-TRUC-SUS-201-D10</t>
        </is>
      </c>
      <c r="F478" t="inlineStr">
        <is>
          <t>m</t>
        </is>
      </c>
      <c r="G478" s="4" t="n">
        <v>0.21</v>
      </c>
      <c r="H478" s="2">
        <f>XLOOKUP(B478, '00_TONG_HOP_BAO_GIA'!B:B, '00_TONG_HOP_BAO_GIA'!G:G, 1)</f>
        <v/>
      </c>
      <c r="I478" s="5">
        <f>G478*H478</f>
        <v/>
      </c>
      <c r="J478" s="2">
        <f>XLOOKUP(E478, '06_BANG_GIA_VAT_TU_AP_DUNG'!B:B, '06_BANG_GIA_VAT_TU_AP_DUNG'!C:C, "LỖI_MÃ_VT")</f>
        <v/>
      </c>
      <c r="K478" s="2">
        <f>I478*J478</f>
        <v/>
      </c>
      <c r="L478" t="inlineStr">
        <is>
          <t>1 trục dài 210mm</t>
        </is>
      </c>
    </row>
    <row r="479">
      <c r="A479" t="inlineStr">
        <is>
          <t>SW-DAMPER-125-BEARING</t>
        </is>
      </c>
      <c r="B479" t="inlineStr">
        <is>
          <t>SW-DAMPER-125</t>
        </is>
      </c>
      <c r="C479" t="inlineStr">
        <is>
          <t>Bạc đồng D10</t>
        </is>
      </c>
      <c r="D479" t="inlineStr">
        <is>
          <t>PHỤ_KIỆN_VAN</t>
        </is>
      </c>
      <c r="E479" t="inlineStr">
        <is>
          <t>MAT-DAMPER-BAC-DONG-D10</t>
        </is>
      </c>
      <c r="F479" t="inlineStr">
        <is>
          <t>Đôi</t>
        </is>
      </c>
      <c r="G479" s="4" t="n">
        <v>1</v>
      </c>
      <c r="H479" s="2">
        <f>XLOOKUP(B479, '00_TONG_HOP_BAO_GIA'!B:B, '00_TONG_HOP_BAO_GIA'!G:G, 1)</f>
        <v/>
      </c>
      <c r="I479" s="5">
        <f>G479*H479</f>
        <v/>
      </c>
      <c r="J479" s="2">
        <f>XLOOKUP(E479, '06_BANG_GIA_VAT_TU_AP_DUNG'!B:B, '06_BANG_GIA_VAT_TU_AP_DUNG'!C:C, "LỖI_MÃ_VT")</f>
        <v/>
      </c>
      <c r="K479" s="2">
        <f>I479*J479</f>
        <v/>
      </c>
      <c r="L479" t="inlineStr">
        <is>
          <t>1 đôi bạc đỡ 2 bên thân</t>
        </is>
      </c>
    </row>
    <row r="480">
      <c r="A480" t="inlineStr">
        <is>
          <t>SW-DAMPER-125-FUSE</t>
        </is>
      </c>
      <c r="B480" t="inlineStr">
        <is>
          <t>SW-DAMPER-125</t>
        </is>
      </c>
      <c r="C480" t="inlineStr">
        <is>
          <t>Cầu chì nhiệt nóng chảy 70°C (Elsie/USA)</t>
        </is>
      </c>
      <c r="D480" t="inlineStr">
        <is>
          <t>PHỤ_KIỆN_VAN</t>
        </is>
      </c>
      <c r="E480" t="inlineStr">
        <is>
          <t>MAT-DAMPER-CAU-CHI-USA-1-400X400</t>
        </is>
      </c>
      <c r="F480" t="inlineStr">
        <is>
          <t>Cái</t>
        </is>
      </c>
      <c r="G480" s="4" t="n">
        <v>1</v>
      </c>
      <c r="H480" s="2">
        <f>XLOOKUP(B480, '00_TONG_HOP_BAO_GIA'!B:B, '00_TONG_HOP_BAO_GIA'!G:G, 1)</f>
        <v/>
      </c>
      <c r="I480" s="5">
        <f>G480*H480</f>
        <v/>
      </c>
      <c r="J480" s="2">
        <f>XLOOKUP(E480, '06_BANG_GIA_VAT_TU_AP_DUNG'!B:B, '06_BANG_GIA_VAT_TU_AP_DUNG'!C:C, "LỖI_MÃ_VT")</f>
        <v/>
      </c>
      <c r="K480" s="2">
        <f>I480*J480</f>
        <v/>
      </c>
      <c r="L480" t="inlineStr">
        <is>
          <t>Cầu chì kiểm định PCCC</t>
        </is>
      </c>
    </row>
    <row r="481">
      <c r="A481" t="inlineStr">
        <is>
          <t>SW-DAMPER-126-BODY</t>
        </is>
      </c>
      <c r="B481" t="inlineStr">
        <is>
          <t>SW-DAMPER-126</t>
        </is>
      </c>
      <c r="C481" t="inlineStr">
        <is>
          <t>Thân vỏ van FD bích TDF (0.75mm)</t>
        </is>
      </c>
      <c r="D481" t="inlineStr">
        <is>
          <t>TÔN_CUỘN_MẠ_KẼM</t>
        </is>
      </c>
      <c r="E481" t="inlineStr">
        <is>
          <t>MAT-STEEL-PN-0.75</t>
        </is>
      </c>
      <c r="F481" t="inlineStr">
        <is>
          <t>kg</t>
        </is>
      </c>
      <c r="G481" s="4" t="n">
        <v>1.463868</v>
      </c>
      <c r="H481" s="2">
        <f>XLOOKUP(B481, '00_TONG_HOP_BAO_GIA'!B:B, '00_TONG_HOP_BAO_GIA'!G:G, 1)</f>
        <v/>
      </c>
      <c r="I481" s="5">
        <f>G481*H481</f>
        <v/>
      </c>
      <c r="J481" s="2">
        <f>XLOOKUP(E481, '06_BANG_GIA_VAT_TU_AP_DUNG'!B:B, '06_BANG_GIA_VAT_TU_AP_DUNG'!C:C, "LỖI_MÃ_VT")</f>
        <v/>
      </c>
      <c r="K481" s="2">
        <f>I481*J481</f>
        <v/>
      </c>
      <c r="L481" t="inlineStr">
        <is>
          <t>Kích thước vỏ 200.0x150.0x250mm</t>
        </is>
      </c>
    </row>
    <row r="482">
      <c r="A482" t="inlineStr">
        <is>
          <t>SW-DAMPER-126-BLADE</t>
        </is>
      </c>
      <c r="B482" t="inlineStr">
        <is>
          <t>SW-DAMPER-126</t>
        </is>
      </c>
      <c r="C482" t="inlineStr">
        <is>
          <t>Lá cánh van (1 cánh overlap)</t>
        </is>
      </c>
      <c r="D482" t="inlineStr">
        <is>
          <t>TÔN_CUỘN_MẠ_KẼM</t>
        </is>
      </c>
      <c r="E482" t="inlineStr">
        <is>
          <t>MAT-STEEL-PN-0.75</t>
        </is>
      </c>
      <c r="F482" t="inlineStr">
        <is>
          <t>kg</t>
        </is>
      </c>
      <c r="G482" s="4" t="n">
        <v>0.216189</v>
      </c>
      <c r="H482" s="2">
        <f>XLOOKUP(B482, '00_TONG_HOP_BAO_GIA'!B:B, '00_TONG_HOP_BAO_GIA'!G:G, 1)</f>
        <v/>
      </c>
      <c r="I482" s="5">
        <f>G482*H482</f>
        <v/>
      </c>
      <c r="J482" s="2">
        <f>XLOOKUP(E482, '06_BANG_GIA_VAT_TU_AP_DUNG'!B:B, '06_BANG_GIA_VAT_TU_AP_DUNG'!C:C, "LỖI_MÃ_VT")</f>
        <v/>
      </c>
      <c r="K482" s="2">
        <f>I482*J482</f>
        <v/>
      </c>
      <c r="L482" t="inlineStr">
        <is>
          <t>1 cánh cao 170mm</t>
        </is>
      </c>
    </row>
    <row r="483">
      <c r="A483" t="inlineStr">
        <is>
          <t>SW-DAMPER-126-AXLE</t>
        </is>
      </c>
      <c r="B483" t="inlineStr">
        <is>
          <t>SW-DAMPER-126</t>
        </is>
      </c>
      <c r="C483" t="inlineStr">
        <is>
          <t>Trục Sus 201 D10</t>
        </is>
      </c>
      <c r="D483" t="inlineStr">
        <is>
          <t>PHỤ_KIỆN_VAN</t>
        </is>
      </c>
      <c r="E483" t="inlineStr">
        <is>
          <t>MAT-DAMPER-TRUC-SUS-201-D10</t>
        </is>
      </c>
      <c r="F483" t="inlineStr">
        <is>
          <t>m</t>
        </is>
      </c>
      <c r="G483" s="4" t="n">
        <v>0.26</v>
      </c>
      <c r="H483" s="2">
        <f>XLOOKUP(B483, '00_TONG_HOP_BAO_GIA'!B:B, '00_TONG_HOP_BAO_GIA'!G:G, 1)</f>
        <v/>
      </c>
      <c r="I483" s="5">
        <f>G483*H483</f>
        <v/>
      </c>
      <c r="J483" s="2">
        <f>XLOOKUP(E483, '06_BANG_GIA_VAT_TU_AP_DUNG'!B:B, '06_BANG_GIA_VAT_TU_AP_DUNG'!C:C, "LỖI_MÃ_VT")</f>
        <v/>
      </c>
      <c r="K483" s="2">
        <f>I483*J483</f>
        <v/>
      </c>
      <c r="L483" t="inlineStr">
        <is>
          <t>1 trục dài 260mm</t>
        </is>
      </c>
    </row>
    <row r="484">
      <c r="A484" t="inlineStr">
        <is>
          <t>SW-DAMPER-126-BEARING</t>
        </is>
      </c>
      <c r="B484" t="inlineStr">
        <is>
          <t>SW-DAMPER-126</t>
        </is>
      </c>
      <c r="C484" t="inlineStr">
        <is>
          <t>Bạc đồng D10</t>
        </is>
      </c>
      <c r="D484" t="inlineStr">
        <is>
          <t>PHỤ_KIỆN_VAN</t>
        </is>
      </c>
      <c r="E484" t="inlineStr">
        <is>
          <t>MAT-DAMPER-BAC-DONG-D10</t>
        </is>
      </c>
      <c r="F484" t="inlineStr">
        <is>
          <t>Đôi</t>
        </is>
      </c>
      <c r="G484" s="4" t="n">
        <v>1</v>
      </c>
      <c r="H484" s="2">
        <f>XLOOKUP(B484, '00_TONG_HOP_BAO_GIA'!B:B, '00_TONG_HOP_BAO_GIA'!G:G, 1)</f>
        <v/>
      </c>
      <c r="I484" s="5">
        <f>G484*H484</f>
        <v/>
      </c>
      <c r="J484" s="2">
        <f>XLOOKUP(E484, '06_BANG_GIA_VAT_TU_AP_DUNG'!B:B, '06_BANG_GIA_VAT_TU_AP_DUNG'!C:C, "LỖI_MÃ_VT")</f>
        <v/>
      </c>
      <c r="K484" s="2">
        <f>I484*J484</f>
        <v/>
      </c>
      <c r="L484" t="inlineStr">
        <is>
          <t>1 đôi bạc đỡ 2 bên thân</t>
        </is>
      </c>
    </row>
    <row r="485">
      <c r="A485" t="inlineStr">
        <is>
          <t>SW-DAMPER-126-FUSE</t>
        </is>
      </c>
      <c r="B485" t="inlineStr">
        <is>
          <t>SW-DAMPER-126</t>
        </is>
      </c>
      <c r="C485" t="inlineStr">
        <is>
          <t>Cầu chì nhiệt nóng chảy 70°C (Elsie/USA)</t>
        </is>
      </c>
      <c r="D485" t="inlineStr">
        <is>
          <t>PHỤ_KIỆN_VAN</t>
        </is>
      </c>
      <c r="E485" t="inlineStr">
        <is>
          <t>MAT-DAMPER-CAU-CHI-USA-1-400X400</t>
        </is>
      </c>
      <c r="F485" t="inlineStr">
        <is>
          <t>Cái</t>
        </is>
      </c>
      <c r="G485" s="4" t="n">
        <v>1</v>
      </c>
      <c r="H485" s="2">
        <f>XLOOKUP(B485, '00_TONG_HOP_BAO_GIA'!B:B, '00_TONG_HOP_BAO_GIA'!G:G, 1)</f>
        <v/>
      </c>
      <c r="I485" s="5">
        <f>G485*H485</f>
        <v/>
      </c>
      <c r="J485" s="2">
        <f>XLOOKUP(E485, '06_BANG_GIA_VAT_TU_AP_DUNG'!B:B, '06_BANG_GIA_VAT_TU_AP_DUNG'!C:C, "LỖI_MÃ_VT")</f>
        <v/>
      </c>
      <c r="K485" s="2">
        <f>I485*J485</f>
        <v/>
      </c>
      <c r="L485" t="inlineStr">
        <is>
          <t>Cầu chì kiểm định PCCC</t>
        </is>
      </c>
    </row>
    <row r="486">
      <c r="A486" t="inlineStr">
        <is>
          <t>SW-DAMPER-127-BODY</t>
        </is>
      </c>
      <c r="B486" t="inlineStr">
        <is>
          <t>SW-DAMPER-127</t>
        </is>
      </c>
      <c r="C486" t="inlineStr">
        <is>
          <t>Thân vỏ van FD bích TDF (0.75mm)</t>
        </is>
      </c>
      <c r="D486" t="inlineStr">
        <is>
          <t>TÔN_CUỘN_MẠ_KẼM</t>
        </is>
      </c>
      <c r="E486" t="inlineStr">
        <is>
          <t>MAT-STEEL-PN-0.75</t>
        </is>
      </c>
      <c r="F486" t="inlineStr">
        <is>
          <t>kg</t>
        </is>
      </c>
      <c r="G486" s="4" t="n">
        <v>1.463868</v>
      </c>
      <c r="H486" s="2">
        <f>XLOOKUP(B486, '00_TONG_HOP_BAO_GIA'!B:B, '00_TONG_HOP_BAO_GIA'!G:G, 1)</f>
        <v/>
      </c>
      <c r="I486" s="5">
        <f>G486*H486</f>
        <v/>
      </c>
      <c r="J486" s="2">
        <f>XLOOKUP(E486, '06_BANG_GIA_VAT_TU_AP_DUNG'!B:B, '06_BANG_GIA_VAT_TU_AP_DUNG'!C:C, "LỖI_MÃ_VT")</f>
        <v/>
      </c>
      <c r="K486" s="2">
        <f>I486*J486</f>
        <v/>
      </c>
      <c r="L486" t="inlineStr">
        <is>
          <t>Kích thước vỏ 200.0x150.0x250mm</t>
        </is>
      </c>
    </row>
    <row r="487">
      <c r="A487" t="inlineStr">
        <is>
          <t>SW-DAMPER-127-BLADE</t>
        </is>
      </c>
      <c r="B487" t="inlineStr">
        <is>
          <t>SW-DAMPER-127</t>
        </is>
      </c>
      <c r="C487" t="inlineStr">
        <is>
          <t>Lá cánh van (1 cánh overlap)</t>
        </is>
      </c>
      <c r="D487" t="inlineStr">
        <is>
          <t>TÔN_CUỘN_MẠ_KẼM</t>
        </is>
      </c>
      <c r="E487" t="inlineStr">
        <is>
          <t>MAT-STEEL-PN-0.75</t>
        </is>
      </c>
      <c r="F487" t="inlineStr">
        <is>
          <t>kg</t>
        </is>
      </c>
      <c r="G487" s="4" t="n">
        <v>0.216189</v>
      </c>
      <c r="H487" s="2">
        <f>XLOOKUP(B487, '00_TONG_HOP_BAO_GIA'!B:B, '00_TONG_HOP_BAO_GIA'!G:G, 1)</f>
        <v/>
      </c>
      <c r="I487" s="5">
        <f>G487*H487</f>
        <v/>
      </c>
      <c r="J487" s="2">
        <f>XLOOKUP(E487, '06_BANG_GIA_VAT_TU_AP_DUNG'!B:B, '06_BANG_GIA_VAT_TU_AP_DUNG'!C:C, "LỖI_MÃ_VT")</f>
        <v/>
      </c>
      <c r="K487" s="2">
        <f>I487*J487</f>
        <v/>
      </c>
      <c r="L487" t="inlineStr">
        <is>
          <t>1 cánh cao 170mm</t>
        </is>
      </c>
    </row>
    <row r="488">
      <c r="A488" t="inlineStr">
        <is>
          <t>SW-DAMPER-127-AXLE</t>
        </is>
      </c>
      <c r="B488" t="inlineStr">
        <is>
          <t>SW-DAMPER-127</t>
        </is>
      </c>
      <c r="C488" t="inlineStr">
        <is>
          <t>Trục Sus 201 D10</t>
        </is>
      </c>
      <c r="D488" t="inlineStr">
        <is>
          <t>PHỤ_KIỆN_VAN</t>
        </is>
      </c>
      <c r="E488" t="inlineStr">
        <is>
          <t>MAT-DAMPER-TRUC-SUS-201-D10</t>
        </is>
      </c>
      <c r="F488" t="inlineStr">
        <is>
          <t>m</t>
        </is>
      </c>
      <c r="G488" s="4" t="n">
        <v>0.26</v>
      </c>
      <c r="H488" s="2">
        <f>XLOOKUP(B488, '00_TONG_HOP_BAO_GIA'!B:B, '00_TONG_HOP_BAO_GIA'!G:G, 1)</f>
        <v/>
      </c>
      <c r="I488" s="5">
        <f>G488*H488</f>
        <v/>
      </c>
      <c r="J488" s="2">
        <f>XLOOKUP(E488, '06_BANG_GIA_VAT_TU_AP_DUNG'!B:B, '06_BANG_GIA_VAT_TU_AP_DUNG'!C:C, "LỖI_MÃ_VT")</f>
        <v/>
      </c>
      <c r="K488" s="2">
        <f>I488*J488</f>
        <v/>
      </c>
      <c r="L488" t="inlineStr">
        <is>
          <t>1 trục dài 260mm</t>
        </is>
      </c>
    </row>
    <row r="489">
      <c r="A489" t="inlineStr">
        <is>
          <t>SW-DAMPER-127-BEARING</t>
        </is>
      </c>
      <c r="B489" t="inlineStr">
        <is>
          <t>SW-DAMPER-127</t>
        </is>
      </c>
      <c r="C489" t="inlineStr">
        <is>
          <t>Bạc đồng D10</t>
        </is>
      </c>
      <c r="D489" t="inlineStr">
        <is>
          <t>PHỤ_KIỆN_VAN</t>
        </is>
      </c>
      <c r="E489" t="inlineStr">
        <is>
          <t>MAT-DAMPER-BAC-DONG-D10</t>
        </is>
      </c>
      <c r="F489" t="inlineStr">
        <is>
          <t>Đôi</t>
        </is>
      </c>
      <c r="G489" s="4" t="n">
        <v>1</v>
      </c>
      <c r="H489" s="2">
        <f>XLOOKUP(B489, '00_TONG_HOP_BAO_GIA'!B:B, '00_TONG_HOP_BAO_GIA'!G:G, 1)</f>
        <v/>
      </c>
      <c r="I489" s="5">
        <f>G489*H489</f>
        <v/>
      </c>
      <c r="J489" s="2">
        <f>XLOOKUP(E489, '06_BANG_GIA_VAT_TU_AP_DUNG'!B:B, '06_BANG_GIA_VAT_TU_AP_DUNG'!C:C, "LỖI_MÃ_VT")</f>
        <v/>
      </c>
      <c r="K489" s="2">
        <f>I489*J489</f>
        <v/>
      </c>
      <c r="L489" t="inlineStr">
        <is>
          <t>1 đôi bạc đỡ 2 bên thân</t>
        </is>
      </c>
    </row>
    <row r="490">
      <c r="A490" t="inlineStr">
        <is>
          <t>SW-DAMPER-127-FUSE</t>
        </is>
      </c>
      <c r="B490" t="inlineStr">
        <is>
          <t>SW-DAMPER-127</t>
        </is>
      </c>
      <c r="C490" t="inlineStr">
        <is>
          <t>Cầu chì nhiệt nóng chảy 70°C (Elsie/USA)</t>
        </is>
      </c>
      <c r="D490" t="inlineStr">
        <is>
          <t>PHỤ_KIỆN_VAN</t>
        </is>
      </c>
      <c r="E490" t="inlineStr">
        <is>
          <t>MAT-DAMPER-CAU-CHI-USA-1-400X400</t>
        </is>
      </c>
      <c r="F490" t="inlineStr">
        <is>
          <t>Cái</t>
        </is>
      </c>
      <c r="G490" s="4" t="n">
        <v>1</v>
      </c>
      <c r="H490" s="2">
        <f>XLOOKUP(B490, '00_TONG_HOP_BAO_GIA'!B:B, '00_TONG_HOP_BAO_GIA'!G:G, 1)</f>
        <v/>
      </c>
      <c r="I490" s="5">
        <f>G490*H490</f>
        <v/>
      </c>
      <c r="J490" s="2">
        <f>XLOOKUP(E490, '06_BANG_GIA_VAT_TU_AP_DUNG'!B:B, '06_BANG_GIA_VAT_TU_AP_DUNG'!C:C, "LỖI_MÃ_VT")</f>
        <v/>
      </c>
      <c r="K490" s="2">
        <f>I490*J490</f>
        <v/>
      </c>
      <c r="L490" t="inlineStr">
        <is>
          <t>Cầu chì kiểm định PCCC</t>
        </is>
      </c>
    </row>
    <row r="491">
      <c r="A491" t="inlineStr">
        <is>
          <t>SW-DAMPER-128-BODY</t>
        </is>
      </c>
      <c r="B491" t="inlineStr">
        <is>
          <t>SW-DAMPER-128</t>
        </is>
      </c>
      <c r="C491" t="inlineStr">
        <is>
          <t>Thân vỏ van FD bích TDF (0.75mm)</t>
        </is>
      </c>
      <c r="D491" t="inlineStr">
        <is>
          <t>TÔN_CUỘN_MẠ_KẼM</t>
        </is>
      </c>
      <c r="E491" t="inlineStr">
        <is>
          <t>MAT-STEEL-PN-0.75</t>
        </is>
      </c>
      <c r="F491" t="inlineStr">
        <is>
          <t>kg</t>
        </is>
      </c>
      <c r="G491" s="4" t="n">
        <v>1.661688</v>
      </c>
      <c r="H491" s="2">
        <f>XLOOKUP(B491, '00_TONG_HOP_BAO_GIA'!B:B, '00_TONG_HOP_BAO_GIA'!G:G, 1)</f>
        <v/>
      </c>
      <c r="I491" s="5">
        <f>G491*H491</f>
        <v/>
      </c>
      <c r="J491" s="2">
        <f>XLOOKUP(E491, '06_BANG_GIA_VAT_TU_AP_DUNG'!B:B, '06_BANG_GIA_VAT_TU_AP_DUNG'!C:C, "LỖI_MÃ_VT")</f>
        <v/>
      </c>
      <c r="K491" s="2">
        <f>I491*J491</f>
        <v/>
      </c>
      <c r="L491" t="inlineStr">
        <is>
          <t>Kích thước vỏ 200.0x200.0x250mm</t>
        </is>
      </c>
    </row>
    <row r="492">
      <c r="A492" t="inlineStr">
        <is>
          <t>SW-DAMPER-128-BLADE</t>
        </is>
      </c>
      <c r="B492" t="inlineStr">
        <is>
          <t>SW-DAMPER-128</t>
        </is>
      </c>
      <c r="C492" t="inlineStr">
        <is>
          <t>Lá cánh van (2 cánh overlap)</t>
        </is>
      </c>
      <c r="D492" t="inlineStr">
        <is>
          <t>TÔN_CUỘN_MẠ_KẼM</t>
        </is>
      </c>
      <c r="E492" t="inlineStr">
        <is>
          <t>MAT-STEEL-PN-0.75</t>
        </is>
      </c>
      <c r="F492" t="inlineStr">
        <is>
          <t>kg</t>
        </is>
      </c>
      <c r="G492" s="4" t="n">
        <v>0.305208</v>
      </c>
      <c r="H492" s="2">
        <f>XLOOKUP(B492, '00_TONG_HOP_BAO_GIA'!B:B, '00_TONG_HOP_BAO_GIA'!G:G, 1)</f>
        <v/>
      </c>
      <c r="I492" s="5">
        <f>G492*H492</f>
        <v/>
      </c>
      <c r="J492" s="2">
        <f>XLOOKUP(E492, '06_BANG_GIA_VAT_TU_AP_DUNG'!B:B, '06_BANG_GIA_VAT_TU_AP_DUNG'!C:C, "LỖI_MÃ_VT")</f>
        <v/>
      </c>
      <c r="K492" s="2">
        <f>I492*J492</f>
        <v/>
      </c>
      <c r="L492" t="inlineStr">
        <is>
          <t>2 cánh cao 120mm</t>
        </is>
      </c>
    </row>
    <row r="493">
      <c r="A493" t="inlineStr">
        <is>
          <t>SW-DAMPER-128-AXLE</t>
        </is>
      </c>
      <c r="B493" t="inlineStr">
        <is>
          <t>SW-DAMPER-128</t>
        </is>
      </c>
      <c r="C493" t="inlineStr">
        <is>
          <t>Trục Sus 201 D10</t>
        </is>
      </c>
      <c r="D493" t="inlineStr">
        <is>
          <t>PHỤ_KIỆN_VAN</t>
        </is>
      </c>
      <c r="E493" t="inlineStr">
        <is>
          <t>MAT-DAMPER-TRUC-SUS-201-D10</t>
        </is>
      </c>
      <c r="F493" t="inlineStr">
        <is>
          <t>m</t>
        </is>
      </c>
      <c r="G493" s="4" t="n">
        <v>0.52</v>
      </c>
      <c r="H493" s="2">
        <f>XLOOKUP(B493, '00_TONG_HOP_BAO_GIA'!B:B, '00_TONG_HOP_BAO_GIA'!G:G, 1)</f>
        <v/>
      </c>
      <c r="I493" s="5">
        <f>G493*H493</f>
        <v/>
      </c>
      <c r="J493" s="2">
        <f>XLOOKUP(E493, '06_BANG_GIA_VAT_TU_AP_DUNG'!B:B, '06_BANG_GIA_VAT_TU_AP_DUNG'!C:C, "LỖI_MÃ_VT")</f>
        <v/>
      </c>
      <c r="K493" s="2">
        <f>I493*J493</f>
        <v/>
      </c>
      <c r="L493" t="inlineStr">
        <is>
          <t>2 trục dài 260mm</t>
        </is>
      </c>
    </row>
    <row r="494">
      <c r="A494" t="inlineStr">
        <is>
          <t>SW-DAMPER-128-BEARING</t>
        </is>
      </c>
      <c r="B494" t="inlineStr">
        <is>
          <t>SW-DAMPER-128</t>
        </is>
      </c>
      <c r="C494" t="inlineStr">
        <is>
          <t>Bạc đồng D10</t>
        </is>
      </c>
      <c r="D494" t="inlineStr">
        <is>
          <t>PHỤ_KIỆN_VAN</t>
        </is>
      </c>
      <c r="E494" t="inlineStr">
        <is>
          <t>MAT-DAMPER-BAC-DONG-D10</t>
        </is>
      </c>
      <c r="F494" t="inlineStr">
        <is>
          <t>Đôi</t>
        </is>
      </c>
      <c r="G494" s="4" t="n">
        <v>2</v>
      </c>
      <c r="H494" s="2">
        <f>XLOOKUP(B494, '00_TONG_HOP_BAO_GIA'!B:B, '00_TONG_HOP_BAO_GIA'!G:G, 1)</f>
        <v/>
      </c>
      <c r="I494" s="5">
        <f>G494*H494</f>
        <v/>
      </c>
      <c r="J494" s="2">
        <f>XLOOKUP(E494, '06_BANG_GIA_VAT_TU_AP_DUNG'!B:B, '06_BANG_GIA_VAT_TU_AP_DUNG'!C:C, "LỖI_MÃ_VT")</f>
        <v/>
      </c>
      <c r="K494" s="2">
        <f>I494*J494</f>
        <v/>
      </c>
      <c r="L494" t="inlineStr">
        <is>
          <t>2 đôi bạc đỡ 2 bên thân</t>
        </is>
      </c>
    </row>
    <row r="495">
      <c r="A495" t="inlineStr">
        <is>
          <t>SW-DAMPER-128-GEAR</t>
        </is>
      </c>
      <c r="B495" t="inlineStr">
        <is>
          <t>SW-DAMPER-128</t>
        </is>
      </c>
      <c r="C495" t="inlineStr">
        <is>
          <t>Bánh răng van nhôm</t>
        </is>
      </c>
      <c r="D495" t="inlineStr">
        <is>
          <t>PHỤ_KIỆN_VAN</t>
        </is>
      </c>
      <c r="E495" t="inlineStr">
        <is>
          <t>MAT-DAMPER-BANH-RANG-VAN-NHOM</t>
        </is>
      </c>
      <c r="F495" t="inlineStr">
        <is>
          <t>Bộ</t>
        </is>
      </c>
      <c r="G495" s="4" t="n">
        <v>1</v>
      </c>
      <c r="H495" s="2">
        <f>XLOOKUP(B495, '00_TONG_HOP_BAO_GIA'!B:B, '00_TONG_HOP_BAO_GIA'!G:G, 1)</f>
        <v/>
      </c>
      <c r="I495" s="5">
        <f>G495*H495</f>
        <v/>
      </c>
      <c r="J495" s="2">
        <f>XLOOKUP(E495, '06_BANG_GIA_VAT_TU_AP_DUNG'!B:B, '06_BANG_GIA_VAT_TU_AP_DUNG'!C:C, "LỖI_MÃ_VT")</f>
        <v/>
      </c>
      <c r="K495" s="2">
        <f>I495*J495</f>
        <v/>
      </c>
      <c r="L495" t="inlineStr">
        <is>
          <t>Cơ cấu liên động bánh răng van</t>
        </is>
      </c>
    </row>
    <row r="496">
      <c r="A496" t="inlineStr">
        <is>
          <t>SW-DAMPER-128-FUSE</t>
        </is>
      </c>
      <c r="B496" t="inlineStr">
        <is>
          <t>SW-DAMPER-128</t>
        </is>
      </c>
      <c r="C496" t="inlineStr">
        <is>
          <t>Cầu chì nhiệt nóng chảy 70°C (Elsie/USA)</t>
        </is>
      </c>
      <c r="D496" t="inlineStr">
        <is>
          <t>PHỤ_KIỆN_VAN</t>
        </is>
      </c>
      <c r="E496" t="inlineStr">
        <is>
          <t>MAT-DAMPER-CAU-CHI-USA-1-400X400</t>
        </is>
      </c>
      <c r="F496" t="inlineStr">
        <is>
          <t>Cái</t>
        </is>
      </c>
      <c r="G496" s="4" t="n">
        <v>1</v>
      </c>
      <c r="H496" s="2">
        <f>XLOOKUP(B496, '00_TONG_HOP_BAO_GIA'!B:B, '00_TONG_HOP_BAO_GIA'!G:G, 1)</f>
        <v/>
      </c>
      <c r="I496" s="5">
        <f>G496*H496</f>
        <v/>
      </c>
      <c r="J496" s="2">
        <f>XLOOKUP(E496, '06_BANG_GIA_VAT_TU_AP_DUNG'!B:B, '06_BANG_GIA_VAT_TU_AP_DUNG'!C:C, "LỖI_MÃ_VT")</f>
        <v/>
      </c>
      <c r="K496" s="2">
        <f>I496*J496</f>
        <v/>
      </c>
      <c r="L496" t="inlineStr">
        <is>
          <t>Cầu chì kiểm định PCCC</t>
        </is>
      </c>
    </row>
    <row r="497">
      <c r="A497" t="inlineStr">
        <is>
          <t>SW-DAMPER-129-BODY</t>
        </is>
      </c>
      <c r="B497" t="inlineStr">
        <is>
          <t>SW-DAMPER-129</t>
        </is>
      </c>
      <c r="C497" t="inlineStr">
        <is>
          <t>Thân vỏ van FD bích TDF (0.75mm)</t>
        </is>
      </c>
      <c r="D497" t="inlineStr">
        <is>
          <t>TÔN_CUỘN_MẠ_KẼM</t>
        </is>
      </c>
      <c r="E497" t="inlineStr">
        <is>
          <t>MAT-STEEL-PN-0.75</t>
        </is>
      </c>
      <c r="F497" t="inlineStr">
        <is>
          <t>kg</t>
        </is>
      </c>
      <c r="G497" s="4" t="n">
        <v>1.661688</v>
      </c>
      <c r="H497" s="2">
        <f>XLOOKUP(B497, '00_TONG_HOP_BAO_GIA'!B:B, '00_TONG_HOP_BAO_GIA'!G:G, 1)</f>
        <v/>
      </c>
      <c r="I497" s="5">
        <f>G497*H497</f>
        <v/>
      </c>
      <c r="J497" s="2">
        <f>XLOOKUP(E497, '06_BANG_GIA_VAT_TU_AP_DUNG'!B:B, '06_BANG_GIA_VAT_TU_AP_DUNG'!C:C, "LỖI_MÃ_VT")</f>
        <v/>
      </c>
      <c r="K497" s="2">
        <f>I497*J497</f>
        <v/>
      </c>
      <c r="L497" t="inlineStr">
        <is>
          <t>Kích thước vỏ 250.0x150.0x250mm</t>
        </is>
      </c>
    </row>
    <row r="498">
      <c r="A498" t="inlineStr">
        <is>
          <t>SW-DAMPER-129-BLADE</t>
        </is>
      </c>
      <c r="B498" t="inlineStr">
        <is>
          <t>SW-DAMPER-129</t>
        </is>
      </c>
      <c r="C498" t="inlineStr">
        <is>
          <t>Lá cánh van (1 cánh overlap)</t>
        </is>
      </c>
      <c r="D498" t="inlineStr">
        <is>
          <t>TÔN_CUỘN_MẠ_KẼM</t>
        </is>
      </c>
      <c r="E498" t="inlineStr">
        <is>
          <t>MAT-STEEL-PN-0.75</t>
        </is>
      </c>
      <c r="F498" t="inlineStr">
        <is>
          <t>kg</t>
        </is>
      </c>
      <c r="G498" s="4" t="n">
        <v>0.27023625</v>
      </c>
      <c r="H498" s="2">
        <f>XLOOKUP(B498, '00_TONG_HOP_BAO_GIA'!B:B, '00_TONG_HOP_BAO_GIA'!G:G, 1)</f>
        <v/>
      </c>
      <c r="I498" s="5">
        <f>G498*H498</f>
        <v/>
      </c>
      <c r="J498" s="2">
        <f>XLOOKUP(E498, '06_BANG_GIA_VAT_TU_AP_DUNG'!B:B, '06_BANG_GIA_VAT_TU_AP_DUNG'!C:C, "LỖI_MÃ_VT")</f>
        <v/>
      </c>
      <c r="K498" s="2">
        <f>I498*J498</f>
        <v/>
      </c>
      <c r="L498" t="inlineStr">
        <is>
          <t>1 cánh cao 170mm</t>
        </is>
      </c>
    </row>
    <row r="499">
      <c r="A499" t="inlineStr">
        <is>
          <t>SW-DAMPER-129-AXLE</t>
        </is>
      </c>
      <c r="B499" t="inlineStr">
        <is>
          <t>SW-DAMPER-129</t>
        </is>
      </c>
      <c r="C499" t="inlineStr">
        <is>
          <t>Trục Sus 201 D10</t>
        </is>
      </c>
      <c r="D499" t="inlineStr">
        <is>
          <t>PHỤ_KIỆN_VAN</t>
        </is>
      </c>
      <c r="E499" t="inlineStr">
        <is>
          <t>MAT-DAMPER-TRUC-SUS-201-D10</t>
        </is>
      </c>
      <c r="F499" t="inlineStr">
        <is>
          <t>m</t>
        </is>
      </c>
      <c r="G499" s="4" t="n">
        <v>0.31</v>
      </c>
      <c r="H499" s="2">
        <f>XLOOKUP(B499, '00_TONG_HOP_BAO_GIA'!B:B, '00_TONG_HOP_BAO_GIA'!G:G, 1)</f>
        <v/>
      </c>
      <c r="I499" s="5">
        <f>G499*H499</f>
        <v/>
      </c>
      <c r="J499" s="2">
        <f>XLOOKUP(E499, '06_BANG_GIA_VAT_TU_AP_DUNG'!B:B, '06_BANG_GIA_VAT_TU_AP_DUNG'!C:C, "LỖI_MÃ_VT")</f>
        <v/>
      </c>
      <c r="K499" s="2">
        <f>I499*J499</f>
        <v/>
      </c>
      <c r="L499" t="inlineStr">
        <is>
          <t>1 trục dài 310mm</t>
        </is>
      </c>
    </row>
    <row r="500">
      <c r="A500" t="inlineStr">
        <is>
          <t>SW-DAMPER-129-BEARING</t>
        </is>
      </c>
      <c r="B500" t="inlineStr">
        <is>
          <t>SW-DAMPER-129</t>
        </is>
      </c>
      <c r="C500" t="inlineStr">
        <is>
          <t>Bạc đồng D10</t>
        </is>
      </c>
      <c r="D500" t="inlineStr">
        <is>
          <t>PHỤ_KIỆN_VAN</t>
        </is>
      </c>
      <c r="E500" t="inlineStr">
        <is>
          <t>MAT-DAMPER-BAC-DONG-D10</t>
        </is>
      </c>
      <c r="F500" t="inlineStr">
        <is>
          <t>Đôi</t>
        </is>
      </c>
      <c r="G500" s="4" t="n">
        <v>1</v>
      </c>
      <c r="H500" s="2">
        <f>XLOOKUP(B500, '00_TONG_HOP_BAO_GIA'!B:B, '00_TONG_HOP_BAO_GIA'!G:G, 1)</f>
        <v/>
      </c>
      <c r="I500" s="5">
        <f>G500*H500</f>
        <v/>
      </c>
      <c r="J500" s="2">
        <f>XLOOKUP(E500, '06_BANG_GIA_VAT_TU_AP_DUNG'!B:B, '06_BANG_GIA_VAT_TU_AP_DUNG'!C:C, "LỖI_MÃ_VT")</f>
        <v/>
      </c>
      <c r="K500" s="2">
        <f>I500*J500</f>
        <v/>
      </c>
      <c r="L500" t="inlineStr">
        <is>
          <t>1 đôi bạc đỡ 2 bên thân</t>
        </is>
      </c>
    </row>
    <row r="501">
      <c r="A501" t="inlineStr">
        <is>
          <t>SW-DAMPER-129-FUSE</t>
        </is>
      </c>
      <c r="B501" t="inlineStr">
        <is>
          <t>SW-DAMPER-129</t>
        </is>
      </c>
      <c r="C501" t="inlineStr">
        <is>
          <t>Cầu chì nhiệt nóng chảy 70°C (Elsie/USA)</t>
        </is>
      </c>
      <c r="D501" t="inlineStr">
        <is>
          <t>PHỤ_KIỆN_VAN</t>
        </is>
      </c>
      <c r="E501" t="inlineStr">
        <is>
          <t>MAT-DAMPER-CAU-CHI-USA-1-400X400</t>
        </is>
      </c>
      <c r="F501" t="inlineStr">
        <is>
          <t>Cái</t>
        </is>
      </c>
      <c r="G501" s="4" t="n">
        <v>1</v>
      </c>
      <c r="H501" s="2">
        <f>XLOOKUP(B501, '00_TONG_HOP_BAO_GIA'!B:B, '00_TONG_HOP_BAO_GIA'!G:G, 1)</f>
        <v/>
      </c>
      <c r="I501" s="5">
        <f>G501*H501</f>
        <v/>
      </c>
      <c r="J501" s="2">
        <f>XLOOKUP(E501, '06_BANG_GIA_VAT_TU_AP_DUNG'!B:B, '06_BANG_GIA_VAT_TU_AP_DUNG'!C:C, "LỖI_MÃ_VT")</f>
        <v/>
      </c>
      <c r="K501" s="2">
        <f>I501*J501</f>
        <v/>
      </c>
      <c r="L501" t="inlineStr">
        <is>
          <t>Cầu chì kiểm định PCCC</t>
        </is>
      </c>
    </row>
    <row r="502">
      <c r="A502" t="inlineStr">
        <is>
          <t>SW-DAMPER-130-BODY</t>
        </is>
      </c>
      <c r="B502" t="inlineStr">
        <is>
          <t>SW-DAMPER-130</t>
        </is>
      </c>
      <c r="C502" t="inlineStr">
        <is>
          <t>Thân vỏ van FD bích TDF (0.75mm)</t>
        </is>
      </c>
      <c r="D502" t="inlineStr">
        <is>
          <t>TÔN_CUỘN_MẠ_KẼM</t>
        </is>
      </c>
      <c r="E502" t="inlineStr">
        <is>
          <t>MAT-STEEL-PN-0.75</t>
        </is>
      </c>
      <c r="F502" t="inlineStr">
        <is>
          <t>kg</t>
        </is>
      </c>
      <c r="G502" s="4" t="n">
        <v>2.057328</v>
      </c>
      <c r="H502" s="2">
        <f>XLOOKUP(B502, '00_TONG_HOP_BAO_GIA'!B:B, '00_TONG_HOP_BAO_GIA'!G:G, 1)</f>
        <v/>
      </c>
      <c r="I502" s="5">
        <f>G502*H502</f>
        <v/>
      </c>
      <c r="J502" s="2">
        <f>XLOOKUP(E502, '06_BANG_GIA_VAT_TU_AP_DUNG'!B:B, '06_BANG_GIA_VAT_TU_AP_DUNG'!C:C, "LỖI_MÃ_VT")</f>
        <v/>
      </c>
      <c r="K502" s="2">
        <f>I502*J502</f>
        <v/>
      </c>
      <c r="L502" t="inlineStr">
        <is>
          <t>Kích thước vỏ 300.0x200.0x250mm</t>
        </is>
      </c>
    </row>
    <row r="503">
      <c r="A503" t="inlineStr">
        <is>
          <t>SW-DAMPER-130-BLADE</t>
        </is>
      </c>
      <c r="B503" t="inlineStr">
        <is>
          <t>SW-DAMPER-130</t>
        </is>
      </c>
      <c r="C503" t="inlineStr">
        <is>
          <t>Lá cánh van (2 cánh overlap)</t>
        </is>
      </c>
      <c r="D503" t="inlineStr">
        <is>
          <t>TÔN_CUỘN_MẠ_KẼM</t>
        </is>
      </c>
      <c r="E503" t="inlineStr">
        <is>
          <t>MAT-STEEL-PN-0.75</t>
        </is>
      </c>
      <c r="F503" t="inlineStr">
        <is>
          <t>kg</t>
        </is>
      </c>
      <c r="G503" s="4" t="n">
        <v>0.4578119999999999</v>
      </c>
      <c r="H503" s="2">
        <f>XLOOKUP(B503, '00_TONG_HOP_BAO_GIA'!B:B, '00_TONG_HOP_BAO_GIA'!G:G, 1)</f>
        <v/>
      </c>
      <c r="I503" s="5">
        <f>G503*H503</f>
        <v/>
      </c>
      <c r="J503" s="2">
        <f>XLOOKUP(E503, '06_BANG_GIA_VAT_TU_AP_DUNG'!B:B, '06_BANG_GIA_VAT_TU_AP_DUNG'!C:C, "LỖI_MÃ_VT")</f>
        <v/>
      </c>
      <c r="K503" s="2">
        <f>I503*J503</f>
        <v/>
      </c>
      <c r="L503" t="inlineStr">
        <is>
          <t>2 cánh cao 120mm</t>
        </is>
      </c>
    </row>
    <row r="504">
      <c r="A504" t="inlineStr">
        <is>
          <t>SW-DAMPER-130-AXLE</t>
        </is>
      </c>
      <c r="B504" t="inlineStr">
        <is>
          <t>SW-DAMPER-130</t>
        </is>
      </c>
      <c r="C504" t="inlineStr">
        <is>
          <t>Trục Sus 201 D10</t>
        </is>
      </c>
      <c r="D504" t="inlineStr">
        <is>
          <t>PHỤ_KIỆN_VAN</t>
        </is>
      </c>
      <c r="E504" t="inlineStr">
        <is>
          <t>MAT-DAMPER-TRUC-SUS-201-D10</t>
        </is>
      </c>
      <c r="F504" t="inlineStr">
        <is>
          <t>m</t>
        </is>
      </c>
      <c r="G504" s="4" t="n">
        <v>0.72</v>
      </c>
      <c r="H504" s="2">
        <f>XLOOKUP(B504, '00_TONG_HOP_BAO_GIA'!B:B, '00_TONG_HOP_BAO_GIA'!G:G, 1)</f>
        <v/>
      </c>
      <c r="I504" s="5">
        <f>G504*H504</f>
        <v/>
      </c>
      <c r="J504" s="2">
        <f>XLOOKUP(E504, '06_BANG_GIA_VAT_TU_AP_DUNG'!B:B, '06_BANG_GIA_VAT_TU_AP_DUNG'!C:C, "LỖI_MÃ_VT")</f>
        <v/>
      </c>
      <c r="K504" s="2">
        <f>I504*J504</f>
        <v/>
      </c>
      <c r="L504" t="inlineStr">
        <is>
          <t>2 trục dài 360mm</t>
        </is>
      </c>
    </row>
    <row r="505">
      <c r="A505" t="inlineStr">
        <is>
          <t>SW-DAMPER-130-BEARING</t>
        </is>
      </c>
      <c r="B505" t="inlineStr">
        <is>
          <t>SW-DAMPER-130</t>
        </is>
      </c>
      <c r="C505" t="inlineStr">
        <is>
          <t>Bạc đồng D10</t>
        </is>
      </c>
      <c r="D505" t="inlineStr">
        <is>
          <t>PHỤ_KIỆN_VAN</t>
        </is>
      </c>
      <c r="E505" t="inlineStr">
        <is>
          <t>MAT-DAMPER-BAC-DONG-D10</t>
        </is>
      </c>
      <c r="F505" t="inlineStr">
        <is>
          <t>Đôi</t>
        </is>
      </c>
      <c r="G505" s="4" t="n">
        <v>2</v>
      </c>
      <c r="H505" s="2">
        <f>XLOOKUP(B505, '00_TONG_HOP_BAO_GIA'!B:B, '00_TONG_HOP_BAO_GIA'!G:G, 1)</f>
        <v/>
      </c>
      <c r="I505" s="5">
        <f>G505*H505</f>
        <v/>
      </c>
      <c r="J505" s="2">
        <f>XLOOKUP(E505, '06_BANG_GIA_VAT_TU_AP_DUNG'!B:B, '06_BANG_GIA_VAT_TU_AP_DUNG'!C:C, "LỖI_MÃ_VT")</f>
        <v/>
      </c>
      <c r="K505" s="2">
        <f>I505*J505</f>
        <v/>
      </c>
      <c r="L505" t="inlineStr">
        <is>
          <t>2 đôi bạc đỡ 2 bên thân</t>
        </is>
      </c>
    </row>
    <row r="506">
      <c r="A506" t="inlineStr">
        <is>
          <t>SW-DAMPER-130-GEAR</t>
        </is>
      </c>
      <c r="B506" t="inlineStr">
        <is>
          <t>SW-DAMPER-130</t>
        </is>
      </c>
      <c r="C506" t="inlineStr">
        <is>
          <t>Bánh răng van nhôm</t>
        </is>
      </c>
      <c r="D506" t="inlineStr">
        <is>
          <t>PHỤ_KIỆN_VAN</t>
        </is>
      </c>
      <c r="E506" t="inlineStr">
        <is>
          <t>MAT-DAMPER-BANH-RANG-VAN-NHOM</t>
        </is>
      </c>
      <c r="F506" t="inlineStr">
        <is>
          <t>Bộ</t>
        </is>
      </c>
      <c r="G506" s="4" t="n">
        <v>1</v>
      </c>
      <c r="H506" s="2">
        <f>XLOOKUP(B506, '00_TONG_HOP_BAO_GIA'!B:B, '00_TONG_HOP_BAO_GIA'!G:G, 1)</f>
        <v/>
      </c>
      <c r="I506" s="5">
        <f>G506*H506</f>
        <v/>
      </c>
      <c r="J506" s="2">
        <f>XLOOKUP(E506, '06_BANG_GIA_VAT_TU_AP_DUNG'!B:B, '06_BANG_GIA_VAT_TU_AP_DUNG'!C:C, "LỖI_MÃ_VT")</f>
        <v/>
      </c>
      <c r="K506" s="2">
        <f>I506*J506</f>
        <v/>
      </c>
      <c r="L506" t="inlineStr">
        <is>
          <t>Cơ cấu liên động bánh răng van</t>
        </is>
      </c>
    </row>
    <row r="507">
      <c r="A507" t="inlineStr">
        <is>
          <t>SW-DAMPER-130-FUSE</t>
        </is>
      </c>
      <c r="B507" t="inlineStr">
        <is>
          <t>SW-DAMPER-130</t>
        </is>
      </c>
      <c r="C507" t="inlineStr">
        <is>
          <t>Cầu chì nhiệt nóng chảy 70°C (Elsie/USA)</t>
        </is>
      </c>
      <c r="D507" t="inlineStr">
        <is>
          <t>PHỤ_KIỆN_VAN</t>
        </is>
      </c>
      <c r="E507" t="inlineStr">
        <is>
          <t>MAT-DAMPER-CAU-CHI-USA-1-400X400</t>
        </is>
      </c>
      <c r="F507" t="inlineStr">
        <is>
          <t>Cái</t>
        </is>
      </c>
      <c r="G507" s="4" t="n">
        <v>1</v>
      </c>
      <c r="H507" s="2">
        <f>XLOOKUP(B507, '00_TONG_HOP_BAO_GIA'!B:B, '00_TONG_HOP_BAO_GIA'!G:G, 1)</f>
        <v/>
      </c>
      <c r="I507" s="5">
        <f>G507*H507</f>
        <v/>
      </c>
      <c r="J507" s="2">
        <f>XLOOKUP(E507, '06_BANG_GIA_VAT_TU_AP_DUNG'!B:B, '06_BANG_GIA_VAT_TU_AP_DUNG'!C:C, "LỖI_MÃ_VT")</f>
        <v/>
      </c>
      <c r="K507" s="2">
        <f>I507*J507</f>
        <v/>
      </c>
      <c r="L507" t="inlineStr">
        <is>
          <t>Cầu chì kiểm định PCCC</t>
        </is>
      </c>
    </row>
    <row r="508">
      <c r="A508" t="inlineStr">
        <is>
          <t>SW-DAMPER-131-BODY</t>
        </is>
      </c>
      <c r="B508" t="inlineStr">
        <is>
          <t>SW-DAMPER-131</t>
        </is>
      </c>
      <c r="C508" t="inlineStr">
        <is>
          <t>Thân vỏ van FD bích TDF (0.75mm)</t>
        </is>
      </c>
      <c r="D508" t="inlineStr">
        <is>
          <t>TÔN_CUỘN_MẠ_KẼM</t>
        </is>
      </c>
      <c r="E508" t="inlineStr">
        <is>
          <t>MAT-STEEL-PN-0.75</t>
        </is>
      </c>
      <c r="F508" t="inlineStr">
        <is>
          <t>kg</t>
        </is>
      </c>
      <c r="G508" s="4" t="n">
        <v>2.255148</v>
      </c>
      <c r="H508" s="2">
        <f>XLOOKUP(B508, '00_TONG_HOP_BAO_GIA'!B:B, '00_TONG_HOP_BAO_GIA'!G:G, 1)</f>
        <v/>
      </c>
      <c r="I508" s="5">
        <f>G508*H508</f>
        <v/>
      </c>
      <c r="J508" s="2">
        <f>XLOOKUP(E508, '06_BANG_GIA_VAT_TU_AP_DUNG'!B:B, '06_BANG_GIA_VAT_TU_AP_DUNG'!C:C, "LỖI_MÃ_VT")</f>
        <v/>
      </c>
      <c r="K508" s="2">
        <f>I508*J508</f>
        <v/>
      </c>
      <c r="L508" t="inlineStr">
        <is>
          <t>Kích thước vỏ 300.0x250.0x250mm</t>
        </is>
      </c>
    </row>
    <row r="509">
      <c r="A509" t="inlineStr">
        <is>
          <t>SW-DAMPER-131-BLADE</t>
        </is>
      </c>
      <c r="B509" t="inlineStr">
        <is>
          <t>SW-DAMPER-131</t>
        </is>
      </c>
      <c r="C509" t="inlineStr">
        <is>
          <t>Lá cánh van (2 cánh overlap)</t>
        </is>
      </c>
      <c r="D509" t="inlineStr">
        <is>
          <t>TÔN_CUỘN_MẠ_KẼM</t>
        </is>
      </c>
      <c r="E509" t="inlineStr">
        <is>
          <t>MAT-STEEL-PN-0.75</t>
        </is>
      </c>
      <c r="F509" t="inlineStr">
        <is>
          <t>kg</t>
        </is>
      </c>
      <c r="G509" s="4" t="n">
        <v>0.5531894999999999</v>
      </c>
      <c r="H509" s="2">
        <f>XLOOKUP(B509, '00_TONG_HOP_BAO_GIA'!B:B, '00_TONG_HOP_BAO_GIA'!G:G, 1)</f>
        <v/>
      </c>
      <c r="I509" s="5">
        <f>G509*H509</f>
        <v/>
      </c>
      <c r="J509" s="2">
        <f>XLOOKUP(E509, '06_BANG_GIA_VAT_TU_AP_DUNG'!B:B, '06_BANG_GIA_VAT_TU_AP_DUNG'!C:C, "LỖI_MÃ_VT")</f>
        <v/>
      </c>
      <c r="K509" s="2">
        <f>I509*J509</f>
        <v/>
      </c>
      <c r="L509" t="inlineStr">
        <is>
          <t>2 cánh cao 145mm</t>
        </is>
      </c>
    </row>
    <row r="510">
      <c r="A510" t="inlineStr">
        <is>
          <t>SW-DAMPER-131-AXLE</t>
        </is>
      </c>
      <c r="B510" t="inlineStr">
        <is>
          <t>SW-DAMPER-131</t>
        </is>
      </c>
      <c r="C510" t="inlineStr">
        <is>
          <t>Trục Sus 201 D10</t>
        </is>
      </c>
      <c r="D510" t="inlineStr">
        <is>
          <t>PHỤ_KIỆN_VAN</t>
        </is>
      </c>
      <c r="E510" t="inlineStr">
        <is>
          <t>MAT-DAMPER-TRUC-SUS-201-D10</t>
        </is>
      </c>
      <c r="F510" t="inlineStr">
        <is>
          <t>m</t>
        </is>
      </c>
      <c r="G510" s="4" t="n">
        <v>0.72</v>
      </c>
      <c r="H510" s="2">
        <f>XLOOKUP(B510, '00_TONG_HOP_BAO_GIA'!B:B, '00_TONG_HOP_BAO_GIA'!G:G, 1)</f>
        <v/>
      </c>
      <c r="I510" s="5">
        <f>G510*H510</f>
        <v/>
      </c>
      <c r="J510" s="2">
        <f>XLOOKUP(E510, '06_BANG_GIA_VAT_TU_AP_DUNG'!B:B, '06_BANG_GIA_VAT_TU_AP_DUNG'!C:C, "LỖI_MÃ_VT")</f>
        <v/>
      </c>
      <c r="K510" s="2">
        <f>I510*J510</f>
        <v/>
      </c>
      <c r="L510" t="inlineStr">
        <is>
          <t>2 trục dài 360mm</t>
        </is>
      </c>
    </row>
    <row r="511">
      <c r="A511" t="inlineStr">
        <is>
          <t>SW-DAMPER-131-BEARING</t>
        </is>
      </c>
      <c r="B511" t="inlineStr">
        <is>
          <t>SW-DAMPER-131</t>
        </is>
      </c>
      <c r="C511" t="inlineStr">
        <is>
          <t>Bạc đồng D10</t>
        </is>
      </c>
      <c r="D511" t="inlineStr">
        <is>
          <t>PHỤ_KIỆN_VAN</t>
        </is>
      </c>
      <c r="E511" t="inlineStr">
        <is>
          <t>MAT-DAMPER-BAC-DONG-D10</t>
        </is>
      </c>
      <c r="F511" t="inlineStr">
        <is>
          <t>Đôi</t>
        </is>
      </c>
      <c r="G511" s="4" t="n">
        <v>2</v>
      </c>
      <c r="H511" s="2">
        <f>XLOOKUP(B511, '00_TONG_HOP_BAO_GIA'!B:B, '00_TONG_HOP_BAO_GIA'!G:G, 1)</f>
        <v/>
      </c>
      <c r="I511" s="5">
        <f>G511*H511</f>
        <v/>
      </c>
      <c r="J511" s="2">
        <f>XLOOKUP(E511, '06_BANG_GIA_VAT_TU_AP_DUNG'!B:B, '06_BANG_GIA_VAT_TU_AP_DUNG'!C:C, "LỖI_MÃ_VT")</f>
        <v/>
      </c>
      <c r="K511" s="2">
        <f>I511*J511</f>
        <v/>
      </c>
      <c r="L511" t="inlineStr">
        <is>
          <t>2 đôi bạc đỡ 2 bên thân</t>
        </is>
      </c>
    </row>
    <row r="512">
      <c r="A512" t="inlineStr">
        <is>
          <t>SW-DAMPER-131-GEAR</t>
        </is>
      </c>
      <c r="B512" t="inlineStr">
        <is>
          <t>SW-DAMPER-131</t>
        </is>
      </c>
      <c r="C512" t="inlineStr">
        <is>
          <t>Bánh răng van nhôm</t>
        </is>
      </c>
      <c r="D512" t="inlineStr">
        <is>
          <t>PHỤ_KIỆN_VAN</t>
        </is>
      </c>
      <c r="E512" t="inlineStr">
        <is>
          <t>MAT-DAMPER-BANH-RANG-VAN-NHOM</t>
        </is>
      </c>
      <c r="F512" t="inlineStr">
        <is>
          <t>Bộ</t>
        </is>
      </c>
      <c r="G512" s="4" t="n">
        <v>1</v>
      </c>
      <c r="H512" s="2">
        <f>XLOOKUP(B512, '00_TONG_HOP_BAO_GIA'!B:B, '00_TONG_HOP_BAO_GIA'!G:G, 1)</f>
        <v/>
      </c>
      <c r="I512" s="5">
        <f>G512*H512</f>
        <v/>
      </c>
      <c r="J512" s="2">
        <f>XLOOKUP(E512, '06_BANG_GIA_VAT_TU_AP_DUNG'!B:B, '06_BANG_GIA_VAT_TU_AP_DUNG'!C:C, "LỖI_MÃ_VT")</f>
        <v/>
      </c>
      <c r="K512" s="2">
        <f>I512*J512</f>
        <v/>
      </c>
      <c r="L512" t="inlineStr">
        <is>
          <t>Cơ cấu liên động bánh răng van</t>
        </is>
      </c>
    </row>
    <row r="513">
      <c r="A513" t="inlineStr">
        <is>
          <t>SW-DAMPER-131-FUSE</t>
        </is>
      </c>
      <c r="B513" t="inlineStr">
        <is>
          <t>SW-DAMPER-131</t>
        </is>
      </c>
      <c r="C513" t="inlineStr">
        <is>
          <t>Cầu chì nhiệt nóng chảy 70°C (Elsie/USA)</t>
        </is>
      </c>
      <c r="D513" t="inlineStr">
        <is>
          <t>PHỤ_KIỆN_VAN</t>
        </is>
      </c>
      <c r="E513" t="inlineStr">
        <is>
          <t>MAT-DAMPER-CAU-CHI-USA-1-400X400</t>
        </is>
      </c>
      <c r="F513" t="inlineStr">
        <is>
          <t>Cái</t>
        </is>
      </c>
      <c r="G513" s="4" t="n">
        <v>1</v>
      </c>
      <c r="H513" s="2">
        <f>XLOOKUP(B513, '00_TONG_HOP_BAO_GIA'!B:B, '00_TONG_HOP_BAO_GIA'!G:G, 1)</f>
        <v/>
      </c>
      <c r="I513" s="5">
        <f>G513*H513</f>
        <v/>
      </c>
      <c r="J513" s="2">
        <f>XLOOKUP(E513, '06_BANG_GIA_VAT_TU_AP_DUNG'!B:B, '06_BANG_GIA_VAT_TU_AP_DUNG'!C:C, "LỖI_MÃ_VT")</f>
        <v/>
      </c>
      <c r="K513" s="2">
        <f>I513*J513</f>
        <v/>
      </c>
      <c r="L513" t="inlineStr">
        <is>
          <t>Cầu chì kiểm định PCCC</t>
        </is>
      </c>
    </row>
    <row r="514">
      <c r="A514" t="inlineStr">
        <is>
          <t>SW-DAMPER-132-BODY</t>
        </is>
      </c>
      <c r="B514" t="inlineStr">
        <is>
          <t>SW-DAMPER-132</t>
        </is>
      </c>
      <c r="C514" t="inlineStr">
        <is>
          <t>Thân vỏ van FD bích TDF (0.75mm)</t>
        </is>
      </c>
      <c r="D514" t="inlineStr">
        <is>
          <t>TÔN_CUỘN_MẠ_KẼM</t>
        </is>
      </c>
      <c r="E514" t="inlineStr">
        <is>
          <t>MAT-STEEL-PN-0.75</t>
        </is>
      </c>
      <c r="F514" t="inlineStr">
        <is>
          <t>kg</t>
        </is>
      </c>
      <c r="G514" s="4" t="n">
        <v>2.057328</v>
      </c>
      <c r="H514" s="2">
        <f>XLOOKUP(B514, '00_TONG_HOP_BAO_GIA'!B:B, '00_TONG_HOP_BAO_GIA'!G:G, 1)</f>
        <v/>
      </c>
      <c r="I514" s="5">
        <f>G514*H514</f>
        <v/>
      </c>
      <c r="J514" s="2">
        <f>XLOOKUP(E514, '06_BANG_GIA_VAT_TU_AP_DUNG'!B:B, '06_BANG_GIA_VAT_TU_AP_DUNG'!C:C, "LỖI_MÃ_VT")</f>
        <v/>
      </c>
      <c r="K514" s="2">
        <f>I514*J514</f>
        <v/>
      </c>
      <c r="L514" t="inlineStr">
        <is>
          <t>Kích thước vỏ 350.0x150.0x250mm</t>
        </is>
      </c>
    </row>
    <row r="515">
      <c r="A515" t="inlineStr">
        <is>
          <t>SW-DAMPER-132-BLADE</t>
        </is>
      </c>
      <c r="B515" t="inlineStr">
        <is>
          <t>SW-DAMPER-132</t>
        </is>
      </c>
      <c r="C515" t="inlineStr">
        <is>
          <t>Lá cánh van (1 cánh overlap)</t>
        </is>
      </c>
      <c r="D515" t="inlineStr">
        <is>
          <t>TÔN_CUỘN_MẠ_KẼM</t>
        </is>
      </c>
      <c r="E515" t="inlineStr">
        <is>
          <t>MAT-STEEL-PN-0.75</t>
        </is>
      </c>
      <c r="F515" t="inlineStr">
        <is>
          <t>kg</t>
        </is>
      </c>
      <c r="G515" s="4" t="n">
        <v>0.3783307499999999</v>
      </c>
      <c r="H515" s="2">
        <f>XLOOKUP(B515, '00_TONG_HOP_BAO_GIA'!B:B, '00_TONG_HOP_BAO_GIA'!G:G, 1)</f>
        <v/>
      </c>
      <c r="I515" s="5">
        <f>G515*H515</f>
        <v/>
      </c>
      <c r="J515" s="2">
        <f>XLOOKUP(E515, '06_BANG_GIA_VAT_TU_AP_DUNG'!B:B, '06_BANG_GIA_VAT_TU_AP_DUNG'!C:C, "LỖI_MÃ_VT")</f>
        <v/>
      </c>
      <c r="K515" s="2">
        <f>I515*J515</f>
        <v/>
      </c>
      <c r="L515" t="inlineStr">
        <is>
          <t>1 cánh cao 170mm</t>
        </is>
      </c>
    </row>
    <row r="516">
      <c r="A516" t="inlineStr">
        <is>
          <t>SW-DAMPER-132-AXLE</t>
        </is>
      </c>
      <c r="B516" t="inlineStr">
        <is>
          <t>SW-DAMPER-132</t>
        </is>
      </c>
      <c r="C516" t="inlineStr">
        <is>
          <t>Trục Sus 201 D10</t>
        </is>
      </c>
      <c r="D516" t="inlineStr">
        <is>
          <t>PHỤ_KIỆN_VAN</t>
        </is>
      </c>
      <c r="E516" t="inlineStr">
        <is>
          <t>MAT-DAMPER-TRUC-SUS-201-D10</t>
        </is>
      </c>
      <c r="F516" t="inlineStr">
        <is>
          <t>m</t>
        </is>
      </c>
      <c r="G516" s="4" t="n">
        <v>0.41</v>
      </c>
      <c r="H516" s="2">
        <f>XLOOKUP(B516, '00_TONG_HOP_BAO_GIA'!B:B, '00_TONG_HOP_BAO_GIA'!G:G, 1)</f>
        <v/>
      </c>
      <c r="I516" s="5">
        <f>G516*H516</f>
        <v/>
      </c>
      <c r="J516" s="2">
        <f>XLOOKUP(E516, '06_BANG_GIA_VAT_TU_AP_DUNG'!B:B, '06_BANG_GIA_VAT_TU_AP_DUNG'!C:C, "LỖI_MÃ_VT")</f>
        <v/>
      </c>
      <c r="K516" s="2">
        <f>I516*J516</f>
        <v/>
      </c>
      <c r="L516" t="inlineStr">
        <is>
          <t>1 trục dài 410mm</t>
        </is>
      </c>
    </row>
    <row r="517">
      <c r="A517" t="inlineStr">
        <is>
          <t>SW-DAMPER-132-BEARING</t>
        </is>
      </c>
      <c r="B517" t="inlineStr">
        <is>
          <t>SW-DAMPER-132</t>
        </is>
      </c>
      <c r="C517" t="inlineStr">
        <is>
          <t>Bạc đồng D10</t>
        </is>
      </c>
      <c r="D517" t="inlineStr">
        <is>
          <t>PHỤ_KIỆN_VAN</t>
        </is>
      </c>
      <c r="E517" t="inlineStr">
        <is>
          <t>MAT-DAMPER-BAC-DONG-D10</t>
        </is>
      </c>
      <c r="F517" t="inlineStr">
        <is>
          <t>Đôi</t>
        </is>
      </c>
      <c r="G517" s="4" t="n">
        <v>1</v>
      </c>
      <c r="H517" s="2">
        <f>XLOOKUP(B517, '00_TONG_HOP_BAO_GIA'!B:B, '00_TONG_HOP_BAO_GIA'!G:G, 1)</f>
        <v/>
      </c>
      <c r="I517" s="5">
        <f>G517*H517</f>
        <v/>
      </c>
      <c r="J517" s="2">
        <f>XLOOKUP(E517, '06_BANG_GIA_VAT_TU_AP_DUNG'!B:B, '06_BANG_GIA_VAT_TU_AP_DUNG'!C:C, "LỖI_MÃ_VT")</f>
        <v/>
      </c>
      <c r="K517" s="2">
        <f>I517*J517</f>
        <v/>
      </c>
      <c r="L517" t="inlineStr">
        <is>
          <t>1 đôi bạc đỡ 2 bên thân</t>
        </is>
      </c>
    </row>
    <row r="518">
      <c r="A518" t="inlineStr">
        <is>
          <t>SW-DAMPER-132-FUSE</t>
        </is>
      </c>
      <c r="B518" t="inlineStr">
        <is>
          <t>SW-DAMPER-132</t>
        </is>
      </c>
      <c r="C518" t="inlineStr">
        <is>
          <t>Cầu chì nhiệt nóng chảy 70°C (Elsie/USA)</t>
        </is>
      </c>
      <c r="D518" t="inlineStr">
        <is>
          <t>PHỤ_KIỆN_VAN</t>
        </is>
      </c>
      <c r="E518" t="inlineStr">
        <is>
          <t>MAT-DAMPER-CAU-CHI-USA-1-400X400</t>
        </is>
      </c>
      <c r="F518" t="inlineStr">
        <is>
          <t>Cái</t>
        </is>
      </c>
      <c r="G518" s="4" t="n">
        <v>1</v>
      </c>
      <c r="H518" s="2">
        <f>XLOOKUP(B518, '00_TONG_HOP_BAO_GIA'!B:B, '00_TONG_HOP_BAO_GIA'!G:G, 1)</f>
        <v/>
      </c>
      <c r="I518" s="5">
        <f>G518*H518</f>
        <v/>
      </c>
      <c r="J518" s="2">
        <f>XLOOKUP(E518, '06_BANG_GIA_VAT_TU_AP_DUNG'!B:B, '06_BANG_GIA_VAT_TU_AP_DUNG'!C:C, "LỖI_MÃ_VT")</f>
        <v/>
      </c>
      <c r="K518" s="2">
        <f>I518*J518</f>
        <v/>
      </c>
      <c r="L518" t="inlineStr">
        <is>
          <t>Cầu chì kiểm định PCCC</t>
        </is>
      </c>
    </row>
    <row r="519">
      <c r="A519" t="inlineStr">
        <is>
          <t>SW-DAMPER-133-BODY</t>
        </is>
      </c>
      <c r="B519" t="inlineStr">
        <is>
          <t>SW-DAMPER-133</t>
        </is>
      </c>
      <c r="C519" t="inlineStr">
        <is>
          <t>Thân vỏ van FD bích TDF (0.75mm)</t>
        </is>
      </c>
      <c r="D519" t="inlineStr">
        <is>
          <t>TÔN_CUỘN_MẠ_KẼM</t>
        </is>
      </c>
      <c r="E519" t="inlineStr">
        <is>
          <t>MAT-STEEL-PN-0.75</t>
        </is>
      </c>
      <c r="F519" t="inlineStr">
        <is>
          <t>kg</t>
        </is>
      </c>
      <c r="G519" s="4" t="n">
        <v>2.255148</v>
      </c>
      <c r="H519" s="2">
        <f>XLOOKUP(B519, '00_TONG_HOP_BAO_GIA'!B:B, '00_TONG_HOP_BAO_GIA'!G:G, 1)</f>
        <v/>
      </c>
      <c r="I519" s="5">
        <f>G519*H519</f>
        <v/>
      </c>
      <c r="J519" s="2">
        <f>XLOOKUP(E519, '06_BANG_GIA_VAT_TU_AP_DUNG'!B:B, '06_BANG_GIA_VAT_TU_AP_DUNG'!C:C, "LỖI_MÃ_VT")</f>
        <v/>
      </c>
      <c r="K519" s="2">
        <f>I519*J519</f>
        <v/>
      </c>
      <c r="L519" t="inlineStr">
        <is>
          <t>Kích thước vỏ 350.0x200.0x250mm</t>
        </is>
      </c>
    </row>
    <row r="520">
      <c r="A520" t="inlineStr">
        <is>
          <t>SW-DAMPER-133-BLADE</t>
        </is>
      </c>
      <c r="B520" t="inlineStr">
        <is>
          <t>SW-DAMPER-133</t>
        </is>
      </c>
      <c r="C520" t="inlineStr">
        <is>
          <t>Lá cánh van (2 cánh overlap)</t>
        </is>
      </c>
      <c r="D520" t="inlineStr">
        <is>
          <t>TÔN_CUỘN_MẠ_KẼM</t>
        </is>
      </c>
      <c r="E520" t="inlineStr">
        <is>
          <t>MAT-STEEL-PN-0.75</t>
        </is>
      </c>
      <c r="F520" t="inlineStr">
        <is>
          <t>kg</t>
        </is>
      </c>
      <c r="G520" s="4" t="n">
        <v>0.5341139999999999</v>
      </c>
      <c r="H520" s="2">
        <f>XLOOKUP(B520, '00_TONG_HOP_BAO_GIA'!B:B, '00_TONG_HOP_BAO_GIA'!G:G, 1)</f>
        <v/>
      </c>
      <c r="I520" s="5">
        <f>G520*H520</f>
        <v/>
      </c>
      <c r="J520" s="2">
        <f>XLOOKUP(E520, '06_BANG_GIA_VAT_TU_AP_DUNG'!B:B, '06_BANG_GIA_VAT_TU_AP_DUNG'!C:C, "LỖI_MÃ_VT")</f>
        <v/>
      </c>
      <c r="K520" s="2">
        <f>I520*J520</f>
        <v/>
      </c>
      <c r="L520" t="inlineStr">
        <is>
          <t>2 cánh cao 120mm</t>
        </is>
      </c>
    </row>
    <row r="521">
      <c r="A521" t="inlineStr">
        <is>
          <t>SW-DAMPER-133-AXLE</t>
        </is>
      </c>
      <c r="B521" t="inlineStr">
        <is>
          <t>SW-DAMPER-133</t>
        </is>
      </c>
      <c r="C521" t="inlineStr">
        <is>
          <t>Trục Sus 201 D10</t>
        </is>
      </c>
      <c r="D521" t="inlineStr">
        <is>
          <t>PHỤ_KIỆN_VAN</t>
        </is>
      </c>
      <c r="E521" t="inlineStr">
        <is>
          <t>MAT-DAMPER-TRUC-SUS-201-D10</t>
        </is>
      </c>
      <c r="F521" t="inlineStr">
        <is>
          <t>m</t>
        </is>
      </c>
      <c r="G521" s="4" t="n">
        <v>0.82</v>
      </c>
      <c r="H521" s="2">
        <f>XLOOKUP(B521, '00_TONG_HOP_BAO_GIA'!B:B, '00_TONG_HOP_BAO_GIA'!G:G, 1)</f>
        <v/>
      </c>
      <c r="I521" s="5">
        <f>G521*H521</f>
        <v/>
      </c>
      <c r="J521" s="2">
        <f>XLOOKUP(E521, '06_BANG_GIA_VAT_TU_AP_DUNG'!B:B, '06_BANG_GIA_VAT_TU_AP_DUNG'!C:C, "LỖI_MÃ_VT")</f>
        <v/>
      </c>
      <c r="K521" s="2">
        <f>I521*J521</f>
        <v/>
      </c>
      <c r="L521" t="inlineStr">
        <is>
          <t>2 trục dài 410mm</t>
        </is>
      </c>
    </row>
    <row r="522">
      <c r="A522" t="inlineStr">
        <is>
          <t>SW-DAMPER-133-BEARING</t>
        </is>
      </c>
      <c r="B522" t="inlineStr">
        <is>
          <t>SW-DAMPER-133</t>
        </is>
      </c>
      <c r="C522" t="inlineStr">
        <is>
          <t>Bạc đồng D10</t>
        </is>
      </c>
      <c r="D522" t="inlineStr">
        <is>
          <t>PHỤ_KIỆN_VAN</t>
        </is>
      </c>
      <c r="E522" t="inlineStr">
        <is>
          <t>MAT-DAMPER-BAC-DONG-D10</t>
        </is>
      </c>
      <c r="F522" t="inlineStr">
        <is>
          <t>Đôi</t>
        </is>
      </c>
      <c r="G522" s="4" t="n">
        <v>2</v>
      </c>
      <c r="H522" s="2">
        <f>XLOOKUP(B522, '00_TONG_HOP_BAO_GIA'!B:B, '00_TONG_HOP_BAO_GIA'!G:G, 1)</f>
        <v/>
      </c>
      <c r="I522" s="5">
        <f>G522*H522</f>
        <v/>
      </c>
      <c r="J522" s="2">
        <f>XLOOKUP(E522, '06_BANG_GIA_VAT_TU_AP_DUNG'!B:B, '06_BANG_GIA_VAT_TU_AP_DUNG'!C:C, "LỖI_MÃ_VT")</f>
        <v/>
      </c>
      <c r="K522" s="2">
        <f>I522*J522</f>
        <v/>
      </c>
      <c r="L522" t="inlineStr">
        <is>
          <t>2 đôi bạc đỡ 2 bên thân</t>
        </is>
      </c>
    </row>
    <row r="523">
      <c r="A523" t="inlineStr">
        <is>
          <t>SW-DAMPER-133-GEAR</t>
        </is>
      </c>
      <c r="B523" t="inlineStr">
        <is>
          <t>SW-DAMPER-133</t>
        </is>
      </c>
      <c r="C523" t="inlineStr">
        <is>
          <t>Bánh răng van nhôm</t>
        </is>
      </c>
      <c r="D523" t="inlineStr">
        <is>
          <t>PHỤ_KIỆN_VAN</t>
        </is>
      </c>
      <c r="E523" t="inlineStr">
        <is>
          <t>MAT-DAMPER-BANH-RANG-VAN-NHOM</t>
        </is>
      </c>
      <c r="F523" t="inlineStr">
        <is>
          <t>Bộ</t>
        </is>
      </c>
      <c r="G523" s="4" t="n">
        <v>1</v>
      </c>
      <c r="H523" s="2">
        <f>XLOOKUP(B523, '00_TONG_HOP_BAO_GIA'!B:B, '00_TONG_HOP_BAO_GIA'!G:G, 1)</f>
        <v/>
      </c>
      <c r="I523" s="5">
        <f>G523*H523</f>
        <v/>
      </c>
      <c r="J523" s="2">
        <f>XLOOKUP(E523, '06_BANG_GIA_VAT_TU_AP_DUNG'!B:B, '06_BANG_GIA_VAT_TU_AP_DUNG'!C:C, "LỖI_MÃ_VT")</f>
        <v/>
      </c>
      <c r="K523" s="2">
        <f>I523*J523</f>
        <v/>
      </c>
      <c r="L523" t="inlineStr">
        <is>
          <t>Cơ cấu liên động bánh răng van</t>
        </is>
      </c>
    </row>
    <row r="524">
      <c r="A524" t="inlineStr">
        <is>
          <t>SW-DAMPER-133-FUSE</t>
        </is>
      </c>
      <c r="B524" t="inlineStr">
        <is>
          <t>SW-DAMPER-133</t>
        </is>
      </c>
      <c r="C524" t="inlineStr">
        <is>
          <t>Cầu chì nhiệt nóng chảy 70°C (Elsie/USA)</t>
        </is>
      </c>
      <c r="D524" t="inlineStr">
        <is>
          <t>PHỤ_KIỆN_VAN</t>
        </is>
      </c>
      <c r="E524" t="inlineStr">
        <is>
          <t>MAT-DAMPER-CAU-CHI-USA-1-400X400</t>
        </is>
      </c>
      <c r="F524" t="inlineStr">
        <is>
          <t>Cái</t>
        </is>
      </c>
      <c r="G524" s="4" t="n">
        <v>1</v>
      </c>
      <c r="H524" s="2">
        <f>XLOOKUP(B524, '00_TONG_HOP_BAO_GIA'!B:B, '00_TONG_HOP_BAO_GIA'!G:G, 1)</f>
        <v/>
      </c>
      <c r="I524" s="5">
        <f>G524*H524</f>
        <v/>
      </c>
      <c r="J524" s="2">
        <f>XLOOKUP(E524, '06_BANG_GIA_VAT_TU_AP_DUNG'!B:B, '06_BANG_GIA_VAT_TU_AP_DUNG'!C:C, "LỖI_MÃ_VT")</f>
        <v/>
      </c>
      <c r="K524" s="2">
        <f>I524*J524</f>
        <v/>
      </c>
      <c r="L524" t="inlineStr">
        <is>
          <t>Cầu chì kiểm định PCCC</t>
        </is>
      </c>
    </row>
    <row r="525">
      <c r="A525" t="inlineStr">
        <is>
          <t>SW-DAMPER-134-BODY</t>
        </is>
      </c>
      <c r="B525" t="inlineStr">
        <is>
          <t>SW-DAMPER-134</t>
        </is>
      </c>
      <c r="C525" t="inlineStr">
        <is>
          <t>Thân vỏ van FD bích TDF (0.75mm)</t>
        </is>
      </c>
      <c r="D525" t="inlineStr">
        <is>
          <t>TÔN_CUỘN_MẠ_KẼM</t>
        </is>
      </c>
      <c r="E525" t="inlineStr">
        <is>
          <t>MAT-STEEL-PN-0.75</t>
        </is>
      </c>
      <c r="F525" t="inlineStr">
        <is>
          <t>kg</t>
        </is>
      </c>
      <c r="G525" s="4" t="n">
        <v>2.452968</v>
      </c>
      <c r="H525" s="2">
        <f>XLOOKUP(B525, '00_TONG_HOP_BAO_GIA'!B:B, '00_TONG_HOP_BAO_GIA'!G:G, 1)</f>
        <v/>
      </c>
      <c r="I525" s="5">
        <f>G525*H525</f>
        <v/>
      </c>
      <c r="J525" s="2">
        <f>XLOOKUP(E525, '06_BANG_GIA_VAT_TU_AP_DUNG'!B:B, '06_BANG_GIA_VAT_TU_AP_DUNG'!C:C, "LỖI_MÃ_VT")</f>
        <v/>
      </c>
      <c r="K525" s="2">
        <f>I525*J525</f>
        <v/>
      </c>
      <c r="L525" t="inlineStr">
        <is>
          <t>Kích thước vỏ 350.0x250.0x250mm</t>
        </is>
      </c>
    </row>
    <row r="526">
      <c r="A526" t="inlineStr">
        <is>
          <t>SW-DAMPER-134-BLADE</t>
        </is>
      </c>
      <c r="B526" t="inlineStr">
        <is>
          <t>SW-DAMPER-134</t>
        </is>
      </c>
      <c r="C526" t="inlineStr">
        <is>
          <t>Lá cánh van (2 cánh overlap)</t>
        </is>
      </c>
      <c r="D526" t="inlineStr">
        <is>
          <t>TÔN_CUỘN_MẠ_KẼM</t>
        </is>
      </c>
      <c r="E526" t="inlineStr">
        <is>
          <t>MAT-STEEL-PN-0.75</t>
        </is>
      </c>
      <c r="F526" t="inlineStr">
        <is>
          <t>kg</t>
        </is>
      </c>
      <c r="G526" s="4" t="n">
        <v>0.6453877499999999</v>
      </c>
      <c r="H526" s="2">
        <f>XLOOKUP(B526, '00_TONG_HOP_BAO_GIA'!B:B, '00_TONG_HOP_BAO_GIA'!G:G, 1)</f>
        <v/>
      </c>
      <c r="I526" s="5">
        <f>G526*H526</f>
        <v/>
      </c>
      <c r="J526" s="2">
        <f>XLOOKUP(E526, '06_BANG_GIA_VAT_TU_AP_DUNG'!B:B, '06_BANG_GIA_VAT_TU_AP_DUNG'!C:C, "LỖI_MÃ_VT")</f>
        <v/>
      </c>
      <c r="K526" s="2">
        <f>I526*J526</f>
        <v/>
      </c>
      <c r="L526" t="inlineStr">
        <is>
          <t>2 cánh cao 145mm</t>
        </is>
      </c>
    </row>
    <row r="527">
      <c r="A527" t="inlineStr">
        <is>
          <t>SW-DAMPER-134-AXLE</t>
        </is>
      </c>
      <c r="B527" t="inlineStr">
        <is>
          <t>SW-DAMPER-134</t>
        </is>
      </c>
      <c r="C527" t="inlineStr">
        <is>
          <t>Trục Sus 201 D10</t>
        </is>
      </c>
      <c r="D527" t="inlineStr">
        <is>
          <t>PHỤ_KIỆN_VAN</t>
        </is>
      </c>
      <c r="E527" t="inlineStr">
        <is>
          <t>MAT-DAMPER-TRUC-SUS-201-D10</t>
        </is>
      </c>
      <c r="F527" t="inlineStr">
        <is>
          <t>m</t>
        </is>
      </c>
      <c r="G527" s="4" t="n">
        <v>0.82</v>
      </c>
      <c r="H527" s="2">
        <f>XLOOKUP(B527, '00_TONG_HOP_BAO_GIA'!B:B, '00_TONG_HOP_BAO_GIA'!G:G, 1)</f>
        <v/>
      </c>
      <c r="I527" s="5">
        <f>G527*H527</f>
        <v/>
      </c>
      <c r="J527" s="2">
        <f>XLOOKUP(E527, '06_BANG_GIA_VAT_TU_AP_DUNG'!B:B, '06_BANG_GIA_VAT_TU_AP_DUNG'!C:C, "LỖI_MÃ_VT")</f>
        <v/>
      </c>
      <c r="K527" s="2">
        <f>I527*J527</f>
        <v/>
      </c>
      <c r="L527" t="inlineStr">
        <is>
          <t>2 trục dài 410mm</t>
        </is>
      </c>
    </row>
    <row r="528">
      <c r="A528" t="inlineStr">
        <is>
          <t>SW-DAMPER-134-BEARING</t>
        </is>
      </c>
      <c r="B528" t="inlineStr">
        <is>
          <t>SW-DAMPER-134</t>
        </is>
      </c>
      <c r="C528" t="inlineStr">
        <is>
          <t>Bạc đồng D10</t>
        </is>
      </c>
      <c r="D528" t="inlineStr">
        <is>
          <t>PHỤ_KIỆN_VAN</t>
        </is>
      </c>
      <c r="E528" t="inlineStr">
        <is>
          <t>MAT-DAMPER-BAC-DONG-D10</t>
        </is>
      </c>
      <c r="F528" t="inlineStr">
        <is>
          <t>Đôi</t>
        </is>
      </c>
      <c r="G528" s="4" t="n">
        <v>2</v>
      </c>
      <c r="H528" s="2">
        <f>XLOOKUP(B528, '00_TONG_HOP_BAO_GIA'!B:B, '00_TONG_HOP_BAO_GIA'!G:G, 1)</f>
        <v/>
      </c>
      <c r="I528" s="5">
        <f>G528*H528</f>
        <v/>
      </c>
      <c r="J528" s="2">
        <f>XLOOKUP(E528, '06_BANG_GIA_VAT_TU_AP_DUNG'!B:B, '06_BANG_GIA_VAT_TU_AP_DUNG'!C:C, "LỖI_MÃ_VT")</f>
        <v/>
      </c>
      <c r="K528" s="2">
        <f>I528*J528</f>
        <v/>
      </c>
      <c r="L528" t="inlineStr">
        <is>
          <t>2 đôi bạc đỡ 2 bên thân</t>
        </is>
      </c>
    </row>
    <row r="529">
      <c r="A529" t="inlineStr">
        <is>
          <t>SW-DAMPER-134-GEAR</t>
        </is>
      </c>
      <c r="B529" t="inlineStr">
        <is>
          <t>SW-DAMPER-134</t>
        </is>
      </c>
      <c r="C529" t="inlineStr">
        <is>
          <t>Bánh răng van nhôm</t>
        </is>
      </c>
      <c r="D529" t="inlineStr">
        <is>
          <t>PHỤ_KIỆN_VAN</t>
        </is>
      </c>
      <c r="E529" t="inlineStr">
        <is>
          <t>MAT-DAMPER-BANH-RANG-VAN-NHOM</t>
        </is>
      </c>
      <c r="F529" t="inlineStr">
        <is>
          <t>Bộ</t>
        </is>
      </c>
      <c r="G529" s="4" t="n">
        <v>1</v>
      </c>
      <c r="H529" s="2">
        <f>XLOOKUP(B529, '00_TONG_HOP_BAO_GIA'!B:B, '00_TONG_HOP_BAO_GIA'!G:G, 1)</f>
        <v/>
      </c>
      <c r="I529" s="5">
        <f>G529*H529</f>
        <v/>
      </c>
      <c r="J529" s="2">
        <f>XLOOKUP(E529, '06_BANG_GIA_VAT_TU_AP_DUNG'!B:B, '06_BANG_GIA_VAT_TU_AP_DUNG'!C:C, "LỖI_MÃ_VT")</f>
        <v/>
      </c>
      <c r="K529" s="2">
        <f>I529*J529</f>
        <v/>
      </c>
      <c r="L529" t="inlineStr">
        <is>
          <t>Cơ cấu liên động bánh răng van</t>
        </is>
      </c>
    </row>
    <row r="530">
      <c r="A530" t="inlineStr">
        <is>
          <t>SW-DAMPER-134-FUSE</t>
        </is>
      </c>
      <c r="B530" t="inlineStr">
        <is>
          <t>SW-DAMPER-134</t>
        </is>
      </c>
      <c r="C530" t="inlineStr">
        <is>
          <t>Cầu chì nhiệt nóng chảy 70°C (Elsie/USA)</t>
        </is>
      </c>
      <c r="D530" t="inlineStr">
        <is>
          <t>PHỤ_KIỆN_VAN</t>
        </is>
      </c>
      <c r="E530" t="inlineStr">
        <is>
          <t>MAT-DAMPER-CAU-CHI-USA-1-400X400</t>
        </is>
      </c>
      <c r="F530" t="inlineStr">
        <is>
          <t>Cái</t>
        </is>
      </c>
      <c r="G530" s="4" t="n">
        <v>1</v>
      </c>
      <c r="H530" s="2">
        <f>XLOOKUP(B530, '00_TONG_HOP_BAO_GIA'!B:B, '00_TONG_HOP_BAO_GIA'!G:G, 1)</f>
        <v/>
      </c>
      <c r="I530" s="5">
        <f>G530*H530</f>
        <v/>
      </c>
      <c r="J530" s="2">
        <f>XLOOKUP(E530, '06_BANG_GIA_VAT_TU_AP_DUNG'!B:B, '06_BANG_GIA_VAT_TU_AP_DUNG'!C:C, "LỖI_MÃ_VT")</f>
        <v/>
      </c>
      <c r="K530" s="2">
        <f>I530*J530</f>
        <v/>
      </c>
      <c r="L530" t="inlineStr">
        <is>
          <t>Cầu chì kiểm định PCCC</t>
        </is>
      </c>
    </row>
    <row r="531">
      <c r="A531" t="inlineStr">
        <is>
          <t>SW-DAMPER-135-BODY</t>
        </is>
      </c>
      <c r="B531" t="inlineStr">
        <is>
          <t>SW-DAMPER-135</t>
        </is>
      </c>
      <c r="C531" t="inlineStr">
        <is>
          <t>Thân vỏ van FD bích TDF (0.75mm)</t>
        </is>
      </c>
      <c r="D531" t="inlineStr">
        <is>
          <t>TÔN_CUỘN_MẠ_KẼM</t>
        </is>
      </c>
      <c r="E531" t="inlineStr">
        <is>
          <t>MAT-STEEL-PN-0.75</t>
        </is>
      </c>
      <c r="F531" t="inlineStr">
        <is>
          <t>kg</t>
        </is>
      </c>
      <c r="G531" s="4" t="n">
        <v>2.650788</v>
      </c>
      <c r="H531" s="2">
        <f>XLOOKUP(B531, '00_TONG_HOP_BAO_GIA'!B:B, '00_TONG_HOP_BAO_GIA'!G:G, 1)</f>
        <v/>
      </c>
      <c r="I531" s="5">
        <f>G531*H531</f>
        <v/>
      </c>
      <c r="J531" s="2">
        <f>XLOOKUP(E531, '06_BANG_GIA_VAT_TU_AP_DUNG'!B:B, '06_BANG_GIA_VAT_TU_AP_DUNG'!C:C, "LỖI_MÃ_VT")</f>
        <v/>
      </c>
      <c r="K531" s="2">
        <f>I531*J531</f>
        <v/>
      </c>
      <c r="L531" t="inlineStr">
        <is>
          <t>Kích thước vỏ 350.0x300.0x250mm</t>
        </is>
      </c>
    </row>
    <row r="532">
      <c r="A532" t="inlineStr">
        <is>
          <t>SW-DAMPER-135-BLADE</t>
        </is>
      </c>
      <c r="B532" t="inlineStr">
        <is>
          <t>SW-DAMPER-135</t>
        </is>
      </c>
      <c r="C532" t="inlineStr">
        <is>
          <t>Lá cánh van (2 cánh overlap)</t>
        </is>
      </c>
      <c r="D532" t="inlineStr">
        <is>
          <t>TÔN_CUỘN_MẠ_KẼM</t>
        </is>
      </c>
      <c r="E532" t="inlineStr">
        <is>
          <t>MAT-STEEL-PN-0.75</t>
        </is>
      </c>
      <c r="F532" t="inlineStr">
        <is>
          <t>kg</t>
        </is>
      </c>
      <c r="G532" s="4" t="n">
        <v>0.7566614999999999</v>
      </c>
      <c r="H532" s="2">
        <f>XLOOKUP(B532, '00_TONG_HOP_BAO_GIA'!B:B, '00_TONG_HOP_BAO_GIA'!G:G, 1)</f>
        <v/>
      </c>
      <c r="I532" s="5">
        <f>G532*H532</f>
        <v/>
      </c>
      <c r="J532" s="2">
        <f>XLOOKUP(E532, '06_BANG_GIA_VAT_TU_AP_DUNG'!B:B, '06_BANG_GIA_VAT_TU_AP_DUNG'!C:C, "LỖI_MÃ_VT")</f>
        <v/>
      </c>
      <c r="K532" s="2">
        <f>I532*J532</f>
        <v/>
      </c>
      <c r="L532" t="inlineStr">
        <is>
          <t>2 cánh cao 170mm</t>
        </is>
      </c>
    </row>
    <row r="533">
      <c r="A533" t="inlineStr">
        <is>
          <t>SW-DAMPER-135-AXLE</t>
        </is>
      </c>
      <c r="B533" t="inlineStr">
        <is>
          <t>SW-DAMPER-135</t>
        </is>
      </c>
      <c r="C533" t="inlineStr">
        <is>
          <t>Trục Sus 201 D10</t>
        </is>
      </c>
      <c r="D533" t="inlineStr">
        <is>
          <t>PHỤ_KIỆN_VAN</t>
        </is>
      </c>
      <c r="E533" t="inlineStr">
        <is>
          <t>MAT-DAMPER-TRUC-SUS-201-D10</t>
        </is>
      </c>
      <c r="F533" t="inlineStr">
        <is>
          <t>m</t>
        </is>
      </c>
      <c r="G533" s="4" t="n">
        <v>0.82</v>
      </c>
      <c r="H533" s="2">
        <f>XLOOKUP(B533, '00_TONG_HOP_BAO_GIA'!B:B, '00_TONG_HOP_BAO_GIA'!G:G, 1)</f>
        <v/>
      </c>
      <c r="I533" s="5">
        <f>G533*H533</f>
        <v/>
      </c>
      <c r="J533" s="2">
        <f>XLOOKUP(E533, '06_BANG_GIA_VAT_TU_AP_DUNG'!B:B, '06_BANG_GIA_VAT_TU_AP_DUNG'!C:C, "LỖI_MÃ_VT")</f>
        <v/>
      </c>
      <c r="K533" s="2">
        <f>I533*J533</f>
        <v/>
      </c>
      <c r="L533" t="inlineStr">
        <is>
          <t>2 trục dài 410mm</t>
        </is>
      </c>
    </row>
    <row r="534">
      <c r="A534" t="inlineStr">
        <is>
          <t>SW-DAMPER-135-BEARING</t>
        </is>
      </c>
      <c r="B534" t="inlineStr">
        <is>
          <t>SW-DAMPER-135</t>
        </is>
      </c>
      <c r="C534" t="inlineStr">
        <is>
          <t>Bạc đồng D10</t>
        </is>
      </c>
      <c r="D534" t="inlineStr">
        <is>
          <t>PHỤ_KIỆN_VAN</t>
        </is>
      </c>
      <c r="E534" t="inlineStr">
        <is>
          <t>MAT-DAMPER-BAC-DONG-D10</t>
        </is>
      </c>
      <c r="F534" t="inlineStr">
        <is>
          <t>Đôi</t>
        </is>
      </c>
      <c r="G534" s="4" t="n">
        <v>2</v>
      </c>
      <c r="H534" s="2">
        <f>XLOOKUP(B534, '00_TONG_HOP_BAO_GIA'!B:B, '00_TONG_HOP_BAO_GIA'!G:G, 1)</f>
        <v/>
      </c>
      <c r="I534" s="5">
        <f>G534*H534</f>
        <v/>
      </c>
      <c r="J534" s="2">
        <f>XLOOKUP(E534, '06_BANG_GIA_VAT_TU_AP_DUNG'!B:B, '06_BANG_GIA_VAT_TU_AP_DUNG'!C:C, "LỖI_MÃ_VT")</f>
        <v/>
      </c>
      <c r="K534" s="2">
        <f>I534*J534</f>
        <v/>
      </c>
      <c r="L534" t="inlineStr">
        <is>
          <t>2 đôi bạc đỡ 2 bên thân</t>
        </is>
      </c>
    </row>
    <row r="535">
      <c r="A535" t="inlineStr">
        <is>
          <t>SW-DAMPER-135-GEAR</t>
        </is>
      </c>
      <c r="B535" t="inlineStr">
        <is>
          <t>SW-DAMPER-135</t>
        </is>
      </c>
      <c r="C535" t="inlineStr">
        <is>
          <t>Bánh răng van nhôm</t>
        </is>
      </c>
      <c r="D535" t="inlineStr">
        <is>
          <t>PHỤ_KIỆN_VAN</t>
        </is>
      </c>
      <c r="E535" t="inlineStr">
        <is>
          <t>MAT-DAMPER-BANH-RANG-VAN-NHOM</t>
        </is>
      </c>
      <c r="F535" t="inlineStr">
        <is>
          <t>Bộ</t>
        </is>
      </c>
      <c r="G535" s="4" t="n">
        <v>1</v>
      </c>
      <c r="H535" s="2">
        <f>XLOOKUP(B535, '00_TONG_HOP_BAO_GIA'!B:B, '00_TONG_HOP_BAO_GIA'!G:G, 1)</f>
        <v/>
      </c>
      <c r="I535" s="5">
        <f>G535*H535</f>
        <v/>
      </c>
      <c r="J535" s="2">
        <f>XLOOKUP(E535, '06_BANG_GIA_VAT_TU_AP_DUNG'!B:B, '06_BANG_GIA_VAT_TU_AP_DUNG'!C:C, "LỖI_MÃ_VT")</f>
        <v/>
      </c>
      <c r="K535" s="2">
        <f>I535*J535</f>
        <v/>
      </c>
      <c r="L535" t="inlineStr">
        <is>
          <t>Cơ cấu liên động bánh răng van</t>
        </is>
      </c>
    </row>
    <row r="536">
      <c r="A536" t="inlineStr">
        <is>
          <t>SW-DAMPER-135-FUSE</t>
        </is>
      </c>
      <c r="B536" t="inlineStr">
        <is>
          <t>SW-DAMPER-135</t>
        </is>
      </c>
      <c r="C536" t="inlineStr">
        <is>
          <t>Cầu chì nhiệt nóng chảy 70°C (Elsie/USA)</t>
        </is>
      </c>
      <c r="D536" t="inlineStr">
        <is>
          <t>PHỤ_KIỆN_VAN</t>
        </is>
      </c>
      <c r="E536" t="inlineStr">
        <is>
          <t>MAT-DAMPER-CAU-CHI-USA-1-400X400</t>
        </is>
      </c>
      <c r="F536" t="inlineStr">
        <is>
          <t>Cái</t>
        </is>
      </c>
      <c r="G536" s="4" t="n">
        <v>1</v>
      </c>
      <c r="H536" s="2">
        <f>XLOOKUP(B536, '00_TONG_HOP_BAO_GIA'!B:B, '00_TONG_HOP_BAO_GIA'!G:G, 1)</f>
        <v/>
      </c>
      <c r="I536" s="5">
        <f>G536*H536</f>
        <v/>
      </c>
      <c r="J536" s="2">
        <f>XLOOKUP(E536, '06_BANG_GIA_VAT_TU_AP_DUNG'!B:B, '06_BANG_GIA_VAT_TU_AP_DUNG'!C:C, "LỖI_MÃ_VT")</f>
        <v/>
      </c>
      <c r="K536" s="2">
        <f>I536*J536</f>
        <v/>
      </c>
      <c r="L536" t="inlineStr">
        <is>
          <t>Cầu chì kiểm định PCCC</t>
        </is>
      </c>
    </row>
    <row r="537">
      <c r="A537" t="inlineStr">
        <is>
          <t>SW-DAMPER-136-BODY</t>
        </is>
      </c>
      <c r="B537" t="inlineStr">
        <is>
          <t>SW-DAMPER-136</t>
        </is>
      </c>
      <c r="C537" t="inlineStr">
        <is>
          <t>Thân vỏ van FD bích TDF (0.75mm)</t>
        </is>
      </c>
      <c r="D537" t="inlineStr">
        <is>
          <t>TÔN_CUỘN_MẠ_KẼM</t>
        </is>
      </c>
      <c r="E537" t="inlineStr">
        <is>
          <t>MAT-STEEL-PN-0.75</t>
        </is>
      </c>
      <c r="F537" t="inlineStr">
        <is>
          <t>kg</t>
        </is>
      </c>
      <c r="G537" s="4" t="n">
        <v>2.452968</v>
      </c>
      <c r="H537" s="2">
        <f>XLOOKUP(B537, '00_TONG_HOP_BAO_GIA'!B:B, '00_TONG_HOP_BAO_GIA'!G:G, 1)</f>
        <v/>
      </c>
      <c r="I537" s="5">
        <f>G537*H537</f>
        <v/>
      </c>
      <c r="J537" s="2">
        <f>XLOOKUP(E537, '06_BANG_GIA_VAT_TU_AP_DUNG'!B:B, '06_BANG_GIA_VAT_TU_AP_DUNG'!C:C, "LỖI_MÃ_VT")</f>
        <v/>
      </c>
      <c r="K537" s="2">
        <f>I537*J537</f>
        <v/>
      </c>
      <c r="L537" t="inlineStr">
        <is>
          <t>Kích thước vỏ 400.0x200.0x250mm</t>
        </is>
      </c>
    </row>
    <row r="538">
      <c r="A538" t="inlineStr">
        <is>
          <t>SW-DAMPER-136-BLADE</t>
        </is>
      </c>
      <c r="B538" t="inlineStr">
        <is>
          <t>SW-DAMPER-136</t>
        </is>
      </c>
      <c r="C538" t="inlineStr">
        <is>
          <t>Lá cánh van (2 cánh overlap)</t>
        </is>
      </c>
      <c r="D538" t="inlineStr">
        <is>
          <t>TÔN_CUỘN_MẠ_KẼM</t>
        </is>
      </c>
      <c r="E538" t="inlineStr">
        <is>
          <t>MAT-STEEL-PN-0.75</t>
        </is>
      </c>
      <c r="F538" t="inlineStr">
        <is>
          <t>kg</t>
        </is>
      </c>
      <c r="G538" s="4" t="n">
        <v>0.610416</v>
      </c>
      <c r="H538" s="2">
        <f>XLOOKUP(B538, '00_TONG_HOP_BAO_GIA'!B:B, '00_TONG_HOP_BAO_GIA'!G:G, 1)</f>
        <v/>
      </c>
      <c r="I538" s="5">
        <f>G538*H538</f>
        <v/>
      </c>
      <c r="J538" s="2">
        <f>XLOOKUP(E538, '06_BANG_GIA_VAT_TU_AP_DUNG'!B:B, '06_BANG_GIA_VAT_TU_AP_DUNG'!C:C, "LỖI_MÃ_VT")</f>
        <v/>
      </c>
      <c r="K538" s="2">
        <f>I538*J538</f>
        <v/>
      </c>
      <c r="L538" t="inlineStr">
        <is>
          <t>2 cánh cao 120mm</t>
        </is>
      </c>
    </row>
    <row r="539">
      <c r="A539" t="inlineStr">
        <is>
          <t>SW-DAMPER-136-AXLE</t>
        </is>
      </c>
      <c r="B539" t="inlineStr">
        <is>
          <t>SW-DAMPER-136</t>
        </is>
      </c>
      <c r="C539" t="inlineStr">
        <is>
          <t>Trục Sus 201 D10</t>
        </is>
      </c>
      <c r="D539" t="inlineStr">
        <is>
          <t>PHỤ_KIỆN_VAN</t>
        </is>
      </c>
      <c r="E539" t="inlineStr">
        <is>
          <t>MAT-DAMPER-TRUC-SUS-201-D10</t>
        </is>
      </c>
      <c r="F539" t="inlineStr">
        <is>
          <t>m</t>
        </is>
      </c>
      <c r="G539" s="4" t="n">
        <v>0.92</v>
      </c>
      <c r="H539" s="2">
        <f>XLOOKUP(B539, '00_TONG_HOP_BAO_GIA'!B:B, '00_TONG_HOP_BAO_GIA'!G:G, 1)</f>
        <v/>
      </c>
      <c r="I539" s="5">
        <f>G539*H539</f>
        <v/>
      </c>
      <c r="J539" s="2">
        <f>XLOOKUP(E539, '06_BANG_GIA_VAT_TU_AP_DUNG'!B:B, '06_BANG_GIA_VAT_TU_AP_DUNG'!C:C, "LỖI_MÃ_VT")</f>
        <v/>
      </c>
      <c r="K539" s="2">
        <f>I539*J539</f>
        <v/>
      </c>
      <c r="L539" t="inlineStr">
        <is>
          <t>2 trục dài 460mm</t>
        </is>
      </c>
    </row>
    <row r="540">
      <c r="A540" t="inlineStr">
        <is>
          <t>SW-DAMPER-136-BEARING</t>
        </is>
      </c>
      <c r="B540" t="inlineStr">
        <is>
          <t>SW-DAMPER-136</t>
        </is>
      </c>
      <c r="C540" t="inlineStr">
        <is>
          <t>Bạc đồng D10</t>
        </is>
      </c>
      <c r="D540" t="inlineStr">
        <is>
          <t>PHỤ_KIỆN_VAN</t>
        </is>
      </c>
      <c r="E540" t="inlineStr">
        <is>
          <t>MAT-DAMPER-BAC-DONG-D10</t>
        </is>
      </c>
      <c r="F540" t="inlineStr">
        <is>
          <t>Đôi</t>
        </is>
      </c>
      <c r="G540" s="4" t="n">
        <v>2</v>
      </c>
      <c r="H540" s="2">
        <f>XLOOKUP(B540, '00_TONG_HOP_BAO_GIA'!B:B, '00_TONG_HOP_BAO_GIA'!G:G, 1)</f>
        <v/>
      </c>
      <c r="I540" s="5">
        <f>G540*H540</f>
        <v/>
      </c>
      <c r="J540" s="2">
        <f>XLOOKUP(E540, '06_BANG_GIA_VAT_TU_AP_DUNG'!B:B, '06_BANG_GIA_VAT_TU_AP_DUNG'!C:C, "LỖI_MÃ_VT")</f>
        <v/>
      </c>
      <c r="K540" s="2">
        <f>I540*J540</f>
        <v/>
      </c>
      <c r="L540" t="inlineStr">
        <is>
          <t>2 đôi bạc đỡ 2 bên thân</t>
        </is>
      </c>
    </row>
    <row r="541">
      <c r="A541" t="inlineStr">
        <is>
          <t>SW-DAMPER-136-GEAR</t>
        </is>
      </c>
      <c r="B541" t="inlineStr">
        <is>
          <t>SW-DAMPER-136</t>
        </is>
      </c>
      <c r="C541" t="inlineStr">
        <is>
          <t>Bánh răng van nhôm</t>
        </is>
      </c>
      <c r="D541" t="inlineStr">
        <is>
          <t>PHỤ_KIỆN_VAN</t>
        </is>
      </c>
      <c r="E541" t="inlineStr">
        <is>
          <t>MAT-DAMPER-BANH-RANG-VAN-NHOM</t>
        </is>
      </c>
      <c r="F541" t="inlineStr">
        <is>
          <t>Bộ</t>
        </is>
      </c>
      <c r="G541" s="4" t="n">
        <v>1</v>
      </c>
      <c r="H541" s="2">
        <f>XLOOKUP(B541, '00_TONG_HOP_BAO_GIA'!B:B, '00_TONG_HOP_BAO_GIA'!G:G, 1)</f>
        <v/>
      </c>
      <c r="I541" s="5">
        <f>G541*H541</f>
        <v/>
      </c>
      <c r="J541" s="2">
        <f>XLOOKUP(E541, '06_BANG_GIA_VAT_TU_AP_DUNG'!B:B, '06_BANG_GIA_VAT_TU_AP_DUNG'!C:C, "LỖI_MÃ_VT")</f>
        <v/>
      </c>
      <c r="K541" s="2">
        <f>I541*J541</f>
        <v/>
      </c>
      <c r="L541" t="inlineStr">
        <is>
          <t>Cơ cấu liên động bánh răng van</t>
        </is>
      </c>
    </row>
    <row r="542">
      <c r="A542" t="inlineStr">
        <is>
          <t>SW-DAMPER-136-FUSE</t>
        </is>
      </c>
      <c r="B542" t="inlineStr">
        <is>
          <t>SW-DAMPER-136</t>
        </is>
      </c>
      <c r="C542" t="inlineStr">
        <is>
          <t>Cầu chì nhiệt nóng chảy 70°C (Elsie/USA)</t>
        </is>
      </c>
      <c r="D542" t="inlineStr">
        <is>
          <t>PHỤ_KIỆN_VAN</t>
        </is>
      </c>
      <c r="E542" t="inlineStr">
        <is>
          <t>MAT-DAMPER-CAU-CHI-USA-2-400X400</t>
        </is>
      </c>
      <c r="F542" t="inlineStr">
        <is>
          <t>Cái</t>
        </is>
      </c>
      <c r="G542" s="4" t="n">
        <v>1</v>
      </c>
      <c r="H542" s="2">
        <f>XLOOKUP(B542, '00_TONG_HOP_BAO_GIA'!B:B, '00_TONG_HOP_BAO_GIA'!G:G, 1)</f>
        <v/>
      </c>
      <c r="I542" s="5">
        <f>G542*H542</f>
        <v/>
      </c>
      <c r="J542" s="2">
        <f>XLOOKUP(E542, '06_BANG_GIA_VAT_TU_AP_DUNG'!B:B, '06_BANG_GIA_VAT_TU_AP_DUNG'!C:C, "LỖI_MÃ_VT")</f>
        <v/>
      </c>
      <c r="K542" s="2">
        <f>I542*J542</f>
        <v/>
      </c>
      <c r="L542" t="inlineStr">
        <is>
          <t>Cầu chì kiểm định PCCC</t>
        </is>
      </c>
    </row>
    <row r="543">
      <c r="A543" t="inlineStr">
        <is>
          <t>SW-DAMPER-137-BODY</t>
        </is>
      </c>
      <c r="B543" t="inlineStr">
        <is>
          <t>SW-DAMPER-137</t>
        </is>
      </c>
      <c r="C543" t="inlineStr">
        <is>
          <t>Thân vỏ van FD bích TDF (0.75mm)</t>
        </is>
      </c>
      <c r="D543" t="inlineStr">
        <is>
          <t>TÔN_CUỘN_MẠ_KẼM</t>
        </is>
      </c>
      <c r="E543" t="inlineStr">
        <is>
          <t>MAT-STEEL-PN-0.75</t>
        </is>
      </c>
      <c r="F543" t="inlineStr">
        <is>
          <t>kg</t>
        </is>
      </c>
      <c r="G543" s="4" t="n">
        <v>2.650788</v>
      </c>
      <c r="H543" s="2">
        <f>XLOOKUP(B543, '00_TONG_HOP_BAO_GIA'!B:B, '00_TONG_HOP_BAO_GIA'!G:G, 1)</f>
        <v/>
      </c>
      <c r="I543" s="5">
        <f>G543*H543</f>
        <v/>
      </c>
      <c r="J543" s="2">
        <f>XLOOKUP(E543, '06_BANG_GIA_VAT_TU_AP_DUNG'!B:B, '06_BANG_GIA_VAT_TU_AP_DUNG'!C:C, "LỖI_MÃ_VT")</f>
        <v/>
      </c>
      <c r="K543" s="2">
        <f>I543*J543</f>
        <v/>
      </c>
      <c r="L543" t="inlineStr">
        <is>
          <t>Kích thước vỏ 400.0x250.0x250mm</t>
        </is>
      </c>
    </row>
    <row r="544">
      <c r="A544" t="inlineStr">
        <is>
          <t>SW-DAMPER-137-BLADE</t>
        </is>
      </c>
      <c r="B544" t="inlineStr">
        <is>
          <t>SW-DAMPER-137</t>
        </is>
      </c>
      <c r="C544" t="inlineStr">
        <is>
          <t>Lá cánh van (2 cánh overlap)</t>
        </is>
      </c>
      <c r="D544" t="inlineStr">
        <is>
          <t>TÔN_CUỘN_MẠ_KẼM</t>
        </is>
      </c>
      <c r="E544" t="inlineStr">
        <is>
          <t>MAT-STEEL-PN-0.75</t>
        </is>
      </c>
      <c r="F544" t="inlineStr">
        <is>
          <t>kg</t>
        </is>
      </c>
      <c r="G544" s="4" t="n">
        <v>0.737586</v>
      </c>
      <c r="H544" s="2">
        <f>XLOOKUP(B544, '00_TONG_HOP_BAO_GIA'!B:B, '00_TONG_HOP_BAO_GIA'!G:G, 1)</f>
        <v/>
      </c>
      <c r="I544" s="5">
        <f>G544*H544</f>
        <v/>
      </c>
      <c r="J544" s="2">
        <f>XLOOKUP(E544, '06_BANG_GIA_VAT_TU_AP_DUNG'!B:B, '06_BANG_GIA_VAT_TU_AP_DUNG'!C:C, "LỖI_MÃ_VT")</f>
        <v/>
      </c>
      <c r="K544" s="2">
        <f>I544*J544</f>
        <v/>
      </c>
      <c r="L544" t="inlineStr">
        <is>
          <t>2 cánh cao 145mm</t>
        </is>
      </c>
    </row>
    <row r="545">
      <c r="A545" t="inlineStr">
        <is>
          <t>SW-DAMPER-137-AXLE</t>
        </is>
      </c>
      <c r="B545" t="inlineStr">
        <is>
          <t>SW-DAMPER-137</t>
        </is>
      </c>
      <c r="C545" t="inlineStr">
        <is>
          <t>Trục Sus 201 D10</t>
        </is>
      </c>
      <c r="D545" t="inlineStr">
        <is>
          <t>PHỤ_KIỆN_VAN</t>
        </is>
      </c>
      <c r="E545" t="inlineStr">
        <is>
          <t>MAT-DAMPER-TRUC-SUS-201-D10</t>
        </is>
      </c>
      <c r="F545" t="inlineStr">
        <is>
          <t>m</t>
        </is>
      </c>
      <c r="G545" s="4" t="n">
        <v>0.92</v>
      </c>
      <c r="H545" s="2">
        <f>XLOOKUP(B545, '00_TONG_HOP_BAO_GIA'!B:B, '00_TONG_HOP_BAO_GIA'!G:G, 1)</f>
        <v/>
      </c>
      <c r="I545" s="5">
        <f>G545*H545</f>
        <v/>
      </c>
      <c r="J545" s="2">
        <f>XLOOKUP(E545, '06_BANG_GIA_VAT_TU_AP_DUNG'!B:B, '06_BANG_GIA_VAT_TU_AP_DUNG'!C:C, "LỖI_MÃ_VT")</f>
        <v/>
      </c>
      <c r="K545" s="2">
        <f>I545*J545</f>
        <v/>
      </c>
      <c r="L545" t="inlineStr">
        <is>
          <t>2 trục dài 460mm</t>
        </is>
      </c>
    </row>
    <row r="546">
      <c r="A546" t="inlineStr">
        <is>
          <t>SW-DAMPER-137-BEARING</t>
        </is>
      </c>
      <c r="B546" t="inlineStr">
        <is>
          <t>SW-DAMPER-137</t>
        </is>
      </c>
      <c r="C546" t="inlineStr">
        <is>
          <t>Bạc đồng D10</t>
        </is>
      </c>
      <c r="D546" t="inlineStr">
        <is>
          <t>PHỤ_KIỆN_VAN</t>
        </is>
      </c>
      <c r="E546" t="inlineStr">
        <is>
          <t>MAT-DAMPER-BAC-DONG-D10</t>
        </is>
      </c>
      <c r="F546" t="inlineStr">
        <is>
          <t>Đôi</t>
        </is>
      </c>
      <c r="G546" s="4" t="n">
        <v>2</v>
      </c>
      <c r="H546" s="2">
        <f>XLOOKUP(B546, '00_TONG_HOP_BAO_GIA'!B:B, '00_TONG_HOP_BAO_GIA'!G:G, 1)</f>
        <v/>
      </c>
      <c r="I546" s="5">
        <f>G546*H546</f>
        <v/>
      </c>
      <c r="J546" s="2">
        <f>XLOOKUP(E546, '06_BANG_GIA_VAT_TU_AP_DUNG'!B:B, '06_BANG_GIA_VAT_TU_AP_DUNG'!C:C, "LỖI_MÃ_VT")</f>
        <v/>
      </c>
      <c r="K546" s="2">
        <f>I546*J546</f>
        <v/>
      </c>
      <c r="L546" t="inlineStr">
        <is>
          <t>2 đôi bạc đỡ 2 bên thân</t>
        </is>
      </c>
    </row>
    <row r="547">
      <c r="A547" t="inlineStr">
        <is>
          <t>SW-DAMPER-137-GEAR</t>
        </is>
      </c>
      <c r="B547" t="inlineStr">
        <is>
          <t>SW-DAMPER-137</t>
        </is>
      </c>
      <c r="C547" t="inlineStr">
        <is>
          <t>Bánh răng van nhôm</t>
        </is>
      </c>
      <c r="D547" t="inlineStr">
        <is>
          <t>PHỤ_KIỆN_VAN</t>
        </is>
      </c>
      <c r="E547" t="inlineStr">
        <is>
          <t>MAT-DAMPER-BANH-RANG-VAN-NHOM</t>
        </is>
      </c>
      <c r="F547" t="inlineStr">
        <is>
          <t>Bộ</t>
        </is>
      </c>
      <c r="G547" s="4" t="n">
        <v>1</v>
      </c>
      <c r="H547" s="2">
        <f>XLOOKUP(B547, '00_TONG_HOP_BAO_GIA'!B:B, '00_TONG_HOP_BAO_GIA'!G:G, 1)</f>
        <v/>
      </c>
      <c r="I547" s="5">
        <f>G547*H547</f>
        <v/>
      </c>
      <c r="J547" s="2">
        <f>XLOOKUP(E547, '06_BANG_GIA_VAT_TU_AP_DUNG'!B:B, '06_BANG_GIA_VAT_TU_AP_DUNG'!C:C, "LỖI_MÃ_VT")</f>
        <v/>
      </c>
      <c r="K547" s="2">
        <f>I547*J547</f>
        <v/>
      </c>
      <c r="L547" t="inlineStr">
        <is>
          <t>Cơ cấu liên động bánh răng van</t>
        </is>
      </c>
    </row>
    <row r="548">
      <c r="A548" t="inlineStr">
        <is>
          <t>SW-DAMPER-137-FUSE</t>
        </is>
      </c>
      <c r="B548" t="inlineStr">
        <is>
          <t>SW-DAMPER-137</t>
        </is>
      </c>
      <c r="C548" t="inlineStr">
        <is>
          <t>Cầu chì nhiệt nóng chảy 70°C (Elsie/USA)</t>
        </is>
      </c>
      <c r="D548" t="inlineStr">
        <is>
          <t>PHỤ_KIỆN_VAN</t>
        </is>
      </c>
      <c r="E548" t="inlineStr">
        <is>
          <t>MAT-DAMPER-CAU-CHI-USA-2-400X400</t>
        </is>
      </c>
      <c r="F548" t="inlineStr">
        <is>
          <t>Cái</t>
        </is>
      </c>
      <c r="G548" s="4" t="n">
        <v>1</v>
      </c>
      <c r="H548" s="2">
        <f>XLOOKUP(B548, '00_TONG_HOP_BAO_GIA'!B:B, '00_TONG_HOP_BAO_GIA'!G:G, 1)</f>
        <v/>
      </c>
      <c r="I548" s="5">
        <f>G548*H548</f>
        <v/>
      </c>
      <c r="J548" s="2">
        <f>XLOOKUP(E548, '06_BANG_GIA_VAT_TU_AP_DUNG'!B:B, '06_BANG_GIA_VAT_TU_AP_DUNG'!C:C, "LỖI_MÃ_VT")</f>
        <v/>
      </c>
      <c r="K548" s="2">
        <f>I548*J548</f>
        <v/>
      </c>
      <c r="L548" t="inlineStr">
        <is>
          <t>Cầu chì kiểm định PCCC</t>
        </is>
      </c>
    </row>
    <row r="549">
      <c r="A549" t="inlineStr">
        <is>
          <t>SW-DAMPER-138-BODY</t>
        </is>
      </c>
      <c r="B549" t="inlineStr">
        <is>
          <t>SW-DAMPER-138</t>
        </is>
      </c>
      <c r="C549" t="inlineStr">
        <is>
          <t>Thân vỏ van FD bích TDF (0.75mm)</t>
        </is>
      </c>
      <c r="D549" t="inlineStr">
        <is>
          <t>TÔN_CUỘN_MẠ_KẼM</t>
        </is>
      </c>
      <c r="E549" t="inlineStr">
        <is>
          <t>MAT-STEEL-PN-0.75</t>
        </is>
      </c>
      <c r="F549" t="inlineStr">
        <is>
          <t>kg</t>
        </is>
      </c>
      <c r="G549" s="4" t="n">
        <v>2.848608</v>
      </c>
      <c r="H549" s="2">
        <f>XLOOKUP(B549, '00_TONG_HOP_BAO_GIA'!B:B, '00_TONG_HOP_BAO_GIA'!G:G, 1)</f>
        <v/>
      </c>
      <c r="I549" s="5">
        <f>G549*H549</f>
        <v/>
      </c>
      <c r="J549" s="2">
        <f>XLOOKUP(E549, '06_BANG_GIA_VAT_TU_AP_DUNG'!B:B, '06_BANG_GIA_VAT_TU_AP_DUNG'!C:C, "LỖI_MÃ_VT")</f>
        <v/>
      </c>
      <c r="K549" s="2">
        <f>I549*J549</f>
        <v/>
      </c>
      <c r="L549" t="inlineStr">
        <is>
          <t>Kích thước vỏ 400.0x300.0x250mm</t>
        </is>
      </c>
    </row>
    <row r="550">
      <c r="A550" t="inlineStr">
        <is>
          <t>SW-DAMPER-138-BLADE</t>
        </is>
      </c>
      <c r="B550" t="inlineStr">
        <is>
          <t>SW-DAMPER-138</t>
        </is>
      </c>
      <c r="C550" t="inlineStr">
        <is>
          <t>Lá cánh van (2 cánh overlap)</t>
        </is>
      </c>
      <c r="D550" t="inlineStr">
        <is>
          <t>TÔN_CUỘN_MẠ_KẼM</t>
        </is>
      </c>
      <c r="E550" t="inlineStr">
        <is>
          <t>MAT-STEEL-PN-0.75</t>
        </is>
      </c>
      <c r="F550" t="inlineStr">
        <is>
          <t>kg</t>
        </is>
      </c>
      <c r="G550" s="4" t="n">
        <v>0.864756</v>
      </c>
      <c r="H550" s="2">
        <f>XLOOKUP(B550, '00_TONG_HOP_BAO_GIA'!B:B, '00_TONG_HOP_BAO_GIA'!G:G, 1)</f>
        <v/>
      </c>
      <c r="I550" s="5">
        <f>G550*H550</f>
        <v/>
      </c>
      <c r="J550" s="2">
        <f>XLOOKUP(E550, '06_BANG_GIA_VAT_TU_AP_DUNG'!B:B, '06_BANG_GIA_VAT_TU_AP_DUNG'!C:C, "LỖI_MÃ_VT")</f>
        <v/>
      </c>
      <c r="K550" s="2">
        <f>I550*J550</f>
        <v/>
      </c>
      <c r="L550" t="inlineStr">
        <is>
          <t>2 cánh cao 170mm</t>
        </is>
      </c>
    </row>
    <row r="551">
      <c r="A551" t="inlineStr">
        <is>
          <t>SW-DAMPER-138-AXLE</t>
        </is>
      </c>
      <c r="B551" t="inlineStr">
        <is>
          <t>SW-DAMPER-138</t>
        </is>
      </c>
      <c r="C551" t="inlineStr">
        <is>
          <t>Trục Sus 201 D10</t>
        </is>
      </c>
      <c r="D551" t="inlineStr">
        <is>
          <t>PHỤ_KIỆN_VAN</t>
        </is>
      </c>
      <c r="E551" t="inlineStr">
        <is>
          <t>MAT-DAMPER-TRUC-SUS-201-D10</t>
        </is>
      </c>
      <c r="F551" t="inlineStr">
        <is>
          <t>m</t>
        </is>
      </c>
      <c r="G551" s="4" t="n">
        <v>0.92</v>
      </c>
      <c r="H551" s="2">
        <f>XLOOKUP(B551, '00_TONG_HOP_BAO_GIA'!B:B, '00_TONG_HOP_BAO_GIA'!G:G, 1)</f>
        <v/>
      </c>
      <c r="I551" s="5">
        <f>G551*H551</f>
        <v/>
      </c>
      <c r="J551" s="2">
        <f>XLOOKUP(E551, '06_BANG_GIA_VAT_TU_AP_DUNG'!B:B, '06_BANG_GIA_VAT_TU_AP_DUNG'!C:C, "LỖI_MÃ_VT")</f>
        <v/>
      </c>
      <c r="K551" s="2">
        <f>I551*J551</f>
        <v/>
      </c>
      <c r="L551" t="inlineStr">
        <is>
          <t>2 trục dài 460mm</t>
        </is>
      </c>
    </row>
    <row r="552">
      <c r="A552" t="inlineStr">
        <is>
          <t>SW-DAMPER-138-BEARING</t>
        </is>
      </c>
      <c r="B552" t="inlineStr">
        <is>
          <t>SW-DAMPER-138</t>
        </is>
      </c>
      <c r="C552" t="inlineStr">
        <is>
          <t>Bạc đồng D10</t>
        </is>
      </c>
      <c r="D552" t="inlineStr">
        <is>
          <t>PHỤ_KIỆN_VAN</t>
        </is>
      </c>
      <c r="E552" t="inlineStr">
        <is>
          <t>MAT-DAMPER-BAC-DONG-D10</t>
        </is>
      </c>
      <c r="F552" t="inlineStr">
        <is>
          <t>Đôi</t>
        </is>
      </c>
      <c r="G552" s="4" t="n">
        <v>2</v>
      </c>
      <c r="H552" s="2">
        <f>XLOOKUP(B552, '00_TONG_HOP_BAO_GIA'!B:B, '00_TONG_HOP_BAO_GIA'!G:G, 1)</f>
        <v/>
      </c>
      <c r="I552" s="5">
        <f>G552*H552</f>
        <v/>
      </c>
      <c r="J552" s="2">
        <f>XLOOKUP(E552, '06_BANG_GIA_VAT_TU_AP_DUNG'!B:B, '06_BANG_GIA_VAT_TU_AP_DUNG'!C:C, "LỖI_MÃ_VT")</f>
        <v/>
      </c>
      <c r="K552" s="2">
        <f>I552*J552</f>
        <v/>
      </c>
      <c r="L552" t="inlineStr">
        <is>
          <t>2 đôi bạc đỡ 2 bên thân</t>
        </is>
      </c>
    </row>
    <row r="553">
      <c r="A553" t="inlineStr">
        <is>
          <t>SW-DAMPER-138-GEAR</t>
        </is>
      </c>
      <c r="B553" t="inlineStr">
        <is>
          <t>SW-DAMPER-138</t>
        </is>
      </c>
      <c r="C553" t="inlineStr">
        <is>
          <t>Bánh răng van nhôm</t>
        </is>
      </c>
      <c r="D553" t="inlineStr">
        <is>
          <t>PHỤ_KIỆN_VAN</t>
        </is>
      </c>
      <c r="E553" t="inlineStr">
        <is>
          <t>MAT-DAMPER-BANH-RANG-VAN-NHOM</t>
        </is>
      </c>
      <c r="F553" t="inlineStr">
        <is>
          <t>Bộ</t>
        </is>
      </c>
      <c r="G553" s="4" t="n">
        <v>1</v>
      </c>
      <c r="H553" s="2">
        <f>XLOOKUP(B553, '00_TONG_HOP_BAO_GIA'!B:B, '00_TONG_HOP_BAO_GIA'!G:G, 1)</f>
        <v/>
      </c>
      <c r="I553" s="5">
        <f>G553*H553</f>
        <v/>
      </c>
      <c r="J553" s="2">
        <f>XLOOKUP(E553, '06_BANG_GIA_VAT_TU_AP_DUNG'!B:B, '06_BANG_GIA_VAT_TU_AP_DUNG'!C:C, "LỖI_MÃ_VT")</f>
        <v/>
      </c>
      <c r="K553" s="2">
        <f>I553*J553</f>
        <v/>
      </c>
      <c r="L553" t="inlineStr">
        <is>
          <t>Cơ cấu liên động bánh răng van</t>
        </is>
      </c>
    </row>
    <row r="554">
      <c r="A554" t="inlineStr">
        <is>
          <t>SW-DAMPER-138-FUSE</t>
        </is>
      </c>
      <c r="B554" t="inlineStr">
        <is>
          <t>SW-DAMPER-138</t>
        </is>
      </c>
      <c r="C554" t="inlineStr">
        <is>
          <t>Cầu chì nhiệt nóng chảy 70°C (Elsie/USA)</t>
        </is>
      </c>
      <c r="D554" t="inlineStr">
        <is>
          <t>PHỤ_KIỆN_VAN</t>
        </is>
      </c>
      <c r="E554" t="inlineStr">
        <is>
          <t>MAT-DAMPER-CAU-CHI-USA-2-400X400</t>
        </is>
      </c>
      <c r="F554" t="inlineStr">
        <is>
          <t>Cái</t>
        </is>
      </c>
      <c r="G554" s="4" t="n">
        <v>1</v>
      </c>
      <c r="H554" s="2">
        <f>XLOOKUP(B554, '00_TONG_HOP_BAO_GIA'!B:B, '00_TONG_HOP_BAO_GIA'!G:G, 1)</f>
        <v/>
      </c>
      <c r="I554" s="5">
        <f>G554*H554</f>
        <v/>
      </c>
      <c r="J554" s="2">
        <f>XLOOKUP(E554, '06_BANG_GIA_VAT_TU_AP_DUNG'!B:B, '06_BANG_GIA_VAT_TU_AP_DUNG'!C:C, "LỖI_MÃ_VT")</f>
        <v/>
      </c>
      <c r="K554" s="2">
        <f>I554*J554</f>
        <v/>
      </c>
      <c r="L554" t="inlineStr">
        <is>
          <t>Cầu chì kiểm định PCCC</t>
        </is>
      </c>
    </row>
    <row r="555">
      <c r="A555" t="inlineStr">
        <is>
          <t>SW-DAMPER-139-BODY</t>
        </is>
      </c>
      <c r="B555" t="inlineStr">
        <is>
          <t>SW-DAMPER-139</t>
        </is>
      </c>
      <c r="C555" t="inlineStr">
        <is>
          <t>Thân vỏ van FD bích TDF (0.75mm)</t>
        </is>
      </c>
      <c r="D555" t="inlineStr">
        <is>
          <t>TÔN_CUỘN_MẠ_KẼM</t>
        </is>
      </c>
      <c r="E555" t="inlineStr">
        <is>
          <t>MAT-STEEL-PN-0.75</t>
        </is>
      </c>
      <c r="F555" t="inlineStr">
        <is>
          <t>kg</t>
        </is>
      </c>
      <c r="G555" s="4" t="n">
        <v>3.046428</v>
      </c>
      <c r="H555" s="2">
        <f>XLOOKUP(B555, '00_TONG_HOP_BAO_GIA'!B:B, '00_TONG_HOP_BAO_GIA'!G:G, 1)</f>
        <v/>
      </c>
      <c r="I555" s="5">
        <f>G555*H555</f>
        <v/>
      </c>
      <c r="J555" s="2">
        <f>XLOOKUP(E555, '06_BANG_GIA_VAT_TU_AP_DUNG'!B:B, '06_BANG_GIA_VAT_TU_AP_DUNG'!C:C, "LỖI_MÃ_VT")</f>
        <v/>
      </c>
      <c r="K555" s="2">
        <f>I555*J555</f>
        <v/>
      </c>
      <c r="L555" t="inlineStr">
        <is>
          <t>Kích thước vỏ 400.0x350.0x250mm</t>
        </is>
      </c>
    </row>
    <row r="556">
      <c r="A556" t="inlineStr">
        <is>
          <t>SW-DAMPER-139-BLADE</t>
        </is>
      </c>
      <c r="B556" t="inlineStr">
        <is>
          <t>SW-DAMPER-139</t>
        </is>
      </c>
      <c r="C556" t="inlineStr">
        <is>
          <t>Lá cánh van (2 cánh overlap)</t>
        </is>
      </c>
      <c r="D556" t="inlineStr">
        <is>
          <t>TÔN_CUỘN_MẠ_KẼM</t>
        </is>
      </c>
      <c r="E556" t="inlineStr">
        <is>
          <t>MAT-STEEL-PN-0.75</t>
        </is>
      </c>
      <c r="F556" t="inlineStr">
        <is>
          <t>kg</t>
        </is>
      </c>
      <c r="G556" s="4" t="n">
        <v>0.9919260000000002</v>
      </c>
      <c r="H556" s="2">
        <f>XLOOKUP(B556, '00_TONG_HOP_BAO_GIA'!B:B, '00_TONG_HOP_BAO_GIA'!G:G, 1)</f>
        <v/>
      </c>
      <c r="I556" s="5">
        <f>G556*H556</f>
        <v/>
      </c>
      <c r="J556" s="2">
        <f>XLOOKUP(E556, '06_BANG_GIA_VAT_TU_AP_DUNG'!B:B, '06_BANG_GIA_VAT_TU_AP_DUNG'!C:C, "LỖI_MÃ_VT")</f>
        <v/>
      </c>
      <c r="K556" s="2">
        <f>I556*J556</f>
        <v/>
      </c>
      <c r="L556" t="inlineStr">
        <is>
          <t>2 cánh cao 195mm</t>
        </is>
      </c>
    </row>
    <row r="557">
      <c r="A557" t="inlineStr">
        <is>
          <t>SW-DAMPER-139-AXLE</t>
        </is>
      </c>
      <c r="B557" t="inlineStr">
        <is>
          <t>SW-DAMPER-139</t>
        </is>
      </c>
      <c r="C557" t="inlineStr">
        <is>
          <t>Trục Sus 201 D10</t>
        </is>
      </c>
      <c r="D557" t="inlineStr">
        <is>
          <t>PHỤ_KIỆN_VAN</t>
        </is>
      </c>
      <c r="E557" t="inlineStr">
        <is>
          <t>MAT-DAMPER-TRUC-SUS-201-D10</t>
        </is>
      </c>
      <c r="F557" t="inlineStr">
        <is>
          <t>m</t>
        </is>
      </c>
      <c r="G557" s="4" t="n">
        <v>0.92</v>
      </c>
      <c r="H557" s="2">
        <f>XLOOKUP(B557, '00_TONG_HOP_BAO_GIA'!B:B, '00_TONG_HOP_BAO_GIA'!G:G, 1)</f>
        <v/>
      </c>
      <c r="I557" s="5">
        <f>G557*H557</f>
        <v/>
      </c>
      <c r="J557" s="2">
        <f>XLOOKUP(E557, '06_BANG_GIA_VAT_TU_AP_DUNG'!B:B, '06_BANG_GIA_VAT_TU_AP_DUNG'!C:C, "LỖI_MÃ_VT")</f>
        <v/>
      </c>
      <c r="K557" s="2">
        <f>I557*J557</f>
        <v/>
      </c>
      <c r="L557" t="inlineStr">
        <is>
          <t>2 trục dài 460mm</t>
        </is>
      </c>
    </row>
    <row r="558">
      <c r="A558" t="inlineStr">
        <is>
          <t>SW-DAMPER-139-BEARING</t>
        </is>
      </c>
      <c r="B558" t="inlineStr">
        <is>
          <t>SW-DAMPER-139</t>
        </is>
      </c>
      <c r="C558" t="inlineStr">
        <is>
          <t>Bạc đồng D10</t>
        </is>
      </c>
      <c r="D558" t="inlineStr">
        <is>
          <t>PHỤ_KIỆN_VAN</t>
        </is>
      </c>
      <c r="E558" t="inlineStr">
        <is>
          <t>MAT-DAMPER-BAC-DONG-D10</t>
        </is>
      </c>
      <c r="F558" t="inlineStr">
        <is>
          <t>Đôi</t>
        </is>
      </c>
      <c r="G558" s="4" t="n">
        <v>2</v>
      </c>
      <c r="H558" s="2">
        <f>XLOOKUP(B558, '00_TONG_HOP_BAO_GIA'!B:B, '00_TONG_HOP_BAO_GIA'!G:G, 1)</f>
        <v/>
      </c>
      <c r="I558" s="5">
        <f>G558*H558</f>
        <v/>
      </c>
      <c r="J558" s="2">
        <f>XLOOKUP(E558, '06_BANG_GIA_VAT_TU_AP_DUNG'!B:B, '06_BANG_GIA_VAT_TU_AP_DUNG'!C:C, "LỖI_MÃ_VT")</f>
        <v/>
      </c>
      <c r="K558" s="2">
        <f>I558*J558</f>
        <v/>
      </c>
      <c r="L558" t="inlineStr">
        <is>
          <t>2 đôi bạc đỡ 2 bên thân</t>
        </is>
      </c>
    </row>
    <row r="559">
      <c r="A559" t="inlineStr">
        <is>
          <t>SW-DAMPER-139-GEAR</t>
        </is>
      </c>
      <c r="B559" t="inlineStr">
        <is>
          <t>SW-DAMPER-139</t>
        </is>
      </c>
      <c r="C559" t="inlineStr">
        <is>
          <t>Bánh răng van nhôm</t>
        </is>
      </c>
      <c r="D559" t="inlineStr">
        <is>
          <t>PHỤ_KIỆN_VAN</t>
        </is>
      </c>
      <c r="E559" t="inlineStr">
        <is>
          <t>MAT-DAMPER-BANH-RANG-VAN-NHOM</t>
        </is>
      </c>
      <c r="F559" t="inlineStr">
        <is>
          <t>Bộ</t>
        </is>
      </c>
      <c r="G559" s="4" t="n">
        <v>1</v>
      </c>
      <c r="H559" s="2">
        <f>XLOOKUP(B559, '00_TONG_HOP_BAO_GIA'!B:B, '00_TONG_HOP_BAO_GIA'!G:G, 1)</f>
        <v/>
      </c>
      <c r="I559" s="5">
        <f>G559*H559</f>
        <v/>
      </c>
      <c r="J559" s="2">
        <f>XLOOKUP(E559, '06_BANG_GIA_VAT_TU_AP_DUNG'!B:B, '06_BANG_GIA_VAT_TU_AP_DUNG'!C:C, "LỖI_MÃ_VT")</f>
        <v/>
      </c>
      <c r="K559" s="2">
        <f>I559*J559</f>
        <v/>
      </c>
      <c r="L559" t="inlineStr">
        <is>
          <t>Cơ cấu liên động bánh răng van</t>
        </is>
      </c>
    </row>
    <row r="560">
      <c r="A560" t="inlineStr">
        <is>
          <t>SW-DAMPER-139-FUSE</t>
        </is>
      </c>
      <c r="B560" t="inlineStr">
        <is>
          <t>SW-DAMPER-139</t>
        </is>
      </c>
      <c r="C560" t="inlineStr">
        <is>
          <t>Cầu chì nhiệt nóng chảy 70°C (Elsie/USA)</t>
        </is>
      </c>
      <c r="D560" t="inlineStr">
        <is>
          <t>PHỤ_KIỆN_VAN</t>
        </is>
      </c>
      <c r="E560" t="inlineStr">
        <is>
          <t>MAT-DAMPER-CAU-CHI-USA-2-400X400</t>
        </is>
      </c>
      <c r="F560" t="inlineStr">
        <is>
          <t>Cái</t>
        </is>
      </c>
      <c r="G560" s="4" t="n">
        <v>1</v>
      </c>
      <c r="H560" s="2">
        <f>XLOOKUP(B560, '00_TONG_HOP_BAO_GIA'!B:B, '00_TONG_HOP_BAO_GIA'!G:G, 1)</f>
        <v/>
      </c>
      <c r="I560" s="5">
        <f>G560*H560</f>
        <v/>
      </c>
      <c r="J560" s="2">
        <f>XLOOKUP(E560, '06_BANG_GIA_VAT_TU_AP_DUNG'!B:B, '06_BANG_GIA_VAT_TU_AP_DUNG'!C:C, "LỖI_MÃ_VT")</f>
        <v/>
      </c>
      <c r="K560" s="2">
        <f>I560*J560</f>
        <v/>
      </c>
      <c r="L560" t="inlineStr">
        <is>
          <t>Cầu chì kiểm định PCCC</t>
        </is>
      </c>
    </row>
    <row r="561">
      <c r="A561" t="inlineStr">
        <is>
          <t>SW-DAMPER-140-BODY</t>
        </is>
      </c>
      <c r="B561" t="inlineStr">
        <is>
          <t>SW-DAMPER-140</t>
        </is>
      </c>
      <c r="C561" t="inlineStr">
        <is>
          <t>Thân vỏ van FD bích TDF (0.75mm)</t>
        </is>
      </c>
      <c r="D561" t="inlineStr">
        <is>
          <t>TÔN_CUỘN_MẠ_KẼM</t>
        </is>
      </c>
      <c r="E561" t="inlineStr">
        <is>
          <t>MAT-STEEL-PN-0.75</t>
        </is>
      </c>
      <c r="F561" t="inlineStr">
        <is>
          <t>kg</t>
        </is>
      </c>
      <c r="G561" s="4" t="n">
        <v>3.244247999999999</v>
      </c>
      <c r="H561" s="2">
        <f>XLOOKUP(B561, '00_TONG_HOP_BAO_GIA'!B:B, '00_TONG_HOP_BAO_GIA'!G:G, 1)</f>
        <v/>
      </c>
      <c r="I561" s="5">
        <f>G561*H561</f>
        <v/>
      </c>
      <c r="J561" s="2">
        <f>XLOOKUP(E561, '06_BANG_GIA_VAT_TU_AP_DUNG'!B:B, '06_BANG_GIA_VAT_TU_AP_DUNG'!C:C, "LỖI_MÃ_VT")</f>
        <v/>
      </c>
      <c r="K561" s="2">
        <f>I561*J561</f>
        <v/>
      </c>
      <c r="L561" t="inlineStr">
        <is>
          <t>Kích thước vỏ 450.0x350.0x250mm</t>
        </is>
      </c>
    </row>
    <row r="562">
      <c r="A562" t="inlineStr">
        <is>
          <t>SW-DAMPER-140-BLADE</t>
        </is>
      </c>
      <c r="B562" t="inlineStr">
        <is>
          <t>SW-DAMPER-140</t>
        </is>
      </c>
      <c r="C562" t="inlineStr">
        <is>
          <t>Lá cánh van (2 cánh overlap)</t>
        </is>
      </c>
      <c r="D562" t="inlineStr">
        <is>
          <t>TÔN_CUỘN_MẠ_KẼM</t>
        </is>
      </c>
      <c r="E562" t="inlineStr">
        <is>
          <t>MAT-STEEL-PN-0.75</t>
        </is>
      </c>
      <c r="F562" t="inlineStr">
        <is>
          <t>kg</t>
        </is>
      </c>
      <c r="G562" s="4" t="n">
        <v>1.11591675</v>
      </c>
      <c r="H562" s="2">
        <f>XLOOKUP(B562, '00_TONG_HOP_BAO_GIA'!B:B, '00_TONG_HOP_BAO_GIA'!G:G, 1)</f>
        <v/>
      </c>
      <c r="I562" s="5">
        <f>G562*H562</f>
        <v/>
      </c>
      <c r="J562" s="2">
        <f>XLOOKUP(E562, '06_BANG_GIA_VAT_TU_AP_DUNG'!B:B, '06_BANG_GIA_VAT_TU_AP_DUNG'!C:C, "LỖI_MÃ_VT")</f>
        <v/>
      </c>
      <c r="K562" s="2">
        <f>I562*J562</f>
        <v/>
      </c>
      <c r="L562" t="inlineStr">
        <is>
          <t>2 cánh cao 195mm</t>
        </is>
      </c>
    </row>
    <row r="563">
      <c r="A563" t="inlineStr">
        <is>
          <t>SW-DAMPER-140-AXLE</t>
        </is>
      </c>
      <c r="B563" t="inlineStr">
        <is>
          <t>SW-DAMPER-140</t>
        </is>
      </c>
      <c r="C563" t="inlineStr">
        <is>
          <t>Trục Sus 201 D10</t>
        </is>
      </c>
      <c r="D563" t="inlineStr">
        <is>
          <t>PHỤ_KIỆN_VAN</t>
        </is>
      </c>
      <c r="E563" t="inlineStr">
        <is>
          <t>MAT-DAMPER-TRUC-SUS-201-D10</t>
        </is>
      </c>
      <c r="F563" t="inlineStr">
        <is>
          <t>m</t>
        </is>
      </c>
      <c r="G563" s="4" t="n">
        <v>1.02</v>
      </c>
      <c r="H563" s="2">
        <f>XLOOKUP(B563, '00_TONG_HOP_BAO_GIA'!B:B, '00_TONG_HOP_BAO_GIA'!G:G, 1)</f>
        <v/>
      </c>
      <c r="I563" s="5">
        <f>G563*H563</f>
        <v/>
      </c>
      <c r="J563" s="2">
        <f>XLOOKUP(E563, '06_BANG_GIA_VAT_TU_AP_DUNG'!B:B, '06_BANG_GIA_VAT_TU_AP_DUNG'!C:C, "LỖI_MÃ_VT")</f>
        <v/>
      </c>
      <c r="K563" s="2">
        <f>I563*J563</f>
        <v/>
      </c>
      <c r="L563" t="inlineStr">
        <is>
          <t>2 trục dài 510mm</t>
        </is>
      </c>
    </row>
    <row r="564">
      <c r="A564" t="inlineStr">
        <is>
          <t>SW-DAMPER-140-BEARING</t>
        </is>
      </c>
      <c r="B564" t="inlineStr">
        <is>
          <t>SW-DAMPER-140</t>
        </is>
      </c>
      <c r="C564" t="inlineStr">
        <is>
          <t>Bạc đồng D10</t>
        </is>
      </c>
      <c r="D564" t="inlineStr">
        <is>
          <t>PHỤ_KIỆN_VAN</t>
        </is>
      </c>
      <c r="E564" t="inlineStr">
        <is>
          <t>MAT-DAMPER-BAC-DONG-D10</t>
        </is>
      </c>
      <c r="F564" t="inlineStr">
        <is>
          <t>Đôi</t>
        </is>
      </c>
      <c r="G564" s="4" t="n">
        <v>2</v>
      </c>
      <c r="H564" s="2">
        <f>XLOOKUP(B564, '00_TONG_HOP_BAO_GIA'!B:B, '00_TONG_HOP_BAO_GIA'!G:G, 1)</f>
        <v/>
      </c>
      <c r="I564" s="5">
        <f>G564*H564</f>
        <v/>
      </c>
      <c r="J564" s="2">
        <f>XLOOKUP(E564, '06_BANG_GIA_VAT_TU_AP_DUNG'!B:B, '06_BANG_GIA_VAT_TU_AP_DUNG'!C:C, "LỖI_MÃ_VT")</f>
        <v/>
      </c>
      <c r="K564" s="2">
        <f>I564*J564</f>
        <v/>
      </c>
      <c r="L564" t="inlineStr">
        <is>
          <t>2 đôi bạc đỡ 2 bên thân</t>
        </is>
      </c>
    </row>
    <row r="565">
      <c r="A565" t="inlineStr">
        <is>
          <t>SW-DAMPER-140-GEAR</t>
        </is>
      </c>
      <c r="B565" t="inlineStr">
        <is>
          <t>SW-DAMPER-140</t>
        </is>
      </c>
      <c r="C565" t="inlineStr">
        <is>
          <t>Bánh răng van nhôm</t>
        </is>
      </c>
      <c r="D565" t="inlineStr">
        <is>
          <t>PHỤ_KIỆN_VAN</t>
        </is>
      </c>
      <c r="E565" t="inlineStr">
        <is>
          <t>MAT-DAMPER-BANH-RANG-VAN-NHOM</t>
        </is>
      </c>
      <c r="F565" t="inlineStr">
        <is>
          <t>Bộ</t>
        </is>
      </c>
      <c r="G565" s="4" t="n">
        <v>1</v>
      </c>
      <c r="H565" s="2">
        <f>XLOOKUP(B565, '00_TONG_HOP_BAO_GIA'!B:B, '00_TONG_HOP_BAO_GIA'!G:G, 1)</f>
        <v/>
      </c>
      <c r="I565" s="5">
        <f>G565*H565</f>
        <v/>
      </c>
      <c r="J565" s="2">
        <f>XLOOKUP(E565, '06_BANG_GIA_VAT_TU_AP_DUNG'!B:B, '06_BANG_GIA_VAT_TU_AP_DUNG'!C:C, "LỖI_MÃ_VT")</f>
        <v/>
      </c>
      <c r="K565" s="2">
        <f>I565*J565</f>
        <v/>
      </c>
      <c r="L565" t="inlineStr">
        <is>
          <t>Cơ cấu liên động bánh răng van</t>
        </is>
      </c>
    </row>
    <row r="566">
      <c r="A566" t="inlineStr">
        <is>
          <t>SW-DAMPER-140-FUSE</t>
        </is>
      </c>
      <c r="B566" t="inlineStr">
        <is>
          <t>SW-DAMPER-140</t>
        </is>
      </c>
      <c r="C566" t="inlineStr">
        <is>
          <t>Cầu chì nhiệt nóng chảy 70°C (Elsie/USA)</t>
        </is>
      </c>
      <c r="D566" t="inlineStr">
        <is>
          <t>PHỤ_KIỆN_VAN</t>
        </is>
      </c>
      <c r="E566" t="inlineStr">
        <is>
          <t>MAT-DAMPER-CAU-CHI-USA-2-400X400</t>
        </is>
      </c>
      <c r="F566" t="inlineStr">
        <is>
          <t>Cái</t>
        </is>
      </c>
      <c r="G566" s="4" t="n">
        <v>1</v>
      </c>
      <c r="H566" s="2">
        <f>XLOOKUP(B566, '00_TONG_HOP_BAO_GIA'!B:B, '00_TONG_HOP_BAO_GIA'!G:G, 1)</f>
        <v/>
      </c>
      <c r="I566" s="5">
        <f>G566*H566</f>
        <v/>
      </c>
      <c r="J566" s="2">
        <f>XLOOKUP(E566, '06_BANG_GIA_VAT_TU_AP_DUNG'!B:B, '06_BANG_GIA_VAT_TU_AP_DUNG'!C:C, "LỖI_MÃ_VT")</f>
        <v/>
      </c>
      <c r="K566" s="2">
        <f>I566*J566</f>
        <v/>
      </c>
      <c r="L566" t="inlineStr">
        <is>
          <t>Cầu chì kiểm định PCCC</t>
        </is>
      </c>
    </row>
    <row r="567">
      <c r="A567" t="inlineStr">
        <is>
          <t>SW-DAMPER-141-BODY</t>
        </is>
      </c>
      <c r="B567" t="inlineStr">
        <is>
          <t>SW-DAMPER-141</t>
        </is>
      </c>
      <c r="C567" t="inlineStr">
        <is>
          <t>Thân vỏ van FD bích TDF (0.75mm)</t>
        </is>
      </c>
      <c r="D567" t="inlineStr">
        <is>
          <t>TÔN_CUỘN_MẠ_KẼM</t>
        </is>
      </c>
      <c r="E567" t="inlineStr">
        <is>
          <t>MAT-STEEL-PN-0.75</t>
        </is>
      </c>
      <c r="F567" t="inlineStr">
        <is>
          <t>kg</t>
        </is>
      </c>
      <c r="G567" s="4" t="n">
        <v>3.046428</v>
      </c>
      <c r="H567" s="2">
        <f>XLOOKUP(B567, '00_TONG_HOP_BAO_GIA'!B:B, '00_TONG_HOP_BAO_GIA'!G:G, 1)</f>
        <v/>
      </c>
      <c r="I567" s="5">
        <f>G567*H567</f>
        <v/>
      </c>
      <c r="J567" s="2">
        <f>XLOOKUP(E567, '06_BANG_GIA_VAT_TU_AP_DUNG'!B:B, '06_BANG_GIA_VAT_TU_AP_DUNG'!C:C, "LỖI_MÃ_VT")</f>
        <v/>
      </c>
      <c r="K567" s="2">
        <f>I567*J567</f>
        <v/>
      </c>
      <c r="L567" t="inlineStr">
        <is>
          <t>Kích thước vỏ 500.0x250.0x250mm</t>
        </is>
      </c>
    </row>
    <row r="568">
      <c r="A568" t="inlineStr">
        <is>
          <t>SW-DAMPER-141-BLADE</t>
        </is>
      </c>
      <c r="B568" t="inlineStr">
        <is>
          <t>SW-DAMPER-141</t>
        </is>
      </c>
      <c r="C568" t="inlineStr">
        <is>
          <t>Lá cánh van (2 cánh overlap)</t>
        </is>
      </c>
      <c r="D568" t="inlineStr">
        <is>
          <t>TÔN_CUỘN_MẠ_KẼM</t>
        </is>
      </c>
      <c r="E568" t="inlineStr">
        <is>
          <t>MAT-STEEL-PN-0.75</t>
        </is>
      </c>
      <c r="F568" t="inlineStr">
        <is>
          <t>kg</t>
        </is>
      </c>
      <c r="G568" s="4" t="n">
        <v>0.9219824999999998</v>
      </c>
      <c r="H568" s="2">
        <f>XLOOKUP(B568, '00_TONG_HOP_BAO_GIA'!B:B, '00_TONG_HOP_BAO_GIA'!G:G, 1)</f>
        <v/>
      </c>
      <c r="I568" s="5">
        <f>G568*H568</f>
        <v/>
      </c>
      <c r="J568" s="2">
        <f>XLOOKUP(E568, '06_BANG_GIA_VAT_TU_AP_DUNG'!B:B, '06_BANG_GIA_VAT_TU_AP_DUNG'!C:C, "LỖI_MÃ_VT")</f>
        <v/>
      </c>
      <c r="K568" s="2">
        <f>I568*J568</f>
        <v/>
      </c>
      <c r="L568" t="inlineStr">
        <is>
          <t>2 cánh cao 145mm</t>
        </is>
      </c>
    </row>
    <row r="569">
      <c r="A569" t="inlineStr">
        <is>
          <t>SW-DAMPER-141-AXLE</t>
        </is>
      </c>
      <c r="B569" t="inlineStr">
        <is>
          <t>SW-DAMPER-141</t>
        </is>
      </c>
      <c r="C569" t="inlineStr">
        <is>
          <t>Trục Sus 201 D10</t>
        </is>
      </c>
      <c r="D569" t="inlineStr">
        <is>
          <t>PHỤ_KIỆN_VAN</t>
        </is>
      </c>
      <c r="E569" t="inlineStr">
        <is>
          <t>MAT-DAMPER-TRUC-SUS-201-D10</t>
        </is>
      </c>
      <c r="F569" t="inlineStr">
        <is>
          <t>m</t>
        </is>
      </c>
      <c r="G569" s="4" t="n">
        <v>1.12</v>
      </c>
      <c r="H569" s="2">
        <f>XLOOKUP(B569, '00_TONG_HOP_BAO_GIA'!B:B, '00_TONG_HOP_BAO_GIA'!G:G, 1)</f>
        <v/>
      </c>
      <c r="I569" s="5">
        <f>G569*H569</f>
        <v/>
      </c>
      <c r="J569" s="2">
        <f>XLOOKUP(E569, '06_BANG_GIA_VAT_TU_AP_DUNG'!B:B, '06_BANG_GIA_VAT_TU_AP_DUNG'!C:C, "LỖI_MÃ_VT")</f>
        <v/>
      </c>
      <c r="K569" s="2">
        <f>I569*J569</f>
        <v/>
      </c>
      <c r="L569" t="inlineStr">
        <is>
          <t>2 trục dài 560mm</t>
        </is>
      </c>
    </row>
    <row r="570">
      <c r="A570" t="inlineStr">
        <is>
          <t>SW-DAMPER-141-BEARING</t>
        </is>
      </c>
      <c r="B570" t="inlineStr">
        <is>
          <t>SW-DAMPER-141</t>
        </is>
      </c>
      <c r="C570" t="inlineStr">
        <is>
          <t>Bạc đồng D10</t>
        </is>
      </c>
      <c r="D570" t="inlineStr">
        <is>
          <t>PHỤ_KIỆN_VAN</t>
        </is>
      </c>
      <c r="E570" t="inlineStr">
        <is>
          <t>MAT-DAMPER-BAC-DONG-D10</t>
        </is>
      </c>
      <c r="F570" t="inlineStr">
        <is>
          <t>Đôi</t>
        </is>
      </c>
      <c r="G570" s="4" t="n">
        <v>2</v>
      </c>
      <c r="H570" s="2">
        <f>XLOOKUP(B570, '00_TONG_HOP_BAO_GIA'!B:B, '00_TONG_HOP_BAO_GIA'!G:G, 1)</f>
        <v/>
      </c>
      <c r="I570" s="5">
        <f>G570*H570</f>
        <v/>
      </c>
      <c r="J570" s="2">
        <f>XLOOKUP(E570, '06_BANG_GIA_VAT_TU_AP_DUNG'!B:B, '06_BANG_GIA_VAT_TU_AP_DUNG'!C:C, "LỖI_MÃ_VT")</f>
        <v/>
      </c>
      <c r="K570" s="2">
        <f>I570*J570</f>
        <v/>
      </c>
      <c r="L570" t="inlineStr">
        <is>
          <t>2 đôi bạc đỡ 2 bên thân</t>
        </is>
      </c>
    </row>
    <row r="571">
      <c r="A571" t="inlineStr">
        <is>
          <t>SW-DAMPER-141-GEAR</t>
        </is>
      </c>
      <c r="B571" t="inlineStr">
        <is>
          <t>SW-DAMPER-141</t>
        </is>
      </c>
      <c r="C571" t="inlineStr">
        <is>
          <t>Bánh răng van nhôm</t>
        </is>
      </c>
      <c r="D571" t="inlineStr">
        <is>
          <t>PHỤ_KIỆN_VAN</t>
        </is>
      </c>
      <c r="E571" t="inlineStr">
        <is>
          <t>MAT-DAMPER-BANH-RANG-VAN-NHOM</t>
        </is>
      </c>
      <c r="F571" t="inlineStr">
        <is>
          <t>Bộ</t>
        </is>
      </c>
      <c r="G571" s="4" t="n">
        <v>1</v>
      </c>
      <c r="H571" s="2">
        <f>XLOOKUP(B571, '00_TONG_HOP_BAO_GIA'!B:B, '00_TONG_HOP_BAO_GIA'!G:G, 1)</f>
        <v/>
      </c>
      <c r="I571" s="5">
        <f>G571*H571</f>
        <v/>
      </c>
      <c r="J571" s="2">
        <f>XLOOKUP(E571, '06_BANG_GIA_VAT_TU_AP_DUNG'!B:B, '06_BANG_GIA_VAT_TU_AP_DUNG'!C:C, "LỖI_MÃ_VT")</f>
        <v/>
      </c>
      <c r="K571" s="2">
        <f>I571*J571</f>
        <v/>
      </c>
      <c r="L571" t="inlineStr">
        <is>
          <t>Cơ cấu liên động bánh răng van</t>
        </is>
      </c>
    </row>
    <row r="572">
      <c r="A572" t="inlineStr">
        <is>
          <t>SW-DAMPER-141-FUSE</t>
        </is>
      </c>
      <c r="B572" t="inlineStr">
        <is>
          <t>SW-DAMPER-141</t>
        </is>
      </c>
      <c r="C572" t="inlineStr">
        <is>
          <t>Cầu chì nhiệt nóng chảy 70°C (Elsie/USA)</t>
        </is>
      </c>
      <c r="D572" t="inlineStr">
        <is>
          <t>PHỤ_KIỆN_VAN</t>
        </is>
      </c>
      <c r="E572" t="inlineStr">
        <is>
          <t>MAT-DAMPER-CAU-CHI-USA-2-400X400</t>
        </is>
      </c>
      <c r="F572" t="inlineStr">
        <is>
          <t>Cái</t>
        </is>
      </c>
      <c r="G572" s="4" t="n">
        <v>1</v>
      </c>
      <c r="H572" s="2">
        <f>XLOOKUP(B572, '00_TONG_HOP_BAO_GIA'!B:B, '00_TONG_HOP_BAO_GIA'!G:G, 1)</f>
        <v/>
      </c>
      <c r="I572" s="5">
        <f>G572*H572</f>
        <v/>
      </c>
      <c r="J572" s="2">
        <f>XLOOKUP(E572, '06_BANG_GIA_VAT_TU_AP_DUNG'!B:B, '06_BANG_GIA_VAT_TU_AP_DUNG'!C:C, "LỖI_MÃ_VT")</f>
        <v/>
      </c>
      <c r="K572" s="2">
        <f>I572*J572</f>
        <v/>
      </c>
      <c r="L572" t="inlineStr">
        <is>
          <t>Cầu chì kiểm định PCCC</t>
        </is>
      </c>
    </row>
    <row r="573">
      <c r="A573" t="inlineStr">
        <is>
          <t>SW-DAMPER-142-BODY</t>
        </is>
      </c>
      <c r="B573" t="inlineStr">
        <is>
          <t>SW-DAMPER-142</t>
        </is>
      </c>
      <c r="C573" t="inlineStr">
        <is>
          <t>Thân vỏ van FD bích TDF (0.75mm)</t>
        </is>
      </c>
      <c r="D573" t="inlineStr">
        <is>
          <t>TÔN_CUỘN_MẠ_KẼM</t>
        </is>
      </c>
      <c r="E573" t="inlineStr">
        <is>
          <t>MAT-STEEL-PN-0.75</t>
        </is>
      </c>
      <c r="F573" t="inlineStr">
        <is>
          <t>kg</t>
        </is>
      </c>
      <c r="G573" s="4" t="n">
        <v>3.244247999999999</v>
      </c>
      <c r="H573" s="2">
        <f>XLOOKUP(B573, '00_TONG_HOP_BAO_GIA'!B:B, '00_TONG_HOP_BAO_GIA'!G:G, 1)</f>
        <v/>
      </c>
      <c r="I573" s="5">
        <f>G573*H573</f>
        <v/>
      </c>
      <c r="J573" s="2">
        <f>XLOOKUP(E573, '06_BANG_GIA_VAT_TU_AP_DUNG'!B:B, '06_BANG_GIA_VAT_TU_AP_DUNG'!C:C, "LỖI_MÃ_VT")</f>
        <v/>
      </c>
      <c r="K573" s="2">
        <f>I573*J573</f>
        <v/>
      </c>
      <c r="L573" t="inlineStr">
        <is>
          <t>Kích thước vỏ 500.0x300.0x250mm</t>
        </is>
      </c>
    </row>
    <row r="574">
      <c r="A574" t="inlineStr">
        <is>
          <t>SW-DAMPER-142-BLADE</t>
        </is>
      </c>
      <c r="B574" t="inlineStr">
        <is>
          <t>SW-DAMPER-142</t>
        </is>
      </c>
      <c r="C574" t="inlineStr">
        <is>
          <t>Lá cánh van (2 cánh overlap)</t>
        </is>
      </c>
      <c r="D574" t="inlineStr">
        <is>
          <t>TÔN_CUỘN_MẠ_KẼM</t>
        </is>
      </c>
      <c r="E574" t="inlineStr">
        <is>
          <t>MAT-STEEL-PN-0.75</t>
        </is>
      </c>
      <c r="F574" t="inlineStr">
        <is>
          <t>kg</t>
        </is>
      </c>
      <c r="G574" s="4" t="n">
        <v>1.080945</v>
      </c>
      <c r="H574" s="2">
        <f>XLOOKUP(B574, '00_TONG_HOP_BAO_GIA'!B:B, '00_TONG_HOP_BAO_GIA'!G:G, 1)</f>
        <v/>
      </c>
      <c r="I574" s="5">
        <f>G574*H574</f>
        <v/>
      </c>
      <c r="J574" s="2">
        <f>XLOOKUP(E574, '06_BANG_GIA_VAT_TU_AP_DUNG'!B:B, '06_BANG_GIA_VAT_TU_AP_DUNG'!C:C, "LỖI_MÃ_VT")</f>
        <v/>
      </c>
      <c r="K574" s="2">
        <f>I574*J574</f>
        <v/>
      </c>
      <c r="L574" t="inlineStr">
        <is>
          <t>2 cánh cao 170mm</t>
        </is>
      </c>
    </row>
    <row r="575">
      <c r="A575" t="inlineStr">
        <is>
          <t>SW-DAMPER-142-AXLE</t>
        </is>
      </c>
      <c r="B575" t="inlineStr">
        <is>
          <t>SW-DAMPER-142</t>
        </is>
      </c>
      <c r="C575" t="inlineStr">
        <is>
          <t>Trục Sus 201 D10</t>
        </is>
      </c>
      <c r="D575" t="inlineStr">
        <is>
          <t>PHỤ_KIỆN_VAN</t>
        </is>
      </c>
      <c r="E575" t="inlineStr">
        <is>
          <t>MAT-DAMPER-TRUC-SUS-201-D10</t>
        </is>
      </c>
      <c r="F575" t="inlineStr">
        <is>
          <t>m</t>
        </is>
      </c>
      <c r="G575" s="4" t="n">
        <v>1.12</v>
      </c>
      <c r="H575" s="2">
        <f>XLOOKUP(B575, '00_TONG_HOP_BAO_GIA'!B:B, '00_TONG_HOP_BAO_GIA'!G:G, 1)</f>
        <v/>
      </c>
      <c r="I575" s="5">
        <f>G575*H575</f>
        <v/>
      </c>
      <c r="J575" s="2">
        <f>XLOOKUP(E575, '06_BANG_GIA_VAT_TU_AP_DUNG'!B:B, '06_BANG_GIA_VAT_TU_AP_DUNG'!C:C, "LỖI_MÃ_VT")</f>
        <v/>
      </c>
      <c r="K575" s="2">
        <f>I575*J575</f>
        <v/>
      </c>
      <c r="L575" t="inlineStr">
        <is>
          <t>2 trục dài 560mm</t>
        </is>
      </c>
    </row>
    <row r="576">
      <c r="A576" t="inlineStr">
        <is>
          <t>SW-DAMPER-142-BEARING</t>
        </is>
      </c>
      <c r="B576" t="inlineStr">
        <is>
          <t>SW-DAMPER-142</t>
        </is>
      </c>
      <c r="C576" t="inlineStr">
        <is>
          <t>Bạc đồng D10</t>
        </is>
      </c>
      <c r="D576" t="inlineStr">
        <is>
          <t>PHỤ_KIỆN_VAN</t>
        </is>
      </c>
      <c r="E576" t="inlineStr">
        <is>
          <t>MAT-DAMPER-BAC-DONG-D10</t>
        </is>
      </c>
      <c r="F576" t="inlineStr">
        <is>
          <t>Đôi</t>
        </is>
      </c>
      <c r="G576" s="4" t="n">
        <v>2</v>
      </c>
      <c r="H576" s="2">
        <f>XLOOKUP(B576, '00_TONG_HOP_BAO_GIA'!B:B, '00_TONG_HOP_BAO_GIA'!G:G, 1)</f>
        <v/>
      </c>
      <c r="I576" s="5">
        <f>G576*H576</f>
        <v/>
      </c>
      <c r="J576" s="2">
        <f>XLOOKUP(E576, '06_BANG_GIA_VAT_TU_AP_DUNG'!B:B, '06_BANG_GIA_VAT_TU_AP_DUNG'!C:C, "LỖI_MÃ_VT")</f>
        <v/>
      </c>
      <c r="K576" s="2">
        <f>I576*J576</f>
        <v/>
      </c>
      <c r="L576" t="inlineStr">
        <is>
          <t>2 đôi bạc đỡ 2 bên thân</t>
        </is>
      </c>
    </row>
    <row r="577">
      <c r="A577" t="inlineStr">
        <is>
          <t>SW-DAMPER-142-GEAR</t>
        </is>
      </c>
      <c r="B577" t="inlineStr">
        <is>
          <t>SW-DAMPER-142</t>
        </is>
      </c>
      <c r="C577" t="inlineStr">
        <is>
          <t>Bánh răng van nhôm</t>
        </is>
      </c>
      <c r="D577" t="inlineStr">
        <is>
          <t>PHỤ_KIỆN_VAN</t>
        </is>
      </c>
      <c r="E577" t="inlineStr">
        <is>
          <t>MAT-DAMPER-BANH-RANG-VAN-NHOM</t>
        </is>
      </c>
      <c r="F577" t="inlineStr">
        <is>
          <t>Bộ</t>
        </is>
      </c>
      <c r="G577" s="4" t="n">
        <v>1</v>
      </c>
      <c r="H577" s="2">
        <f>XLOOKUP(B577, '00_TONG_HOP_BAO_GIA'!B:B, '00_TONG_HOP_BAO_GIA'!G:G, 1)</f>
        <v/>
      </c>
      <c r="I577" s="5">
        <f>G577*H577</f>
        <v/>
      </c>
      <c r="J577" s="2">
        <f>XLOOKUP(E577, '06_BANG_GIA_VAT_TU_AP_DUNG'!B:B, '06_BANG_GIA_VAT_TU_AP_DUNG'!C:C, "LỖI_MÃ_VT")</f>
        <v/>
      </c>
      <c r="K577" s="2">
        <f>I577*J577</f>
        <v/>
      </c>
      <c r="L577" t="inlineStr">
        <is>
          <t>Cơ cấu liên động bánh răng van</t>
        </is>
      </c>
    </row>
    <row r="578">
      <c r="A578" t="inlineStr">
        <is>
          <t>SW-DAMPER-142-FUSE</t>
        </is>
      </c>
      <c r="B578" t="inlineStr">
        <is>
          <t>SW-DAMPER-142</t>
        </is>
      </c>
      <c r="C578" t="inlineStr">
        <is>
          <t>Cầu chì nhiệt nóng chảy 70°C (Elsie/USA)</t>
        </is>
      </c>
      <c r="D578" t="inlineStr">
        <is>
          <t>PHỤ_KIỆN_VAN</t>
        </is>
      </c>
      <c r="E578" t="inlineStr">
        <is>
          <t>MAT-DAMPER-CAU-CHI-USA-2-400X400</t>
        </is>
      </c>
      <c r="F578" t="inlineStr">
        <is>
          <t>Cái</t>
        </is>
      </c>
      <c r="G578" s="4" t="n">
        <v>1</v>
      </c>
      <c r="H578" s="2">
        <f>XLOOKUP(B578, '00_TONG_HOP_BAO_GIA'!B:B, '00_TONG_HOP_BAO_GIA'!G:G, 1)</f>
        <v/>
      </c>
      <c r="I578" s="5">
        <f>G578*H578</f>
        <v/>
      </c>
      <c r="J578" s="2">
        <f>XLOOKUP(E578, '06_BANG_GIA_VAT_TU_AP_DUNG'!B:B, '06_BANG_GIA_VAT_TU_AP_DUNG'!C:C, "LỖI_MÃ_VT")</f>
        <v/>
      </c>
      <c r="K578" s="2">
        <f>I578*J578</f>
        <v/>
      </c>
      <c r="L578" t="inlineStr">
        <is>
          <t>Cầu chì kiểm định PCCC</t>
        </is>
      </c>
    </row>
    <row r="579">
      <c r="A579" t="inlineStr">
        <is>
          <t>SW-DAMPER-143-BODY</t>
        </is>
      </c>
      <c r="B579" t="inlineStr">
        <is>
          <t>SW-DAMPER-143</t>
        </is>
      </c>
      <c r="C579" t="inlineStr">
        <is>
          <t>Thân vỏ van FD bích TDF (0.75mm)</t>
        </is>
      </c>
      <c r="D579" t="inlineStr">
        <is>
          <t>TÔN_CUỘN_MẠ_KẼM</t>
        </is>
      </c>
      <c r="E579" t="inlineStr">
        <is>
          <t>MAT-STEEL-PN-0.75</t>
        </is>
      </c>
      <c r="F579" t="inlineStr">
        <is>
          <t>kg</t>
        </is>
      </c>
      <c r="G579" s="4" t="n">
        <v>3.442067999999999</v>
      </c>
      <c r="H579" s="2">
        <f>XLOOKUP(B579, '00_TONG_HOP_BAO_GIA'!B:B, '00_TONG_HOP_BAO_GIA'!G:G, 1)</f>
        <v/>
      </c>
      <c r="I579" s="5">
        <f>G579*H579</f>
        <v/>
      </c>
      <c r="J579" s="2">
        <f>XLOOKUP(E579, '06_BANG_GIA_VAT_TU_AP_DUNG'!B:B, '06_BANG_GIA_VAT_TU_AP_DUNG'!C:C, "LỖI_MÃ_VT")</f>
        <v/>
      </c>
      <c r="K579" s="2">
        <f>I579*J579</f>
        <v/>
      </c>
      <c r="L579" t="inlineStr">
        <is>
          <t>Kích thước vỏ 500.0x350.0x250mm</t>
        </is>
      </c>
    </row>
    <row r="580">
      <c r="A580" t="inlineStr">
        <is>
          <t>SW-DAMPER-143-BLADE</t>
        </is>
      </c>
      <c r="B580" t="inlineStr">
        <is>
          <t>SW-DAMPER-143</t>
        </is>
      </c>
      <c r="C580" t="inlineStr">
        <is>
          <t>Lá cánh van (2 cánh overlap)</t>
        </is>
      </c>
      <c r="D580" t="inlineStr">
        <is>
          <t>TÔN_CUỘN_MẠ_KẼM</t>
        </is>
      </c>
      <c r="E580" t="inlineStr">
        <is>
          <t>MAT-STEEL-PN-0.75</t>
        </is>
      </c>
      <c r="F580" t="inlineStr">
        <is>
          <t>kg</t>
        </is>
      </c>
      <c r="G580" s="4" t="n">
        <v>1.2399075</v>
      </c>
      <c r="H580" s="2">
        <f>XLOOKUP(B580, '00_TONG_HOP_BAO_GIA'!B:B, '00_TONG_HOP_BAO_GIA'!G:G, 1)</f>
        <v/>
      </c>
      <c r="I580" s="5">
        <f>G580*H580</f>
        <v/>
      </c>
      <c r="J580" s="2">
        <f>XLOOKUP(E580, '06_BANG_GIA_VAT_TU_AP_DUNG'!B:B, '06_BANG_GIA_VAT_TU_AP_DUNG'!C:C, "LỖI_MÃ_VT")</f>
        <v/>
      </c>
      <c r="K580" s="2">
        <f>I580*J580</f>
        <v/>
      </c>
      <c r="L580" t="inlineStr">
        <is>
          <t>2 cánh cao 195mm</t>
        </is>
      </c>
    </row>
    <row r="581">
      <c r="A581" t="inlineStr">
        <is>
          <t>SW-DAMPER-143-AXLE</t>
        </is>
      </c>
      <c r="B581" t="inlineStr">
        <is>
          <t>SW-DAMPER-143</t>
        </is>
      </c>
      <c r="C581" t="inlineStr">
        <is>
          <t>Trục Sus 201 D10</t>
        </is>
      </c>
      <c r="D581" t="inlineStr">
        <is>
          <t>PHỤ_KIỆN_VAN</t>
        </is>
      </c>
      <c r="E581" t="inlineStr">
        <is>
          <t>MAT-DAMPER-TRUC-SUS-201-D10</t>
        </is>
      </c>
      <c r="F581" t="inlineStr">
        <is>
          <t>m</t>
        </is>
      </c>
      <c r="G581" s="4" t="n">
        <v>1.12</v>
      </c>
      <c r="H581" s="2">
        <f>XLOOKUP(B581, '00_TONG_HOP_BAO_GIA'!B:B, '00_TONG_HOP_BAO_GIA'!G:G, 1)</f>
        <v/>
      </c>
      <c r="I581" s="5">
        <f>G581*H581</f>
        <v/>
      </c>
      <c r="J581" s="2">
        <f>XLOOKUP(E581, '06_BANG_GIA_VAT_TU_AP_DUNG'!B:B, '06_BANG_GIA_VAT_TU_AP_DUNG'!C:C, "LỖI_MÃ_VT")</f>
        <v/>
      </c>
      <c r="K581" s="2">
        <f>I581*J581</f>
        <v/>
      </c>
      <c r="L581" t="inlineStr">
        <is>
          <t>2 trục dài 560mm</t>
        </is>
      </c>
    </row>
    <row r="582">
      <c r="A582" t="inlineStr">
        <is>
          <t>SW-DAMPER-143-BEARING</t>
        </is>
      </c>
      <c r="B582" t="inlineStr">
        <is>
          <t>SW-DAMPER-143</t>
        </is>
      </c>
      <c r="C582" t="inlineStr">
        <is>
          <t>Bạc đồng D10</t>
        </is>
      </c>
      <c r="D582" t="inlineStr">
        <is>
          <t>PHỤ_KIỆN_VAN</t>
        </is>
      </c>
      <c r="E582" t="inlineStr">
        <is>
          <t>MAT-DAMPER-BAC-DONG-D10</t>
        </is>
      </c>
      <c r="F582" t="inlineStr">
        <is>
          <t>Đôi</t>
        </is>
      </c>
      <c r="G582" s="4" t="n">
        <v>2</v>
      </c>
      <c r="H582" s="2">
        <f>XLOOKUP(B582, '00_TONG_HOP_BAO_GIA'!B:B, '00_TONG_HOP_BAO_GIA'!G:G, 1)</f>
        <v/>
      </c>
      <c r="I582" s="5">
        <f>G582*H582</f>
        <v/>
      </c>
      <c r="J582" s="2">
        <f>XLOOKUP(E582, '06_BANG_GIA_VAT_TU_AP_DUNG'!B:B, '06_BANG_GIA_VAT_TU_AP_DUNG'!C:C, "LỖI_MÃ_VT")</f>
        <v/>
      </c>
      <c r="K582" s="2">
        <f>I582*J582</f>
        <v/>
      </c>
      <c r="L582" t="inlineStr">
        <is>
          <t>2 đôi bạc đỡ 2 bên thân</t>
        </is>
      </c>
    </row>
    <row r="583">
      <c r="A583" t="inlineStr">
        <is>
          <t>SW-DAMPER-143-GEAR</t>
        </is>
      </c>
      <c r="B583" t="inlineStr">
        <is>
          <t>SW-DAMPER-143</t>
        </is>
      </c>
      <c r="C583" t="inlineStr">
        <is>
          <t>Bánh răng van nhôm</t>
        </is>
      </c>
      <c r="D583" t="inlineStr">
        <is>
          <t>PHỤ_KIỆN_VAN</t>
        </is>
      </c>
      <c r="E583" t="inlineStr">
        <is>
          <t>MAT-DAMPER-BANH-RANG-VAN-NHOM</t>
        </is>
      </c>
      <c r="F583" t="inlineStr">
        <is>
          <t>Bộ</t>
        </is>
      </c>
      <c r="G583" s="4" t="n">
        <v>1</v>
      </c>
      <c r="H583" s="2">
        <f>XLOOKUP(B583, '00_TONG_HOP_BAO_GIA'!B:B, '00_TONG_HOP_BAO_GIA'!G:G, 1)</f>
        <v/>
      </c>
      <c r="I583" s="5">
        <f>G583*H583</f>
        <v/>
      </c>
      <c r="J583" s="2">
        <f>XLOOKUP(E583, '06_BANG_GIA_VAT_TU_AP_DUNG'!B:B, '06_BANG_GIA_VAT_TU_AP_DUNG'!C:C, "LỖI_MÃ_VT")</f>
        <v/>
      </c>
      <c r="K583" s="2">
        <f>I583*J583</f>
        <v/>
      </c>
      <c r="L583" t="inlineStr">
        <is>
          <t>Cơ cấu liên động bánh răng van</t>
        </is>
      </c>
    </row>
    <row r="584">
      <c r="A584" t="inlineStr">
        <is>
          <t>SW-DAMPER-143-FUSE</t>
        </is>
      </c>
      <c r="B584" t="inlineStr">
        <is>
          <t>SW-DAMPER-143</t>
        </is>
      </c>
      <c r="C584" t="inlineStr">
        <is>
          <t>Cầu chì nhiệt nóng chảy 70°C (Elsie/USA)</t>
        </is>
      </c>
      <c r="D584" t="inlineStr">
        <is>
          <t>PHỤ_KIỆN_VAN</t>
        </is>
      </c>
      <c r="E584" t="inlineStr">
        <is>
          <t>MAT-DAMPER-CAU-CHI-USA-2-400X400</t>
        </is>
      </c>
      <c r="F584" t="inlineStr">
        <is>
          <t>Cái</t>
        </is>
      </c>
      <c r="G584" s="4" t="n">
        <v>1</v>
      </c>
      <c r="H584" s="2">
        <f>XLOOKUP(B584, '00_TONG_HOP_BAO_GIA'!B:B, '00_TONG_HOP_BAO_GIA'!G:G, 1)</f>
        <v/>
      </c>
      <c r="I584" s="5">
        <f>G584*H584</f>
        <v/>
      </c>
      <c r="J584" s="2">
        <f>XLOOKUP(E584, '06_BANG_GIA_VAT_TU_AP_DUNG'!B:B, '06_BANG_GIA_VAT_TU_AP_DUNG'!C:C, "LỖI_MÃ_VT")</f>
        <v/>
      </c>
      <c r="K584" s="2">
        <f>I584*J584</f>
        <v/>
      </c>
      <c r="L584" t="inlineStr">
        <is>
          <t>Cầu chì kiểm định PCCC</t>
        </is>
      </c>
    </row>
    <row r="585">
      <c r="A585" t="inlineStr">
        <is>
          <t>SW-DAMPER-144-BODY</t>
        </is>
      </c>
      <c r="B585" t="inlineStr">
        <is>
          <t>SW-DAMPER-144</t>
        </is>
      </c>
      <c r="C585" t="inlineStr">
        <is>
          <t>Thân vỏ van FD bích TDF (0.75mm)</t>
        </is>
      </c>
      <c r="D585" t="inlineStr">
        <is>
          <t>TÔN_CUỘN_MẠ_KẼM</t>
        </is>
      </c>
      <c r="E585" t="inlineStr">
        <is>
          <t>MAT-STEEL-PN-0.75</t>
        </is>
      </c>
      <c r="F585" t="inlineStr">
        <is>
          <t>kg</t>
        </is>
      </c>
      <c r="G585" s="4" t="n">
        <v>3.244247999999999</v>
      </c>
      <c r="H585" s="2">
        <f>XLOOKUP(B585, '00_TONG_HOP_BAO_GIA'!B:B, '00_TONG_HOP_BAO_GIA'!G:G, 1)</f>
        <v/>
      </c>
      <c r="I585" s="5">
        <f>G585*H585</f>
        <v/>
      </c>
      <c r="J585" s="2">
        <f>XLOOKUP(E585, '06_BANG_GIA_VAT_TU_AP_DUNG'!B:B, '06_BANG_GIA_VAT_TU_AP_DUNG'!C:C, "LỖI_MÃ_VT")</f>
        <v/>
      </c>
      <c r="K585" s="2">
        <f>I585*J585</f>
        <v/>
      </c>
      <c r="L585" t="inlineStr">
        <is>
          <t>Kích thước vỏ 550.0x250.0x250mm</t>
        </is>
      </c>
    </row>
    <row r="586">
      <c r="A586" t="inlineStr">
        <is>
          <t>SW-DAMPER-144-BLADE</t>
        </is>
      </c>
      <c r="B586" t="inlineStr">
        <is>
          <t>SW-DAMPER-144</t>
        </is>
      </c>
      <c r="C586" t="inlineStr">
        <is>
          <t>Lá cánh van (2 cánh overlap)</t>
        </is>
      </c>
      <c r="D586" t="inlineStr">
        <is>
          <t>TÔN_CUỘN_MẠ_KẼM</t>
        </is>
      </c>
      <c r="E586" t="inlineStr">
        <is>
          <t>MAT-STEEL-PN-0.75</t>
        </is>
      </c>
      <c r="F586" t="inlineStr">
        <is>
          <t>kg</t>
        </is>
      </c>
      <c r="G586" s="4" t="n">
        <v>1.01418075</v>
      </c>
      <c r="H586" s="2">
        <f>XLOOKUP(B586, '00_TONG_HOP_BAO_GIA'!B:B, '00_TONG_HOP_BAO_GIA'!G:G, 1)</f>
        <v/>
      </c>
      <c r="I586" s="5">
        <f>G586*H586</f>
        <v/>
      </c>
      <c r="J586" s="2">
        <f>XLOOKUP(E586, '06_BANG_GIA_VAT_TU_AP_DUNG'!B:B, '06_BANG_GIA_VAT_TU_AP_DUNG'!C:C, "LỖI_MÃ_VT")</f>
        <v/>
      </c>
      <c r="K586" s="2">
        <f>I586*J586</f>
        <v/>
      </c>
      <c r="L586" t="inlineStr">
        <is>
          <t>2 cánh cao 145mm</t>
        </is>
      </c>
    </row>
    <row r="587">
      <c r="A587" t="inlineStr">
        <is>
          <t>SW-DAMPER-144-AXLE</t>
        </is>
      </c>
      <c r="B587" t="inlineStr">
        <is>
          <t>SW-DAMPER-144</t>
        </is>
      </c>
      <c r="C587" t="inlineStr">
        <is>
          <t>Trục Sus 201 D10</t>
        </is>
      </c>
      <c r="D587" t="inlineStr">
        <is>
          <t>PHỤ_KIỆN_VAN</t>
        </is>
      </c>
      <c r="E587" t="inlineStr">
        <is>
          <t>MAT-DAMPER-TRUC-SUS-201-D10</t>
        </is>
      </c>
      <c r="F587" t="inlineStr">
        <is>
          <t>m</t>
        </is>
      </c>
      <c r="G587" s="4" t="n">
        <v>1.22</v>
      </c>
      <c r="H587" s="2">
        <f>XLOOKUP(B587, '00_TONG_HOP_BAO_GIA'!B:B, '00_TONG_HOP_BAO_GIA'!G:G, 1)</f>
        <v/>
      </c>
      <c r="I587" s="5">
        <f>G587*H587</f>
        <v/>
      </c>
      <c r="J587" s="2">
        <f>XLOOKUP(E587, '06_BANG_GIA_VAT_TU_AP_DUNG'!B:B, '06_BANG_GIA_VAT_TU_AP_DUNG'!C:C, "LỖI_MÃ_VT")</f>
        <v/>
      </c>
      <c r="K587" s="2">
        <f>I587*J587</f>
        <v/>
      </c>
      <c r="L587" t="inlineStr">
        <is>
          <t>2 trục dài 610mm</t>
        </is>
      </c>
    </row>
    <row r="588">
      <c r="A588" t="inlineStr">
        <is>
          <t>SW-DAMPER-144-BEARING</t>
        </is>
      </c>
      <c r="B588" t="inlineStr">
        <is>
          <t>SW-DAMPER-144</t>
        </is>
      </c>
      <c r="C588" t="inlineStr">
        <is>
          <t>Bạc đồng D10</t>
        </is>
      </c>
      <c r="D588" t="inlineStr">
        <is>
          <t>PHỤ_KIỆN_VAN</t>
        </is>
      </c>
      <c r="E588" t="inlineStr">
        <is>
          <t>MAT-DAMPER-BAC-DONG-D10</t>
        </is>
      </c>
      <c r="F588" t="inlineStr">
        <is>
          <t>Đôi</t>
        </is>
      </c>
      <c r="G588" s="4" t="n">
        <v>2</v>
      </c>
      <c r="H588" s="2">
        <f>XLOOKUP(B588, '00_TONG_HOP_BAO_GIA'!B:B, '00_TONG_HOP_BAO_GIA'!G:G, 1)</f>
        <v/>
      </c>
      <c r="I588" s="5">
        <f>G588*H588</f>
        <v/>
      </c>
      <c r="J588" s="2">
        <f>XLOOKUP(E588, '06_BANG_GIA_VAT_TU_AP_DUNG'!B:B, '06_BANG_GIA_VAT_TU_AP_DUNG'!C:C, "LỖI_MÃ_VT")</f>
        <v/>
      </c>
      <c r="K588" s="2">
        <f>I588*J588</f>
        <v/>
      </c>
      <c r="L588" t="inlineStr">
        <is>
          <t>2 đôi bạc đỡ 2 bên thân</t>
        </is>
      </c>
    </row>
    <row r="589">
      <c r="A589" t="inlineStr">
        <is>
          <t>SW-DAMPER-144-GEAR</t>
        </is>
      </c>
      <c r="B589" t="inlineStr">
        <is>
          <t>SW-DAMPER-144</t>
        </is>
      </c>
      <c r="C589" t="inlineStr">
        <is>
          <t>Bánh răng van nhôm</t>
        </is>
      </c>
      <c r="D589" t="inlineStr">
        <is>
          <t>PHỤ_KIỆN_VAN</t>
        </is>
      </c>
      <c r="E589" t="inlineStr">
        <is>
          <t>MAT-DAMPER-BANH-RANG-VAN-NHOM</t>
        </is>
      </c>
      <c r="F589" t="inlineStr">
        <is>
          <t>Bộ</t>
        </is>
      </c>
      <c r="G589" s="4" t="n">
        <v>1</v>
      </c>
      <c r="H589" s="2">
        <f>XLOOKUP(B589, '00_TONG_HOP_BAO_GIA'!B:B, '00_TONG_HOP_BAO_GIA'!G:G, 1)</f>
        <v/>
      </c>
      <c r="I589" s="5">
        <f>G589*H589</f>
        <v/>
      </c>
      <c r="J589" s="2">
        <f>XLOOKUP(E589, '06_BANG_GIA_VAT_TU_AP_DUNG'!B:B, '06_BANG_GIA_VAT_TU_AP_DUNG'!C:C, "LỖI_MÃ_VT")</f>
        <v/>
      </c>
      <c r="K589" s="2">
        <f>I589*J589</f>
        <v/>
      </c>
      <c r="L589" t="inlineStr">
        <is>
          <t>Cơ cấu liên động bánh răng van</t>
        </is>
      </c>
    </row>
    <row r="590">
      <c r="A590" t="inlineStr">
        <is>
          <t>SW-DAMPER-144-FUSE</t>
        </is>
      </c>
      <c r="B590" t="inlineStr">
        <is>
          <t>SW-DAMPER-144</t>
        </is>
      </c>
      <c r="C590" t="inlineStr">
        <is>
          <t>Cầu chì nhiệt nóng chảy 70°C (Elsie/USA)</t>
        </is>
      </c>
      <c r="D590" t="inlineStr">
        <is>
          <t>PHỤ_KIỆN_VAN</t>
        </is>
      </c>
      <c r="E590" t="inlineStr">
        <is>
          <t>MAT-DAMPER-CAU-CHI-USA-2-400X400</t>
        </is>
      </c>
      <c r="F590" t="inlineStr">
        <is>
          <t>Cái</t>
        </is>
      </c>
      <c r="G590" s="4" t="n">
        <v>1</v>
      </c>
      <c r="H590" s="2">
        <f>XLOOKUP(B590, '00_TONG_HOP_BAO_GIA'!B:B, '00_TONG_HOP_BAO_GIA'!G:G, 1)</f>
        <v/>
      </c>
      <c r="I590" s="5">
        <f>G590*H590</f>
        <v/>
      </c>
      <c r="J590" s="2">
        <f>XLOOKUP(E590, '06_BANG_GIA_VAT_TU_AP_DUNG'!B:B, '06_BANG_GIA_VAT_TU_AP_DUNG'!C:C, "LỖI_MÃ_VT")</f>
        <v/>
      </c>
      <c r="K590" s="2">
        <f>I590*J590</f>
        <v/>
      </c>
      <c r="L590" t="inlineStr">
        <is>
          <t>Cầu chì kiểm định PCCC</t>
        </is>
      </c>
    </row>
    <row r="591">
      <c r="A591" t="inlineStr">
        <is>
          <t>SW-DAMPER-145-BODY</t>
        </is>
      </c>
      <c r="B591" t="inlineStr">
        <is>
          <t>SW-DAMPER-145</t>
        </is>
      </c>
      <c r="C591" t="inlineStr">
        <is>
          <t>Thân vỏ van FD bích TDF (0.75mm)</t>
        </is>
      </c>
      <c r="D591" t="inlineStr">
        <is>
          <t>TÔN_CUỘN_MẠ_KẼM</t>
        </is>
      </c>
      <c r="E591" t="inlineStr">
        <is>
          <t>MAT-STEEL-PN-0.75</t>
        </is>
      </c>
      <c r="F591" t="inlineStr">
        <is>
          <t>kg</t>
        </is>
      </c>
      <c r="G591" s="4" t="n">
        <v>3.442067999999999</v>
      </c>
      <c r="H591" s="2">
        <f>XLOOKUP(B591, '00_TONG_HOP_BAO_GIA'!B:B, '00_TONG_HOP_BAO_GIA'!G:G, 1)</f>
        <v/>
      </c>
      <c r="I591" s="5">
        <f>G591*H591</f>
        <v/>
      </c>
      <c r="J591" s="2">
        <f>XLOOKUP(E591, '06_BANG_GIA_VAT_TU_AP_DUNG'!B:B, '06_BANG_GIA_VAT_TU_AP_DUNG'!C:C, "LỖI_MÃ_VT")</f>
        <v/>
      </c>
      <c r="K591" s="2">
        <f>I591*J591</f>
        <v/>
      </c>
      <c r="L591" t="inlineStr">
        <is>
          <t>Kích thước vỏ 600.0x250.0x250mm</t>
        </is>
      </c>
    </row>
    <row r="592">
      <c r="A592" t="inlineStr">
        <is>
          <t>SW-DAMPER-145-BLADE</t>
        </is>
      </c>
      <c r="B592" t="inlineStr">
        <is>
          <t>SW-DAMPER-145</t>
        </is>
      </c>
      <c r="C592" t="inlineStr">
        <is>
          <t>Lá cánh van (2 cánh overlap)</t>
        </is>
      </c>
      <c r="D592" t="inlineStr">
        <is>
          <t>TÔN_CUỘN_MẠ_KẼM</t>
        </is>
      </c>
      <c r="E592" t="inlineStr">
        <is>
          <t>MAT-STEEL-PN-0.75</t>
        </is>
      </c>
      <c r="F592" t="inlineStr">
        <is>
          <t>kg</t>
        </is>
      </c>
      <c r="G592" s="4" t="n">
        <v>1.106379</v>
      </c>
      <c r="H592" s="2">
        <f>XLOOKUP(B592, '00_TONG_HOP_BAO_GIA'!B:B, '00_TONG_HOP_BAO_GIA'!G:G, 1)</f>
        <v/>
      </c>
      <c r="I592" s="5">
        <f>G592*H592</f>
        <v/>
      </c>
      <c r="J592" s="2">
        <f>XLOOKUP(E592, '06_BANG_GIA_VAT_TU_AP_DUNG'!B:B, '06_BANG_GIA_VAT_TU_AP_DUNG'!C:C, "LỖI_MÃ_VT")</f>
        <v/>
      </c>
      <c r="K592" s="2">
        <f>I592*J592</f>
        <v/>
      </c>
      <c r="L592" t="inlineStr">
        <is>
          <t>2 cánh cao 145mm</t>
        </is>
      </c>
    </row>
    <row r="593">
      <c r="A593" t="inlineStr">
        <is>
          <t>SW-DAMPER-145-AXLE</t>
        </is>
      </c>
      <c r="B593" t="inlineStr">
        <is>
          <t>SW-DAMPER-145</t>
        </is>
      </c>
      <c r="C593" t="inlineStr">
        <is>
          <t>Trục Sus 201 D10</t>
        </is>
      </c>
      <c r="D593" t="inlineStr">
        <is>
          <t>PHỤ_KIỆN_VAN</t>
        </is>
      </c>
      <c r="E593" t="inlineStr">
        <is>
          <t>MAT-DAMPER-TRUC-SUS-201-D10</t>
        </is>
      </c>
      <c r="F593" t="inlineStr">
        <is>
          <t>m</t>
        </is>
      </c>
      <c r="G593" s="4" t="n">
        <v>1.32</v>
      </c>
      <c r="H593" s="2">
        <f>XLOOKUP(B593, '00_TONG_HOP_BAO_GIA'!B:B, '00_TONG_HOP_BAO_GIA'!G:G, 1)</f>
        <v/>
      </c>
      <c r="I593" s="5">
        <f>G593*H593</f>
        <v/>
      </c>
      <c r="J593" s="2">
        <f>XLOOKUP(E593, '06_BANG_GIA_VAT_TU_AP_DUNG'!B:B, '06_BANG_GIA_VAT_TU_AP_DUNG'!C:C, "LỖI_MÃ_VT")</f>
        <v/>
      </c>
      <c r="K593" s="2">
        <f>I593*J593</f>
        <v/>
      </c>
      <c r="L593" t="inlineStr">
        <is>
          <t>2 trục dài 660mm</t>
        </is>
      </c>
    </row>
    <row r="594">
      <c r="A594" t="inlineStr">
        <is>
          <t>SW-DAMPER-145-BEARING</t>
        </is>
      </c>
      <c r="B594" t="inlineStr">
        <is>
          <t>SW-DAMPER-145</t>
        </is>
      </c>
      <c r="C594" t="inlineStr">
        <is>
          <t>Bạc đồng D10</t>
        </is>
      </c>
      <c r="D594" t="inlineStr">
        <is>
          <t>PHỤ_KIỆN_VAN</t>
        </is>
      </c>
      <c r="E594" t="inlineStr">
        <is>
          <t>MAT-DAMPER-BAC-DONG-D10</t>
        </is>
      </c>
      <c r="F594" t="inlineStr">
        <is>
          <t>Đôi</t>
        </is>
      </c>
      <c r="G594" s="4" t="n">
        <v>2</v>
      </c>
      <c r="H594" s="2">
        <f>XLOOKUP(B594, '00_TONG_HOP_BAO_GIA'!B:B, '00_TONG_HOP_BAO_GIA'!G:G, 1)</f>
        <v/>
      </c>
      <c r="I594" s="5">
        <f>G594*H594</f>
        <v/>
      </c>
      <c r="J594" s="2">
        <f>XLOOKUP(E594, '06_BANG_GIA_VAT_TU_AP_DUNG'!B:B, '06_BANG_GIA_VAT_TU_AP_DUNG'!C:C, "LỖI_MÃ_VT")</f>
        <v/>
      </c>
      <c r="K594" s="2">
        <f>I594*J594</f>
        <v/>
      </c>
      <c r="L594" t="inlineStr">
        <is>
          <t>2 đôi bạc đỡ 2 bên thân</t>
        </is>
      </c>
    </row>
    <row r="595">
      <c r="A595" t="inlineStr">
        <is>
          <t>SW-DAMPER-145-GEAR</t>
        </is>
      </c>
      <c r="B595" t="inlineStr">
        <is>
          <t>SW-DAMPER-145</t>
        </is>
      </c>
      <c r="C595" t="inlineStr">
        <is>
          <t>Bánh răng van nhôm</t>
        </is>
      </c>
      <c r="D595" t="inlineStr">
        <is>
          <t>PHỤ_KIỆN_VAN</t>
        </is>
      </c>
      <c r="E595" t="inlineStr">
        <is>
          <t>MAT-DAMPER-BANH-RANG-VAN-NHOM</t>
        </is>
      </c>
      <c r="F595" t="inlineStr">
        <is>
          <t>Bộ</t>
        </is>
      </c>
      <c r="G595" s="4" t="n">
        <v>1</v>
      </c>
      <c r="H595" s="2">
        <f>XLOOKUP(B595, '00_TONG_HOP_BAO_GIA'!B:B, '00_TONG_HOP_BAO_GIA'!G:G, 1)</f>
        <v/>
      </c>
      <c r="I595" s="5">
        <f>G595*H595</f>
        <v/>
      </c>
      <c r="J595" s="2">
        <f>XLOOKUP(E595, '06_BANG_GIA_VAT_TU_AP_DUNG'!B:B, '06_BANG_GIA_VAT_TU_AP_DUNG'!C:C, "LỖI_MÃ_VT")</f>
        <v/>
      </c>
      <c r="K595" s="2">
        <f>I595*J595</f>
        <v/>
      </c>
      <c r="L595" t="inlineStr">
        <is>
          <t>Cơ cấu liên động bánh răng van</t>
        </is>
      </c>
    </row>
    <row r="596">
      <c r="A596" t="inlineStr">
        <is>
          <t>SW-DAMPER-145-FUSE</t>
        </is>
      </c>
      <c r="B596" t="inlineStr">
        <is>
          <t>SW-DAMPER-145</t>
        </is>
      </c>
      <c r="C596" t="inlineStr">
        <is>
          <t>Cầu chì nhiệt nóng chảy 70°C (Elsie/USA)</t>
        </is>
      </c>
      <c r="D596" t="inlineStr">
        <is>
          <t>PHỤ_KIỆN_VAN</t>
        </is>
      </c>
      <c r="E596" t="inlineStr">
        <is>
          <t>MAT-DAMPER-CAU-CHI-USA-2-400X400</t>
        </is>
      </c>
      <c r="F596" t="inlineStr">
        <is>
          <t>Cái</t>
        </is>
      </c>
      <c r="G596" s="4" t="n">
        <v>1</v>
      </c>
      <c r="H596" s="2">
        <f>XLOOKUP(B596, '00_TONG_HOP_BAO_GIA'!B:B, '00_TONG_HOP_BAO_GIA'!G:G, 1)</f>
        <v/>
      </c>
      <c r="I596" s="5">
        <f>G596*H596</f>
        <v/>
      </c>
      <c r="J596" s="2">
        <f>XLOOKUP(E596, '06_BANG_GIA_VAT_TU_AP_DUNG'!B:B, '06_BANG_GIA_VAT_TU_AP_DUNG'!C:C, "LỖI_MÃ_VT")</f>
        <v/>
      </c>
      <c r="K596" s="2">
        <f>I596*J596</f>
        <v/>
      </c>
      <c r="L596" t="inlineStr">
        <is>
          <t>Cầu chì kiểm định PCCC</t>
        </is>
      </c>
    </row>
    <row r="597">
      <c r="A597" t="inlineStr">
        <is>
          <t>SW-DAMPER-146-BODY</t>
        </is>
      </c>
      <c r="B597" t="inlineStr">
        <is>
          <t>SW-DAMPER-146</t>
        </is>
      </c>
      <c r="C597" t="inlineStr">
        <is>
          <t>Thân vỏ van FD bích TDF (0.75mm)</t>
        </is>
      </c>
      <c r="D597" t="inlineStr">
        <is>
          <t>TÔN_CUỘN_MẠ_KẼM</t>
        </is>
      </c>
      <c r="E597" t="inlineStr">
        <is>
          <t>MAT-STEEL-PN-0.75</t>
        </is>
      </c>
      <c r="F597" t="inlineStr">
        <is>
          <t>kg</t>
        </is>
      </c>
      <c r="G597" s="4" t="n">
        <v>3.639888</v>
      </c>
      <c r="H597" s="2">
        <f>XLOOKUP(B597, '00_TONG_HOP_BAO_GIA'!B:B, '00_TONG_HOP_BAO_GIA'!G:G, 1)</f>
        <v/>
      </c>
      <c r="I597" s="5">
        <f>G597*H597</f>
        <v/>
      </c>
      <c r="J597" s="2">
        <f>XLOOKUP(E597, '06_BANG_GIA_VAT_TU_AP_DUNG'!B:B, '06_BANG_GIA_VAT_TU_AP_DUNG'!C:C, "LỖI_MÃ_VT")</f>
        <v/>
      </c>
      <c r="K597" s="2">
        <f>I597*J597</f>
        <v/>
      </c>
      <c r="L597" t="inlineStr">
        <is>
          <t>Kích thước vỏ 600.0x300.0x250mm</t>
        </is>
      </c>
    </row>
    <row r="598">
      <c r="A598" t="inlineStr">
        <is>
          <t>SW-DAMPER-146-BLADE</t>
        </is>
      </c>
      <c r="B598" t="inlineStr">
        <is>
          <t>SW-DAMPER-146</t>
        </is>
      </c>
      <c r="C598" t="inlineStr">
        <is>
          <t>Lá cánh van (2 cánh overlap)</t>
        </is>
      </c>
      <c r="D598" t="inlineStr">
        <is>
          <t>TÔN_CUỘN_MẠ_KẼM</t>
        </is>
      </c>
      <c r="E598" t="inlineStr">
        <is>
          <t>MAT-STEEL-PN-0.75</t>
        </is>
      </c>
      <c r="F598" t="inlineStr">
        <is>
          <t>kg</t>
        </is>
      </c>
      <c r="G598" s="4" t="n">
        <v>1.297134</v>
      </c>
      <c r="H598" s="2">
        <f>XLOOKUP(B598, '00_TONG_HOP_BAO_GIA'!B:B, '00_TONG_HOP_BAO_GIA'!G:G, 1)</f>
        <v/>
      </c>
      <c r="I598" s="5">
        <f>G598*H598</f>
        <v/>
      </c>
      <c r="J598" s="2">
        <f>XLOOKUP(E598, '06_BANG_GIA_VAT_TU_AP_DUNG'!B:B, '06_BANG_GIA_VAT_TU_AP_DUNG'!C:C, "LỖI_MÃ_VT")</f>
        <v/>
      </c>
      <c r="K598" s="2">
        <f>I598*J598</f>
        <v/>
      </c>
      <c r="L598" t="inlineStr">
        <is>
          <t>2 cánh cao 170mm</t>
        </is>
      </c>
    </row>
    <row r="599">
      <c r="A599" t="inlineStr">
        <is>
          <t>SW-DAMPER-146-AXLE</t>
        </is>
      </c>
      <c r="B599" t="inlineStr">
        <is>
          <t>SW-DAMPER-146</t>
        </is>
      </c>
      <c r="C599" t="inlineStr">
        <is>
          <t>Trục Sus 201 D10</t>
        </is>
      </c>
      <c r="D599" t="inlineStr">
        <is>
          <t>PHỤ_KIỆN_VAN</t>
        </is>
      </c>
      <c r="E599" t="inlineStr">
        <is>
          <t>MAT-DAMPER-TRUC-SUS-201-D10</t>
        </is>
      </c>
      <c r="F599" t="inlineStr">
        <is>
          <t>m</t>
        </is>
      </c>
      <c r="G599" s="4" t="n">
        <v>1.32</v>
      </c>
      <c r="H599" s="2">
        <f>XLOOKUP(B599, '00_TONG_HOP_BAO_GIA'!B:B, '00_TONG_HOP_BAO_GIA'!G:G, 1)</f>
        <v/>
      </c>
      <c r="I599" s="5">
        <f>G599*H599</f>
        <v/>
      </c>
      <c r="J599" s="2">
        <f>XLOOKUP(E599, '06_BANG_GIA_VAT_TU_AP_DUNG'!B:B, '06_BANG_GIA_VAT_TU_AP_DUNG'!C:C, "LỖI_MÃ_VT")</f>
        <v/>
      </c>
      <c r="K599" s="2">
        <f>I599*J599</f>
        <v/>
      </c>
      <c r="L599" t="inlineStr">
        <is>
          <t>2 trục dài 660mm</t>
        </is>
      </c>
    </row>
    <row r="600">
      <c r="A600" t="inlineStr">
        <is>
          <t>SW-DAMPER-146-BEARING</t>
        </is>
      </c>
      <c r="B600" t="inlineStr">
        <is>
          <t>SW-DAMPER-146</t>
        </is>
      </c>
      <c r="C600" t="inlineStr">
        <is>
          <t>Bạc đồng D10</t>
        </is>
      </c>
      <c r="D600" t="inlineStr">
        <is>
          <t>PHỤ_KIỆN_VAN</t>
        </is>
      </c>
      <c r="E600" t="inlineStr">
        <is>
          <t>MAT-DAMPER-BAC-DONG-D10</t>
        </is>
      </c>
      <c r="F600" t="inlineStr">
        <is>
          <t>Đôi</t>
        </is>
      </c>
      <c r="G600" s="4" t="n">
        <v>2</v>
      </c>
      <c r="H600" s="2">
        <f>XLOOKUP(B600, '00_TONG_HOP_BAO_GIA'!B:B, '00_TONG_HOP_BAO_GIA'!G:G, 1)</f>
        <v/>
      </c>
      <c r="I600" s="5">
        <f>G600*H600</f>
        <v/>
      </c>
      <c r="J600" s="2">
        <f>XLOOKUP(E600, '06_BANG_GIA_VAT_TU_AP_DUNG'!B:B, '06_BANG_GIA_VAT_TU_AP_DUNG'!C:C, "LỖI_MÃ_VT")</f>
        <v/>
      </c>
      <c r="K600" s="2">
        <f>I600*J600</f>
        <v/>
      </c>
      <c r="L600" t="inlineStr">
        <is>
          <t>2 đôi bạc đỡ 2 bên thân</t>
        </is>
      </c>
    </row>
    <row r="601">
      <c r="A601" t="inlineStr">
        <is>
          <t>SW-DAMPER-146-GEAR</t>
        </is>
      </c>
      <c r="B601" t="inlineStr">
        <is>
          <t>SW-DAMPER-146</t>
        </is>
      </c>
      <c r="C601" t="inlineStr">
        <is>
          <t>Bánh răng van nhôm</t>
        </is>
      </c>
      <c r="D601" t="inlineStr">
        <is>
          <t>PHỤ_KIỆN_VAN</t>
        </is>
      </c>
      <c r="E601" t="inlineStr">
        <is>
          <t>MAT-DAMPER-BANH-RANG-VAN-NHOM</t>
        </is>
      </c>
      <c r="F601" t="inlineStr">
        <is>
          <t>Bộ</t>
        </is>
      </c>
      <c r="G601" s="4" t="n">
        <v>1</v>
      </c>
      <c r="H601" s="2">
        <f>XLOOKUP(B601, '00_TONG_HOP_BAO_GIA'!B:B, '00_TONG_HOP_BAO_GIA'!G:G, 1)</f>
        <v/>
      </c>
      <c r="I601" s="5">
        <f>G601*H601</f>
        <v/>
      </c>
      <c r="J601" s="2">
        <f>XLOOKUP(E601, '06_BANG_GIA_VAT_TU_AP_DUNG'!B:B, '06_BANG_GIA_VAT_TU_AP_DUNG'!C:C, "LỖI_MÃ_VT")</f>
        <v/>
      </c>
      <c r="K601" s="2">
        <f>I601*J601</f>
        <v/>
      </c>
      <c r="L601" t="inlineStr">
        <is>
          <t>Cơ cấu liên động bánh răng van</t>
        </is>
      </c>
    </row>
    <row r="602">
      <c r="A602" t="inlineStr">
        <is>
          <t>SW-DAMPER-146-FUSE</t>
        </is>
      </c>
      <c r="B602" t="inlineStr">
        <is>
          <t>SW-DAMPER-146</t>
        </is>
      </c>
      <c r="C602" t="inlineStr">
        <is>
          <t>Cầu chì nhiệt nóng chảy 70°C (Elsie/USA)</t>
        </is>
      </c>
      <c r="D602" t="inlineStr">
        <is>
          <t>PHỤ_KIỆN_VAN</t>
        </is>
      </c>
      <c r="E602" t="inlineStr">
        <is>
          <t>MAT-DAMPER-CAU-CHI-USA-2-400X400</t>
        </is>
      </c>
      <c r="F602" t="inlineStr">
        <is>
          <t>Cái</t>
        </is>
      </c>
      <c r="G602" s="4" t="n">
        <v>1</v>
      </c>
      <c r="H602" s="2">
        <f>XLOOKUP(B602, '00_TONG_HOP_BAO_GIA'!B:B, '00_TONG_HOP_BAO_GIA'!G:G, 1)</f>
        <v/>
      </c>
      <c r="I602" s="5">
        <f>G602*H602</f>
        <v/>
      </c>
      <c r="J602" s="2">
        <f>XLOOKUP(E602, '06_BANG_GIA_VAT_TU_AP_DUNG'!B:B, '06_BANG_GIA_VAT_TU_AP_DUNG'!C:C, "LỖI_MÃ_VT")</f>
        <v/>
      </c>
      <c r="K602" s="2">
        <f>I602*J602</f>
        <v/>
      </c>
      <c r="L602" t="inlineStr">
        <is>
          <t>Cầu chì kiểm định PCCC</t>
        </is>
      </c>
    </row>
    <row r="603">
      <c r="A603" t="inlineStr">
        <is>
          <t>SW-DAMPER-147-BODY</t>
        </is>
      </c>
      <c r="B603" t="inlineStr">
        <is>
          <t>SW-DAMPER-147</t>
        </is>
      </c>
      <c r="C603" t="inlineStr">
        <is>
          <t>Thân vỏ van FD bích TDF (0.75mm)</t>
        </is>
      </c>
      <c r="D603" t="inlineStr">
        <is>
          <t>TÔN_CUỘN_MẠ_KẼM</t>
        </is>
      </c>
      <c r="E603" t="inlineStr">
        <is>
          <t>MAT-STEEL-PN-0.75</t>
        </is>
      </c>
      <c r="F603" t="inlineStr">
        <is>
          <t>kg</t>
        </is>
      </c>
      <c r="G603" s="4" t="n">
        <v>3.837708</v>
      </c>
      <c r="H603" s="2">
        <f>XLOOKUP(B603, '00_TONG_HOP_BAO_GIA'!B:B, '00_TONG_HOP_BAO_GIA'!G:G, 1)</f>
        <v/>
      </c>
      <c r="I603" s="5">
        <f>G603*H603</f>
        <v/>
      </c>
      <c r="J603" s="2">
        <f>XLOOKUP(E603, '06_BANG_GIA_VAT_TU_AP_DUNG'!B:B, '06_BANG_GIA_VAT_TU_AP_DUNG'!C:C, "LỖI_MÃ_VT")</f>
        <v/>
      </c>
      <c r="K603" s="2">
        <f>I603*J603</f>
        <v/>
      </c>
      <c r="L603" t="inlineStr">
        <is>
          <t>Kích thước vỏ 600.0x350.0x250mm</t>
        </is>
      </c>
    </row>
    <row r="604">
      <c r="A604" t="inlineStr">
        <is>
          <t>SW-DAMPER-147-BLADE</t>
        </is>
      </c>
      <c r="B604" t="inlineStr">
        <is>
          <t>SW-DAMPER-147</t>
        </is>
      </c>
      <c r="C604" t="inlineStr">
        <is>
          <t>Lá cánh van (2 cánh overlap)</t>
        </is>
      </c>
      <c r="D604" t="inlineStr">
        <is>
          <t>TÔN_CUỘN_MẠ_KẼM</t>
        </is>
      </c>
      <c r="E604" t="inlineStr">
        <is>
          <t>MAT-STEEL-PN-0.75</t>
        </is>
      </c>
      <c r="F604" t="inlineStr">
        <is>
          <t>kg</t>
        </is>
      </c>
      <c r="G604" s="4" t="n">
        <v>1.487889</v>
      </c>
      <c r="H604" s="2">
        <f>XLOOKUP(B604, '00_TONG_HOP_BAO_GIA'!B:B, '00_TONG_HOP_BAO_GIA'!G:G, 1)</f>
        <v/>
      </c>
      <c r="I604" s="5">
        <f>G604*H604</f>
        <v/>
      </c>
      <c r="J604" s="2">
        <f>XLOOKUP(E604, '06_BANG_GIA_VAT_TU_AP_DUNG'!B:B, '06_BANG_GIA_VAT_TU_AP_DUNG'!C:C, "LỖI_MÃ_VT")</f>
        <v/>
      </c>
      <c r="K604" s="2">
        <f>I604*J604</f>
        <v/>
      </c>
      <c r="L604" t="inlineStr">
        <is>
          <t>2 cánh cao 195mm</t>
        </is>
      </c>
    </row>
    <row r="605">
      <c r="A605" t="inlineStr">
        <is>
          <t>SW-DAMPER-147-AXLE</t>
        </is>
      </c>
      <c r="B605" t="inlineStr">
        <is>
          <t>SW-DAMPER-147</t>
        </is>
      </c>
      <c r="C605" t="inlineStr">
        <is>
          <t>Trục Sus 201 D10</t>
        </is>
      </c>
      <c r="D605" t="inlineStr">
        <is>
          <t>PHỤ_KIỆN_VAN</t>
        </is>
      </c>
      <c r="E605" t="inlineStr">
        <is>
          <t>MAT-DAMPER-TRUC-SUS-201-D10</t>
        </is>
      </c>
      <c r="F605" t="inlineStr">
        <is>
          <t>m</t>
        </is>
      </c>
      <c r="G605" s="4" t="n">
        <v>1.32</v>
      </c>
      <c r="H605" s="2">
        <f>XLOOKUP(B605, '00_TONG_HOP_BAO_GIA'!B:B, '00_TONG_HOP_BAO_GIA'!G:G, 1)</f>
        <v/>
      </c>
      <c r="I605" s="5">
        <f>G605*H605</f>
        <v/>
      </c>
      <c r="J605" s="2">
        <f>XLOOKUP(E605, '06_BANG_GIA_VAT_TU_AP_DUNG'!B:B, '06_BANG_GIA_VAT_TU_AP_DUNG'!C:C, "LỖI_MÃ_VT")</f>
        <v/>
      </c>
      <c r="K605" s="2">
        <f>I605*J605</f>
        <v/>
      </c>
      <c r="L605" t="inlineStr">
        <is>
          <t>2 trục dài 660mm</t>
        </is>
      </c>
    </row>
    <row r="606">
      <c r="A606" t="inlineStr">
        <is>
          <t>SW-DAMPER-147-BEARING</t>
        </is>
      </c>
      <c r="B606" t="inlineStr">
        <is>
          <t>SW-DAMPER-147</t>
        </is>
      </c>
      <c r="C606" t="inlineStr">
        <is>
          <t>Bạc đồng D10</t>
        </is>
      </c>
      <c r="D606" t="inlineStr">
        <is>
          <t>PHỤ_KIỆN_VAN</t>
        </is>
      </c>
      <c r="E606" t="inlineStr">
        <is>
          <t>MAT-DAMPER-BAC-DONG-D10</t>
        </is>
      </c>
      <c r="F606" t="inlineStr">
        <is>
          <t>Đôi</t>
        </is>
      </c>
      <c r="G606" s="4" t="n">
        <v>2</v>
      </c>
      <c r="H606" s="2">
        <f>XLOOKUP(B606, '00_TONG_HOP_BAO_GIA'!B:B, '00_TONG_HOP_BAO_GIA'!G:G, 1)</f>
        <v/>
      </c>
      <c r="I606" s="5">
        <f>G606*H606</f>
        <v/>
      </c>
      <c r="J606" s="2">
        <f>XLOOKUP(E606, '06_BANG_GIA_VAT_TU_AP_DUNG'!B:B, '06_BANG_GIA_VAT_TU_AP_DUNG'!C:C, "LỖI_MÃ_VT")</f>
        <v/>
      </c>
      <c r="K606" s="2">
        <f>I606*J606</f>
        <v/>
      </c>
      <c r="L606" t="inlineStr">
        <is>
          <t>2 đôi bạc đỡ 2 bên thân</t>
        </is>
      </c>
    </row>
    <row r="607">
      <c r="A607" t="inlineStr">
        <is>
          <t>SW-DAMPER-147-GEAR</t>
        </is>
      </c>
      <c r="B607" t="inlineStr">
        <is>
          <t>SW-DAMPER-147</t>
        </is>
      </c>
      <c r="C607" t="inlineStr">
        <is>
          <t>Bánh răng van nhôm</t>
        </is>
      </c>
      <c r="D607" t="inlineStr">
        <is>
          <t>PHỤ_KIỆN_VAN</t>
        </is>
      </c>
      <c r="E607" t="inlineStr">
        <is>
          <t>MAT-DAMPER-BANH-RANG-VAN-NHOM</t>
        </is>
      </c>
      <c r="F607" t="inlineStr">
        <is>
          <t>Bộ</t>
        </is>
      </c>
      <c r="G607" s="4" t="n">
        <v>1</v>
      </c>
      <c r="H607" s="2">
        <f>XLOOKUP(B607, '00_TONG_HOP_BAO_GIA'!B:B, '00_TONG_HOP_BAO_GIA'!G:G, 1)</f>
        <v/>
      </c>
      <c r="I607" s="5">
        <f>G607*H607</f>
        <v/>
      </c>
      <c r="J607" s="2">
        <f>XLOOKUP(E607, '06_BANG_GIA_VAT_TU_AP_DUNG'!B:B, '06_BANG_GIA_VAT_TU_AP_DUNG'!C:C, "LỖI_MÃ_VT")</f>
        <v/>
      </c>
      <c r="K607" s="2">
        <f>I607*J607</f>
        <v/>
      </c>
      <c r="L607" t="inlineStr">
        <is>
          <t>Cơ cấu liên động bánh răng van</t>
        </is>
      </c>
    </row>
    <row r="608">
      <c r="A608" t="inlineStr">
        <is>
          <t>SW-DAMPER-147-FUSE</t>
        </is>
      </c>
      <c r="B608" t="inlineStr">
        <is>
          <t>SW-DAMPER-147</t>
        </is>
      </c>
      <c r="C608" t="inlineStr">
        <is>
          <t>Cầu chì nhiệt nóng chảy 70°C (Elsie/USA)</t>
        </is>
      </c>
      <c r="D608" t="inlineStr">
        <is>
          <t>PHỤ_KIỆN_VAN</t>
        </is>
      </c>
      <c r="E608" t="inlineStr">
        <is>
          <t>MAT-DAMPER-CAU-CHI-USA-2-400X400</t>
        </is>
      </c>
      <c r="F608" t="inlineStr">
        <is>
          <t>Cái</t>
        </is>
      </c>
      <c r="G608" s="4" t="n">
        <v>1</v>
      </c>
      <c r="H608" s="2">
        <f>XLOOKUP(B608, '00_TONG_HOP_BAO_GIA'!B:B, '00_TONG_HOP_BAO_GIA'!G:G, 1)</f>
        <v/>
      </c>
      <c r="I608" s="5">
        <f>G608*H608</f>
        <v/>
      </c>
      <c r="J608" s="2">
        <f>XLOOKUP(E608, '06_BANG_GIA_VAT_TU_AP_DUNG'!B:B, '06_BANG_GIA_VAT_TU_AP_DUNG'!C:C, "LỖI_MÃ_VT")</f>
        <v/>
      </c>
      <c r="K608" s="2">
        <f>I608*J608</f>
        <v/>
      </c>
      <c r="L608" t="inlineStr">
        <is>
          <t>Cầu chì kiểm định PCCC</t>
        </is>
      </c>
    </row>
    <row r="609">
      <c r="A609" t="inlineStr">
        <is>
          <t>SW-DAMPER-148-BODY</t>
        </is>
      </c>
      <c r="B609" t="inlineStr">
        <is>
          <t>SW-DAMPER-148</t>
        </is>
      </c>
      <c r="C609" t="inlineStr">
        <is>
          <t>Thân vỏ van FD bích TDF (0.75mm)</t>
        </is>
      </c>
      <c r="D609" t="inlineStr">
        <is>
          <t>TÔN_CUỘN_MẠ_KẼM</t>
        </is>
      </c>
      <c r="E609" t="inlineStr">
        <is>
          <t>MAT-STEEL-PN-0.75</t>
        </is>
      </c>
      <c r="F609" t="inlineStr">
        <is>
          <t>kg</t>
        </is>
      </c>
      <c r="G609" s="4" t="n">
        <v>4.035528</v>
      </c>
      <c r="H609" s="2">
        <f>XLOOKUP(B609, '00_TONG_HOP_BAO_GIA'!B:B, '00_TONG_HOP_BAO_GIA'!G:G, 1)</f>
        <v/>
      </c>
      <c r="I609" s="5">
        <f>G609*H609</f>
        <v/>
      </c>
      <c r="J609" s="2">
        <f>XLOOKUP(E609, '06_BANG_GIA_VAT_TU_AP_DUNG'!B:B, '06_BANG_GIA_VAT_TU_AP_DUNG'!C:C, "LỖI_MÃ_VT")</f>
        <v/>
      </c>
      <c r="K609" s="2">
        <f>I609*J609</f>
        <v/>
      </c>
      <c r="L609" t="inlineStr">
        <is>
          <t>Kích thước vỏ 600.0x400.0x250mm</t>
        </is>
      </c>
    </row>
    <row r="610">
      <c r="A610" t="inlineStr">
        <is>
          <t>SW-DAMPER-148-BLADE</t>
        </is>
      </c>
      <c r="B610" t="inlineStr">
        <is>
          <t>SW-DAMPER-148</t>
        </is>
      </c>
      <c r="C610" t="inlineStr">
        <is>
          <t>Lá cánh van (3 cánh overlap)</t>
        </is>
      </c>
      <c r="D610" t="inlineStr">
        <is>
          <t>TÔN_CUỘN_MẠ_KẼM</t>
        </is>
      </c>
      <c r="E610" t="inlineStr">
        <is>
          <t>MAT-STEEL-PN-0.75</t>
        </is>
      </c>
      <c r="F610" t="inlineStr">
        <is>
          <t>kg</t>
        </is>
      </c>
      <c r="G610" s="4" t="n">
        <v>1.754946</v>
      </c>
      <c r="H610" s="2">
        <f>XLOOKUP(B610, '00_TONG_HOP_BAO_GIA'!B:B, '00_TONG_HOP_BAO_GIA'!G:G, 1)</f>
        <v/>
      </c>
      <c r="I610" s="5">
        <f>G610*H610</f>
        <v/>
      </c>
      <c r="J610" s="2">
        <f>XLOOKUP(E610, '06_BANG_GIA_VAT_TU_AP_DUNG'!B:B, '06_BANG_GIA_VAT_TU_AP_DUNG'!C:C, "LỖI_MÃ_VT")</f>
        <v/>
      </c>
      <c r="K610" s="2">
        <f>I610*J610</f>
        <v/>
      </c>
      <c r="L610" t="inlineStr">
        <is>
          <t>3 cánh cao 153mm</t>
        </is>
      </c>
    </row>
    <row r="611">
      <c r="A611" t="inlineStr">
        <is>
          <t>SW-DAMPER-148-AXLE</t>
        </is>
      </c>
      <c r="B611" t="inlineStr">
        <is>
          <t>SW-DAMPER-148</t>
        </is>
      </c>
      <c r="C611" t="inlineStr">
        <is>
          <t>Trục Sus 201 D10</t>
        </is>
      </c>
      <c r="D611" t="inlineStr">
        <is>
          <t>PHỤ_KIỆN_VAN</t>
        </is>
      </c>
      <c r="E611" t="inlineStr">
        <is>
          <t>MAT-DAMPER-TRUC-SUS-201-D10</t>
        </is>
      </c>
      <c r="F611" t="inlineStr">
        <is>
          <t>m</t>
        </is>
      </c>
      <c r="G611" s="4" t="n">
        <v>1.98</v>
      </c>
      <c r="H611" s="2">
        <f>XLOOKUP(B611, '00_TONG_HOP_BAO_GIA'!B:B, '00_TONG_HOP_BAO_GIA'!G:G, 1)</f>
        <v/>
      </c>
      <c r="I611" s="5">
        <f>G611*H611</f>
        <v/>
      </c>
      <c r="J611" s="2">
        <f>XLOOKUP(E611, '06_BANG_GIA_VAT_TU_AP_DUNG'!B:B, '06_BANG_GIA_VAT_TU_AP_DUNG'!C:C, "LỖI_MÃ_VT")</f>
        <v/>
      </c>
      <c r="K611" s="2">
        <f>I611*J611</f>
        <v/>
      </c>
      <c r="L611" t="inlineStr">
        <is>
          <t>3 trục dài 660mm</t>
        </is>
      </c>
    </row>
    <row r="612">
      <c r="A612" t="inlineStr">
        <is>
          <t>SW-DAMPER-148-BEARING</t>
        </is>
      </c>
      <c r="B612" t="inlineStr">
        <is>
          <t>SW-DAMPER-148</t>
        </is>
      </c>
      <c r="C612" t="inlineStr">
        <is>
          <t>Bạc đồng D10</t>
        </is>
      </c>
      <c r="D612" t="inlineStr">
        <is>
          <t>PHỤ_KIỆN_VAN</t>
        </is>
      </c>
      <c r="E612" t="inlineStr">
        <is>
          <t>MAT-DAMPER-BAC-DONG-D10</t>
        </is>
      </c>
      <c r="F612" t="inlineStr">
        <is>
          <t>Đôi</t>
        </is>
      </c>
      <c r="G612" s="4" t="n">
        <v>3</v>
      </c>
      <c r="H612" s="2">
        <f>XLOOKUP(B612, '00_TONG_HOP_BAO_GIA'!B:B, '00_TONG_HOP_BAO_GIA'!G:G, 1)</f>
        <v/>
      </c>
      <c r="I612" s="5">
        <f>G612*H612</f>
        <v/>
      </c>
      <c r="J612" s="2">
        <f>XLOOKUP(E612, '06_BANG_GIA_VAT_TU_AP_DUNG'!B:B, '06_BANG_GIA_VAT_TU_AP_DUNG'!C:C, "LỖI_MÃ_VT")</f>
        <v/>
      </c>
      <c r="K612" s="2">
        <f>I612*J612</f>
        <v/>
      </c>
      <c r="L612" t="inlineStr">
        <is>
          <t>3 đôi bạc đỡ 2 bên thân</t>
        </is>
      </c>
    </row>
    <row r="613">
      <c r="A613" t="inlineStr">
        <is>
          <t>SW-DAMPER-148-GEAR</t>
        </is>
      </c>
      <c r="B613" t="inlineStr">
        <is>
          <t>SW-DAMPER-148</t>
        </is>
      </c>
      <c r="C613" t="inlineStr">
        <is>
          <t>Bánh răng van nhôm</t>
        </is>
      </c>
      <c r="D613" t="inlineStr">
        <is>
          <t>PHỤ_KIỆN_VAN</t>
        </is>
      </c>
      <c r="E613" t="inlineStr">
        <is>
          <t>MAT-DAMPER-BANH-RANG-VAN-NHOM</t>
        </is>
      </c>
      <c r="F613" t="inlineStr">
        <is>
          <t>Bộ</t>
        </is>
      </c>
      <c r="G613" s="4" t="n">
        <v>1</v>
      </c>
      <c r="H613" s="2">
        <f>XLOOKUP(B613, '00_TONG_HOP_BAO_GIA'!B:B, '00_TONG_HOP_BAO_GIA'!G:G, 1)</f>
        <v/>
      </c>
      <c r="I613" s="5">
        <f>G613*H613</f>
        <v/>
      </c>
      <c r="J613" s="2">
        <f>XLOOKUP(E613, '06_BANG_GIA_VAT_TU_AP_DUNG'!B:B, '06_BANG_GIA_VAT_TU_AP_DUNG'!C:C, "LỖI_MÃ_VT")</f>
        <v/>
      </c>
      <c r="K613" s="2">
        <f>I613*J613</f>
        <v/>
      </c>
      <c r="L613" t="inlineStr">
        <is>
          <t>Cơ cấu liên động bánh răng van</t>
        </is>
      </c>
    </row>
    <row r="614">
      <c r="A614" t="inlineStr">
        <is>
          <t>SW-DAMPER-148-FUSE</t>
        </is>
      </c>
      <c r="B614" t="inlineStr">
        <is>
          <t>SW-DAMPER-148</t>
        </is>
      </c>
      <c r="C614" t="inlineStr">
        <is>
          <t>Cầu chì nhiệt nóng chảy 70°C (Elsie/USA)</t>
        </is>
      </c>
      <c r="D614" t="inlineStr">
        <is>
          <t>PHỤ_KIỆN_VAN</t>
        </is>
      </c>
      <c r="E614" t="inlineStr">
        <is>
          <t>MAT-DAMPER-CAU-CHI-USA-2-400X400</t>
        </is>
      </c>
      <c r="F614" t="inlineStr">
        <is>
          <t>Cái</t>
        </is>
      </c>
      <c r="G614" s="4" t="n">
        <v>1</v>
      </c>
      <c r="H614" s="2">
        <f>XLOOKUP(B614, '00_TONG_HOP_BAO_GIA'!B:B, '00_TONG_HOP_BAO_GIA'!G:G, 1)</f>
        <v/>
      </c>
      <c r="I614" s="5">
        <f>G614*H614</f>
        <v/>
      </c>
      <c r="J614" s="2">
        <f>XLOOKUP(E614, '06_BANG_GIA_VAT_TU_AP_DUNG'!B:B, '06_BANG_GIA_VAT_TU_AP_DUNG'!C:C, "LỖI_MÃ_VT")</f>
        <v/>
      </c>
      <c r="K614" s="2">
        <f>I614*J614</f>
        <v/>
      </c>
      <c r="L614" t="inlineStr">
        <is>
          <t>Cầu chì kiểm định PCCC</t>
        </is>
      </c>
    </row>
    <row r="615">
      <c r="A615" t="inlineStr">
        <is>
          <t>SW-DAMPER-149-BODY</t>
        </is>
      </c>
      <c r="B615" t="inlineStr">
        <is>
          <t>SW-DAMPER-149</t>
        </is>
      </c>
      <c r="C615" t="inlineStr">
        <is>
          <t>Thân vỏ van FD bích TDF (0.75mm)</t>
        </is>
      </c>
      <c r="D615" t="inlineStr">
        <is>
          <t>TÔN_CUỘN_MẠ_KẼM</t>
        </is>
      </c>
      <c r="E615" t="inlineStr">
        <is>
          <t>MAT-STEEL-PN-0.75</t>
        </is>
      </c>
      <c r="F615" t="inlineStr">
        <is>
          <t>kg</t>
        </is>
      </c>
      <c r="G615" s="4" t="n">
        <v>4.826808</v>
      </c>
      <c r="H615" s="2">
        <f>XLOOKUP(B615, '00_TONG_HOP_BAO_GIA'!B:B, '00_TONG_HOP_BAO_GIA'!G:G, 1)</f>
        <v/>
      </c>
      <c r="I615" s="5">
        <f>G615*H615</f>
        <v/>
      </c>
      <c r="J615" s="2">
        <f>XLOOKUP(E615, '06_BANG_GIA_VAT_TU_AP_DUNG'!B:B, '06_BANG_GIA_VAT_TU_AP_DUNG'!C:C, "LỖI_MÃ_VT")</f>
        <v/>
      </c>
      <c r="K615" s="2">
        <f>I615*J615</f>
        <v/>
      </c>
      <c r="L615" t="inlineStr">
        <is>
          <t>Kích thước vỏ 600.0x600.0x250mm</t>
        </is>
      </c>
    </row>
    <row r="616">
      <c r="A616" t="inlineStr">
        <is>
          <t>SW-DAMPER-149-BLADE</t>
        </is>
      </c>
      <c r="B616" t="inlineStr">
        <is>
          <t>SW-DAMPER-149</t>
        </is>
      </c>
      <c r="C616" t="inlineStr">
        <is>
          <t>Lá cánh van (4 cánh overlap)</t>
        </is>
      </c>
      <c r="D616" t="inlineStr">
        <is>
          <t>TÔN_CUỘN_MẠ_KẼM</t>
        </is>
      </c>
      <c r="E616" t="inlineStr">
        <is>
          <t>MAT-STEEL-PN-0.75</t>
        </is>
      </c>
      <c r="F616" t="inlineStr">
        <is>
          <t>kg</t>
        </is>
      </c>
      <c r="G616" s="4" t="n">
        <v>2.594268</v>
      </c>
      <c r="H616" s="2">
        <f>XLOOKUP(B616, '00_TONG_HOP_BAO_GIA'!B:B, '00_TONG_HOP_BAO_GIA'!G:G, 1)</f>
        <v/>
      </c>
      <c r="I616" s="5">
        <f>G616*H616</f>
        <v/>
      </c>
      <c r="J616" s="2">
        <f>XLOOKUP(E616, '06_BANG_GIA_VAT_TU_AP_DUNG'!B:B, '06_BANG_GIA_VAT_TU_AP_DUNG'!C:C, "LỖI_MÃ_VT")</f>
        <v/>
      </c>
      <c r="K616" s="2">
        <f>I616*J616</f>
        <v/>
      </c>
      <c r="L616" t="inlineStr">
        <is>
          <t>4 cánh cao 170mm</t>
        </is>
      </c>
    </row>
    <row r="617">
      <c r="A617" t="inlineStr">
        <is>
          <t>SW-DAMPER-149-AXLE</t>
        </is>
      </c>
      <c r="B617" t="inlineStr">
        <is>
          <t>SW-DAMPER-149</t>
        </is>
      </c>
      <c r="C617" t="inlineStr">
        <is>
          <t>Trục Sus 201 D10</t>
        </is>
      </c>
      <c r="D617" t="inlineStr">
        <is>
          <t>PHỤ_KIỆN_VAN</t>
        </is>
      </c>
      <c r="E617" t="inlineStr">
        <is>
          <t>MAT-DAMPER-TRUC-SUS-201-D10</t>
        </is>
      </c>
      <c r="F617" t="inlineStr">
        <is>
          <t>m</t>
        </is>
      </c>
      <c r="G617" s="4" t="n">
        <v>2.64</v>
      </c>
      <c r="H617" s="2">
        <f>XLOOKUP(B617, '00_TONG_HOP_BAO_GIA'!B:B, '00_TONG_HOP_BAO_GIA'!G:G, 1)</f>
        <v/>
      </c>
      <c r="I617" s="5">
        <f>G617*H617</f>
        <v/>
      </c>
      <c r="J617" s="2">
        <f>XLOOKUP(E617, '06_BANG_GIA_VAT_TU_AP_DUNG'!B:B, '06_BANG_GIA_VAT_TU_AP_DUNG'!C:C, "LỖI_MÃ_VT")</f>
        <v/>
      </c>
      <c r="K617" s="2">
        <f>I617*J617</f>
        <v/>
      </c>
      <c r="L617" t="inlineStr">
        <is>
          <t>4 trục dài 660mm</t>
        </is>
      </c>
    </row>
    <row r="618">
      <c r="A618" t="inlineStr">
        <is>
          <t>SW-DAMPER-149-BEARING</t>
        </is>
      </c>
      <c r="B618" t="inlineStr">
        <is>
          <t>SW-DAMPER-149</t>
        </is>
      </c>
      <c r="C618" t="inlineStr">
        <is>
          <t>Bạc đồng D10</t>
        </is>
      </c>
      <c r="D618" t="inlineStr">
        <is>
          <t>PHỤ_KIỆN_VAN</t>
        </is>
      </c>
      <c r="E618" t="inlineStr">
        <is>
          <t>MAT-DAMPER-BAC-DONG-D10</t>
        </is>
      </c>
      <c r="F618" t="inlineStr">
        <is>
          <t>Đôi</t>
        </is>
      </c>
      <c r="G618" s="4" t="n">
        <v>4</v>
      </c>
      <c r="H618" s="2">
        <f>XLOOKUP(B618, '00_TONG_HOP_BAO_GIA'!B:B, '00_TONG_HOP_BAO_GIA'!G:G, 1)</f>
        <v/>
      </c>
      <c r="I618" s="5">
        <f>G618*H618</f>
        <v/>
      </c>
      <c r="J618" s="2">
        <f>XLOOKUP(E618, '06_BANG_GIA_VAT_TU_AP_DUNG'!B:B, '06_BANG_GIA_VAT_TU_AP_DUNG'!C:C, "LỖI_MÃ_VT")</f>
        <v/>
      </c>
      <c r="K618" s="2">
        <f>I618*J618</f>
        <v/>
      </c>
      <c r="L618" t="inlineStr">
        <is>
          <t>4 đôi bạc đỡ 2 bên thân</t>
        </is>
      </c>
    </row>
    <row r="619">
      <c r="A619" t="inlineStr">
        <is>
          <t>SW-DAMPER-149-GEAR</t>
        </is>
      </c>
      <c r="B619" t="inlineStr">
        <is>
          <t>SW-DAMPER-149</t>
        </is>
      </c>
      <c r="C619" t="inlineStr">
        <is>
          <t>Bánh răng van nhôm</t>
        </is>
      </c>
      <c r="D619" t="inlineStr">
        <is>
          <t>PHỤ_KIỆN_VAN</t>
        </is>
      </c>
      <c r="E619" t="inlineStr">
        <is>
          <t>MAT-DAMPER-BANH-RANG-VAN-NHOM</t>
        </is>
      </c>
      <c r="F619" t="inlineStr">
        <is>
          <t>Bộ</t>
        </is>
      </c>
      <c r="G619" s="4" t="n">
        <v>1</v>
      </c>
      <c r="H619" s="2">
        <f>XLOOKUP(B619, '00_TONG_HOP_BAO_GIA'!B:B, '00_TONG_HOP_BAO_GIA'!G:G, 1)</f>
        <v/>
      </c>
      <c r="I619" s="5">
        <f>G619*H619</f>
        <v/>
      </c>
      <c r="J619" s="2">
        <f>XLOOKUP(E619, '06_BANG_GIA_VAT_TU_AP_DUNG'!B:B, '06_BANG_GIA_VAT_TU_AP_DUNG'!C:C, "LỖI_MÃ_VT")</f>
        <v/>
      </c>
      <c r="K619" s="2">
        <f>I619*J619</f>
        <v/>
      </c>
      <c r="L619" t="inlineStr">
        <is>
          <t>Cơ cấu liên động bánh răng van</t>
        </is>
      </c>
    </row>
    <row r="620">
      <c r="A620" t="inlineStr">
        <is>
          <t>SW-DAMPER-149-FUSE</t>
        </is>
      </c>
      <c r="B620" t="inlineStr">
        <is>
          <t>SW-DAMPER-149</t>
        </is>
      </c>
      <c r="C620" t="inlineStr">
        <is>
          <t>Cầu chì nhiệt nóng chảy 70°C (Elsie/USA)</t>
        </is>
      </c>
      <c r="D620" t="inlineStr">
        <is>
          <t>PHỤ_KIỆN_VAN</t>
        </is>
      </c>
      <c r="E620" t="inlineStr">
        <is>
          <t>MAT-DAMPER-CAU-CHI-USA-2-400X400</t>
        </is>
      </c>
      <c r="F620" t="inlineStr">
        <is>
          <t>Cái</t>
        </is>
      </c>
      <c r="G620" s="4" t="n">
        <v>1</v>
      </c>
      <c r="H620" s="2">
        <f>XLOOKUP(B620, '00_TONG_HOP_BAO_GIA'!B:B, '00_TONG_HOP_BAO_GIA'!G:G, 1)</f>
        <v/>
      </c>
      <c r="I620" s="5">
        <f>G620*H620</f>
        <v/>
      </c>
      <c r="J620" s="2">
        <f>XLOOKUP(E620, '06_BANG_GIA_VAT_TU_AP_DUNG'!B:B, '06_BANG_GIA_VAT_TU_AP_DUNG'!C:C, "LỖI_MÃ_VT")</f>
        <v/>
      </c>
      <c r="K620" s="2">
        <f>I620*J620</f>
        <v/>
      </c>
      <c r="L620" t="inlineStr">
        <is>
          <t>Cầu chì kiểm định PCCC</t>
        </is>
      </c>
    </row>
    <row r="621">
      <c r="A621" t="inlineStr">
        <is>
          <t>SW-DAMPER-150-BODY</t>
        </is>
      </c>
      <c r="B621" t="inlineStr">
        <is>
          <t>SW-DAMPER-150</t>
        </is>
      </c>
      <c r="C621" t="inlineStr">
        <is>
          <t>Thân vỏ van FD bích TDF (0.75mm)</t>
        </is>
      </c>
      <c r="D621" t="inlineStr">
        <is>
          <t>TÔN_CUỘN_MẠ_KẼM</t>
        </is>
      </c>
      <c r="E621" t="inlineStr">
        <is>
          <t>MAT-STEEL-PN-0.75</t>
        </is>
      </c>
      <c r="F621" t="inlineStr">
        <is>
          <t>kg</t>
        </is>
      </c>
      <c r="G621" s="4" t="n">
        <v>2.452968</v>
      </c>
      <c r="H621" s="2">
        <f>XLOOKUP(B621, '00_TONG_HOP_BAO_GIA'!B:B, '00_TONG_HOP_BAO_GIA'!G:G, 1)</f>
        <v/>
      </c>
      <c r="I621" s="5">
        <f>G621*H621</f>
        <v/>
      </c>
      <c r="J621" s="2">
        <f>XLOOKUP(E621, '06_BANG_GIA_VAT_TU_AP_DUNG'!B:B, '06_BANG_GIA_VAT_TU_AP_DUNG'!C:C, "LỖI_MÃ_VT")</f>
        <v/>
      </c>
      <c r="K621" s="2">
        <f>I621*J621</f>
        <v/>
      </c>
      <c r="L621" t="inlineStr">
        <is>
          <t>Kích thước vỏ 300x300x250mm</t>
        </is>
      </c>
    </row>
    <row r="622">
      <c r="A622" t="inlineStr">
        <is>
          <t>SW-DAMPER-150-BLADE</t>
        </is>
      </c>
      <c r="B622" t="inlineStr">
        <is>
          <t>SW-DAMPER-150</t>
        </is>
      </c>
      <c r="C622" t="inlineStr">
        <is>
          <t>Lá cánh van (2 cánh overlap)</t>
        </is>
      </c>
      <c r="D622" t="inlineStr">
        <is>
          <t>TÔN_CUỘN_MẠ_KẼM</t>
        </is>
      </c>
      <c r="E622" t="inlineStr">
        <is>
          <t>MAT-STEEL-PN-0.75</t>
        </is>
      </c>
      <c r="F622" t="inlineStr">
        <is>
          <t>kg</t>
        </is>
      </c>
      <c r="G622" s="4" t="n">
        <v>0.648567</v>
      </c>
      <c r="H622" s="2">
        <f>XLOOKUP(B622, '00_TONG_HOP_BAO_GIA'!B:B, '00_TONG_HOP_BAO_GIA'!G:G, 1)</f>
        <v/>
      </c>
      <c r="I622" s="5">
        <f>G622*H622</f>
        <v/>
      </c>
      <c r="J622" s="2">
        <f>XLOOKUP(E622, '06_BANG_GIA_VAT_TU_AP_DUNG'!B:B, '06_BANG_GIA_VAT_TU_AP_DUNG'!C:C, "LỖI_MÃ_VT")</f>
        <v/>
      </c>
      <c r="K622" s="2">
        <f>I622*J622</f>
        <v/>
      </c>
      <c r="L622" t="inlineStr">
        <is>
          <t>2 cánh cao 170mm</t>
        </is>
      </c>
    </row>
    <row r="623">
      <c r="A623" t="inlineStr">
        <is>
          <t>SW-DAMPER-150-AXLE</t>
        </is>
      </c>
      <c r="B623" t="inlineStr">
        <is>
          <t>SW-DAMPER-150</t>
        </is>
      </c>
      <c r="C623" t="inlineStr">
        <is>
          <t>Trục Sus 201 D10</t>
        </is>
      </c>
      <c r="D623" t="inlineStr">
        <is>
          <t>PHỤ_KIỆN_VAN</t>
        </is>
      </c>
      <c r="E623" t="inlineStr">
        <is>
          <t>MAT-DAMPER-TRUC-SUS-201-D10</t>
        </is>
      </c>
      <c r="F623" t="inlineStr">
        <is>
          <t>m</t>
        </is>
      </c>
      <c r="G623" s="4" t="n">
        <v>0.72</v>
      </c>
      <c r="H623" s="2">
        <f>XLOOKUP(B623, '00_TONG_HOP_BAO_GIA'!B:B, '00_TONG_HOP_BAO_GIA'!G:G, 1)</f>
        <v/>
      </c>
      <c r="I623" s="5">
        <f>G623*H623</f>
        <v/>
      </c>
      <c r="J623" s="2">
        <f>XLOOKUP(E623, '06_BANG_GIA_VAT_TU_AP_DUNG'!B:B, '06_BANG_GIA_VAT_TU_AP_DUNG'!C:C, "LỖI_MÃ_VT")</f>
        <v/>
      </c>
      <c r="K623" s="2">
        <f>I623*J623</f>
        <v/>
      </c>
      <c r="L623" t="inlineStr">
        <is>
          <t>2 trục dài 360mm</t>
        </is>
      </c>
    </row>
    <row r="624">
      <c r="A624" t="inlineStr">
        <is>
          <t>SW-DAMPER-150-BEARING</t>
        </is>
      </c>
      <c r="B624" t="inlineStr">
        <is>
          <t>SW-DAMPER-150</t>
        </is>
      </c>
      <c r="C624" t="inlineStr">
        <is>
          <t>Bạc đồng D10</t>
        </is>
      </c>
      <c r="D624" t="inlineStr">
        <is>
          <t>PHỤ_KIỆN_VAN</t>
        </is>
      </c>
      <c r="E624" t="inlineStr">
        <is>
          <t>MAT-DAMPER-BAC-DONG-D10</t>
        </is>
      </c>
      <c r="F624" t="inlineStr">
        <is>
          <t>Đôi</t>
        </is>
      </c>
      <c r="G624" s="4" t="n">
        <v>2</v>
      </c>
      <c r="H624" s="2">
        <f>XLOOKUP(B624, '00_TONG_HOP_BAO_GIA'!B:B, '00_TONG_HOP_BAO_GIA'!G:G, 1)</f>
        <v/>
      </c>
      <c r="I624" s="5">
        <f>G624*H624</f>
        <v/>
      </c>
      <c r="J624" s="2">
        <f>XLOOKUP(E624, '06_BANG_GIA_VAT_TU_AP_DUNG'!B:B, '06_BANG_GIA_VAT_TU_AP_DUNG'!C:C, "LỖI_MÃ_VT")</f>
        <v/>
      </c>
      <c r="K624" s="2">
        <f>I624*J624</f>
        <v/>
      </c>
      <c r="L624" t="inlineStr">
        <is>
          <t>2 đôi bạc đỡ 2 bên thân</t>
        </is>
      </c>
    </row>
    <row r="625">
      <c r="A625" t="inlineStr">
        <is>
          <t>SW-DAMPER-150-GEAR</t>
        </is>
      </c>
      <c r="B625" t="inlineStr">
        <is>
          <t>SW-DAMPER-150</t>
        </is>
      </c>
      <c r="C625" t="inlineStr">
        <is>
          <t>Bánh răng van nhôm</t>
        </is>
      </c>
      <c r="D625" t="inlineStr">
        <is>
          <t>PHỤ_KIỆN_VAN</t>
        </is>
      </c>
      <c r="E625" t="inlineStr">
        <is>
          <t>MAT-DAMPER-BANH-RANG-VAN-NHOM</t>
        </is>
      </c>
      <c r="F625" t="inlineStr">
        <is>
          <t>Bộ</t>
        </is>
      </c>
      <c r="G625" s="4" t="n">
        <v>1</v>
      </c>
      <c r="H625" s="2">
        <f>XLOOKUP(B625, '00_TONG_HOP_BAO_GIA'!B:B, '00_TONG_HOP_BAO_GIA'!G:G, 1)</f>
        <v/>
      </c>
      <c r="I625" s="5">
        <f>G625*H625</f>
        <v/>
      </c>
      <c r="J625" s="2">
        <f>XLOOKUP(E625, '06_BANG_GIA_VAT_TU_AP_DUNG'!B:B, '06_BANG_GIA_VAT_TU_AP_DUNG'!C:C, "LỖI_MÃ_VT")</f>
        <v/>
      </c>
      <c r="K625" s="2">
        <f>I625*J625</f>
        <v/>
      </c>
      <c r="L625" t="inlineStr">
        <is>
          <t>Cơ cấu liên động bánh răng van</t>
        </is>
      </c>
    </row>
    <row r="626">
      <c r="A626" t="inlineStr">
        <is>
          <t>SW-DAMPER-150-FUSE</t>
        </is>
      </c>
      <c r="B626" t="inlineStr">
        <is>
          <t>SW-DAMPER-150</t>
        </is>
      </c>
      <c r="C626" t="inlineStr">
        <is>
          <t>Cầu chì nhiệt nóng chảy 70°C (Elsie/USA)</t>
        </is>
      </c>
      <c r="D626" t="inlineStr">
        <is>
          <t>PHỤ_KIỆN_VAN</t>
        </is>
      </c>
      <c r="E626" t="inlineStr">
        <is>
          <t>MAT-DAMPER-CAU-CHI-USA-1-400X400</t>
        </is>
      </c>
      <c r="F626" t="inlineStr">
        <is>
          <t>Cái</t>
        </is>
      </c>
      <c r="G626" s="4" t="n">
        <v>1</v>
      </c>
      <c r="H626" s="2">
        <f>XLOOKUP(B626, '00_TONG_HOP_BAO_GIA'!B:B, '00_TONG_HOP_BAO_GIA'!G:G, 1)</f>
        <v/>
      </c>
      <c r="I626" s="5">
        <f>G626*H626</f>
        <v/>
      </c>
      <c r="J626" s="2">
        <f>XLOOKUP(E626, '06_BANG_GIA_VAT_TU_AP_DUNG'!B:B, '06_BANG_GIA_VAT_TU_AP_DUNG'!C:C, "LỖI_MÃ_VT")</f>
        <v/>
      </c>
      <c r="K626" s="2">
        <f>I626*J626</f>
        <v/>
      </c>
      <c r="L626" t="inlineStr">
        <is>
          <t>Cầu chì kiểm định PCCC</t>
        </is>
      </c>
    </row>
    <row r="627">
      <c r="A627" t="inlineStr">
        <is>
          <t>SW-DAMPER-151-BODY</t>
        </is>
      </c>
      <c r="B627" t="inlineStr">
        <is>
          <t>SW-DAMPER-151</t>
        </is>
      </c>
      <c r="C627" t="inlineStr">
        <is>
          <t>Thân vỏ van FD bích TDF (0.75mm)</t>
        </is>
      </c>
      <c r="D627" t="inlineStr">
        <is>
          <t>TÔN_CUỘN_MẠ_KẼM</t>
        </is>
      </c>
      <c r="E627" t="inlineStr">
        <is>
          <t>MAT-STEEL-PN-0.75</t>
        </is>
      </c>
      <c r="F627" t="inlineStr">
        <is>
          <t>kg</t>
        </is>
      </c>
      <c r="G627" s="4" t="n">
        <v>3.639888</v>
      </c>
      <c r="H627" s="2">
        <f>XLOOKUP(B627, '00_TONG_HOP_BAO_GIA'!B:B, '00_TONG_HOP_BAO_GIA'!G:G, 1)</f>
        <v/>
      </c>
      <c r="I627" s="5">
        <f>G627*H627</f>
        <v/>
      </c>
      <c r="J627" s="2">
        <f>XLOOKUP(E627, '06_BANG_GIA_VAT_TU_AP_DUNG'!B:B, '06_BANG_GIA_VAT_TU_AP_DUNG'!C:C, "LỖI_MÃ_VT")</f>
        <v/>
      </c>
      <c r="K627" s="2">
        <f>I627*J627</f>
        <v/>
      </c>
      <c r="L627" t="inlineStr">
        <is>
          <t>Kích thước vỏ 650.0x250.0x250mm</t>
        </is>
      </c>
    </row>
    <row r="628">
      <c r="A628" t="inlineStr">
        <is>
          <t>SW-DAMPER-151-BLADE</t>
        </is>
      </c>
      <c r="B628" t="inlineStr">
        <is>
          <t>SW-DAMPER-151</t>
        </is>
      </c>
      <c r="C628" t="inlineStr">
        <is>
          <t>Lá cánh van (2 cánh overlap)</t>
        </is>
      </c>
      <c r="D628" t="inlineStr">
        <is>
          <t>TÔN_CUỘN_MẠ_KẼM</t>
        </is>
      </c>
      <c r="E628" t="inlineStr">
        <is>
          <t>MAT-STEEL-PN-0.75</t>
        </is>
      </c>
      <c r="F628" t="inlineStr">
        <is>
          <t>kg</t>
        </is>
      </c>
      <c r="G628" s="4" t="n">
        <v>1.19857725</v>
      </c>
      <c r="H628" s="2">
        <f>XLOOKUP(B628, '00_TONG_HOP_BAO_GIA'!B:B, '00_TONG_HOP_BAO_GIA'!G:G, 1)</f>
        <v/>
      </c>
      <c r="I628" s="5">
        <f>G628*H628</f>
        <v/>
      </c>
      <c r="J628" s="2">
        <f>XLOOKUP(E628, '06_BANG_GIA_VAT_TU_AP_DUNG'!B:B, '06_BANG_GIA_VAT_TU_AP_DUNG'!C:C, "LỖI_MÃ_VT")</f>
        <v/>
      </c>
      <c r="K628" s="2">
        <f>I628*J628</f>
        <v/>
      </c>
      <c r="L628" t="inlineStr">
        <is>
          <t>2 cánh cao 145mm</t>
        </is>
      </c>
    </row>
    <row r="629">
      <c r="A629" t="inlineStr">
        <is>
          <t>SW-DAMPER-151-AXLE</t>
        </is>
      </c>
      <c r="B629" t="inlineStr">
        <is>
          <t>SW-DAMPER-151</t>
        </is>
      </c>
      <c r="C629" t="inlineStr">
        <is>
          <t>Trục Sus 201 D10</t>
        </is>
      </c>
      <c r="D629" t="inlineStr">
        <is>
          <t>PHỤ_KIỆN_VAN</t>
        </is>
      </c>
      <c r="E629" t="inlineStr">
        <is>
          <t>MAT-DAMPER-TRUC-SUS-201-D10</t>
        </is>
      </c>
      <c r="F629" t="inlineStr">
        <is>
          <t>m</t>
        </is>
      </c>
      <c r="G629" s="4" t="n">
        <v>1.42</v>
      </c>
      <c r="H629" s="2">
        <f>XLOOKUP(B629, '00_TONG_HOP_BAO_GIA'!B:B, '00_TONG_HOP_BAO_GIA'!G:G, 1)</f>
        <v/>
      </c>
      <c r="I629" s="5">
        <f>G629*H629</f>
        <v/>
      </c>
      <c r="J629" s="2">
        <f>XLOOKUP(E629, '06_BANG_GIA_VAT_TU_AP_DUNG'!B:B, '06_BANG_GIA_VAT_TU_AP_DUNG'!C:C, "LỖI_MÃ_VT")</f>
        <v/>
      </c>
      <c r="K629" s="2">
        <f>I629*J629</f>
        <v/>
      </c>
      <c r="L629" t="inlineStr">
        <is>
          <t>2 trục dài 710mm</t>
        </is>
      </c>
    </row>
    <row r="630">
      <c r="A630" t="inlineStr">
        <is>
          <t>SW-DAMPER-151-BEARING</t>
        </is>
      </c>
      <c r="B630" t="inlineStr">
        <is>
          <t>SW-DAMPER-151</t>
        </is>
      </c>
      <c r="C630" t="inlineStr">
        <is>
          <t>Bạc đồng D10</t>
        </is>
      </c>
      <c r="D630" t="inlineStr">
        <is>
          <t>PHỤ_KIỆN_VAN</t>
        </is>
      </c>
      <c r="E630" t="inlineStr">
        <is>
          <t>MAT-DAMPER-BAC-DONG-D10</t>
        </is>
      </c>
      <c r="F630" t="inlineStr">
        <is>
          <t>Đôi</t>
        </is>
      </c>
      <c r="G630" s="4" t="n">
        <v>2</v>
      </c>
      <c r="H630" s="2">
        <f>XLOOKUP(B630, '00_TONG_HOP_BAO_GIA'!B:B, '00_TONG_HOP_BAO_GIA'!G:G, 1)</f>
        <v/>
      </c>
      <c r="I630" s="5">
        <f>G630*H630</f>
        <v/>
      </c>
      <c r="J630" s="2">
        <f>XLOOKUP(E630, '06_BANG_GIA_VAT_TU_AP_DUNG'!B:B, '06_BANG_GIA_VAT_TU_AP_DUNG'!C:C, "LỖI_MÃ_VT")</f>
        <v/>
      </c>
      <c r="K630" s="2">
        <f>I630*J630</f>
        <v/>
      </c>
      <c r="L630" t="inlineStr">
        <is>
          <t>2 đôi bạc đỡ 2 bên thân</t>
        </is>
      </c>
    </row>
    <row r="631">
      <c r="A631" t="inlineStr">
        <is>
          <t>SW-DAMPER-151-GEAR</t>
        </is>
      </c>
      <c r="B631" t="inlineStr">
        <is>
          <t>SW-DAMPER-151</t>
        </is>
      </c>
      <c r="C631" t="inlineStr">
        <is>
          <t>Bánh răng van nhôm</t>
        </is>
      </c>
      <c r="D631" t="inlineStr">
        <is>
          <t>PHỤ_KIỆN_VAN</t>
        </is>
      </c>
      <c r="E631" t="inlineStr">
        <is>
          <t>MAT-DAMPER-BANH-RANG-VAN-NHOM</t>
        </is>
      </c>
      <c r="F631" t="inlineStr">
        <is>
          <t>Bộ</t>
        </is>
      </c>
      <c r="G631" s="4" t="n">
        <v>1</v>
      </c>
      <c r="H631" s="2">
        <f>XLOOKUP(B631, '00_TONG_HOP_BAO_GIA'!B:B, '00_TONG_HOP_BAO_GIA'!G:G, 1)</f>
        <v/>
      </c>
      <c r="I631" s="5">
        <f>G631*H631</f>
        <v/>
      </c>
      <c r="J631" s="2">
        <f>XLOOKUP(E631, '06_BANG_GIA_VAT_TU_AP_DUNG'!B:B, '06_BANG_GIA_VAT_TU_AP_DUNG'!C:C, "LỖI_MÃ_VT")</f>
        <v/>
      </c>
      <c r="K631" s="2">
        <f>I631*J631</f>
        <v/>
      </c>
      <c r="L631" t="inlineStr">
        <is>
          <t>Cơ cấu liên động bánh răng van</t>
        </is>
      </c>
    </row>
    <row r="632">
      <c r="A632" t="inlineStr">
        <is>
          <t>SW-DAMPER-151-FUSE</t>
        </is>
      </c>
      <c r="B632" t="inlineStr">
        <is>
          <t>SW-DAMPER-151</t>
        </is>
      </c>
      <c r="C632" t="inlineStr">
        <is>
          <t>Cầu chì nhiệt nóng chảy 70°C (Elsie/USA)</t>
        </is>
      </c>
      <c r="D632" t="inlineStr">
        <is>
          <t>PHỤ_KIỆN_VAN</t>
        </is>
      </c>
      <c r="E632" t="inlineStr">
        <is>
          <t>MAT-DAMPER-CAU-CHI-USA-2-400X400</t>
        </is>
      </c>
      <c r="F632" t="inlineStr">
        <is>
          <t>Cái</t>
        </is>
      </c>
      <c r="G632" s="4" t="n">
        <v>1</v>
      </c>
      <c r="H632" s="2">
        <f>XLOOKUP(B632, '00_TONG_HOP_BAO_GIA'!B:B, '00_TONG_HOP_BAO_GIA'!G:G, 1)</f>
        <v/>
      </c>
      <c r="I632" s="5">
        <f>G632*H632</f>
        <v/>
      </c>
      <c r="J632" s="2">
        <f>XLOOKUP(E632, '06_BANG_GIA_VAT_TU_AP_DUNG'!B:B, '06_BANG_GIA_VAT_TU_AP_DUNG'!C:C, "LỖI_MÃ_VT")</f>
        <v/>
      </c>
      <c r="K632" s="2">
        <f>I632*J632</f>
        <v/>
      </c>
      <c r="L632" t="inlineStr">
        <is>
          <t>Cầu chì kiểm định PCCC</t>
        </is>
      </c>
    </row>
    <row r="633">
      <c r="A633" t="inlineStr">
        <is>
          <t>SW-DAMPER-152-BODY</t>
        </is>
      </c>
      <c r="B633" t="inlineStr">
        <is>
          <t>SW-DAMPER-152</t>
        </is>
      </c>
      <c r="C633" t="inlineStr">
        <is>
          <t>Thân vỏ van FD bích TDF (0.75mm)</t>
        </is>
      </c>
      <c r="D633" t="inlineStr">
        <is>
          <t>TÔN_CUỘN_MẠ_KẼM</t>
        </is>
      </c>
      <c r="E633" t="inlineStr">
        <is>
          <t>MAT-STEEL-PN-0.75</t>
        </is>
      </c>
      <c r="F633" t="inlineStr">
        <is>
          <t>kg</t>
        </is>
      </c>
      <c r="G633" s="4" t="n">
        <v>3.837708</v>
      </c>
      <c r="H633" s="2">
        <f>XLOOKUP(B633, '00_TONG_HOP_BAO_GIA'!B:B, '00_TONG_HOP_BAO_GIA'!G:G, 1)</f>
        <v/>
      </c>
      <c r="I633" s="5">
        <f>G633*H633</f>
        <v/>
      </c>
      <c r="J633" s="2">
        <f>XLOOKUP(E633, '06_BANG_GIA_VAT_TU_AP_DUNG'!B:B, '06_BANG_GIA_VAT_TU_AP_DUNG'!C:C, "LỖI_MÃ_VT")</f>
        <v/>
      </c>
      <c r="K633" s="2">
        <f>I633*J633</f>
        <v/>
      </c>
      <c r="L633" t="inlineStr">
        <is>
          <t>Kích thước vỏ 650.0x300.0x250mm</t>
        </is>
      </c>
    </row>
    <row r="634">
      <c r="A634" t="inlineStr">
        <is>
          <t>SW-DAMPER-152-BLADE</t>
        </is>
      </c>
      <c r="B634" t="inlineStr">
        <is>
          <t>SW-DAMPER-152</t>
        </is>
      </c>
      <c r="C634" t="inlineStr">
        <is>
          <t>Lá cánh van (2 cánh overlap)</t>
        </is>
      </c>
      <c r="D634" t="inlineStr">
        <is>
          <t>TÔN_CUỘN_MẠ_KẼM</t>
        </is>
      </c>
      <c r="E634" t="inlineStr">
        <is>
          <t>MAT-STEEL-PN-0.75</t>
        </is>
      </c>
      <c r="F634" t="inlineStr">
        <is>
          <t>kg</t>
        </is>
      </c>
      <c r="G634" s="4" t="n">
        <v>1.4052285</v>
      </c>
      <c r="H634" s="2">
        <f>XLOOKUP(B634, '00_TONG_HOP_BAO_GIA'!B:B, '00_TONG_HOP_BAO_GIA'!G:G, 1)</f>
        <v/>
      </c>
      <c r="I634" s="5">
        <f>G634*H634</f>
        <v/>
      </c>
      <c r="J634" s="2">
        <f>XLOOKUP(E634, '06_BANG_GIA_VAT_TU_AP_DUNG'!B:B, '06_BANG_GIA_VAT_TU_AP_DUNG'!C:C, "LỖI_MÃ_VT")</f>
        <v/>
      </c>
      <c r="K634" s="2">
        <f>I634*J634</f>
        <v/>
      </c>
      <c r="L634" t="inlineStr">
        <is>
          <t>2 cánh cao 170mm</t>
        </is>
      </c>
    </row>
    <row r="635">
      <c r="A635" t="inlineStr">
        <is>
          <t>SW-DAMPER-152-AXLE</t>
        </is>
      </c>
      <c r="B635" t="inlineStr">
        <is>
          <t>SW-DAMPER-152</t>
        </is>
      </c>
      <c r="C635" t="inlineStr">
        <is>
          <t>Trục Sus 201 D10</t>
        </is>
      </c>
      <c r="D635" t="inlineStr">
        <is>
          <t>PHỤ_KIỆN_VAN</t>
        </is>
      </c>
      <c r="E635" t="inlineStr">
        <is>
          <t>MAT-DAMPER-TRUC-SUS-201-D10</t>
        </is>
      </c>
      <c r="F635" t="inlineStr">
        <is>
          <t>m</t>
        </is>
      </c>
      <c r="G635" s="4" t="n">
        <v>1.42</v>
      </c>
      <c r="H635" s="2">
        <f>XLOOKUP(B635, '00_TONG_HOP_BAO_GIA'!B:B, '00_TONG_HOP_BAO_GIA'!G:G, 1)</f>
        <v/>
      </c>
      <c r="I635" s="5">
        <f>G635*H635</f>
        <v/>
      </c>
      <c r="J635" s="2">
        <f>XLOOKUP(E635, '06_BANG_GIA_VAT_TU_AP_DUNG'!B:B, '06_BANG_GIA_VAT_TU_AP_DUNG'!C:C, "LỖI_MÃ_VT")</f>
        <v/>
      </c>
      <c r="K635" s="2">
        <f>I635*J635</f>
        <v/>
      </c>
      <c r="L635" t="inlineStr">
        <is>
          <t>2 trục dài 710mm</t>
        </is>
      </c>
    </row>
    <row r="636">
      <c r="A636" t="inlineStr">
        <is>
          <t>SW-DAMPER-152-BEARING</t>
        </is>
      </c>
      <c r="B636" t="inlineStr">
        <is>
          <t>SW-DAMPER-152</t>
        </is>
      </c>
      <c r="C636" t="inlineStr">
        <is>
          <t>Bạc đồng D10</t>
        </is>
      </c>
      <c r="D636" t="inlineStr">
        <is>
          <t>PHỤ_KIỆN_VAN</t>
        </is>
      </c>
      <c r="E636" t="inlineStr">
        <is>
          <t>MAT-DAMPER-BAC-DONG-D10</t>
        </is>
      </c>
      <c r="F636" t="inlineStr">
        <is>
          <t>Đôi</t>
        </is>
      </c>
      <c r="G636" s="4" t="n">
        <v>2</v>
      </c>
      <c r="H636" s="2">
        <f>XLOOKUP(B636, '00_TONG_HOP_BAO_GIA'!B:B, '00_TONG_HOP_BAO_GIA'!G:G, 1)</f>
        <v/>
      </c>
      <c r="I636" s="5">
        <f>G636*H636</f>
        <v/>
      </c>
      <c r="J636" s="2">
        <f>XLOOKUP(E636, '06_BANG_GIA_VAT_TU_AP_DUNG'!B:B, '06_BANG_GIA_VAT_TU_AP_DUNG'!C:C, "LỖI_MÃ_VT")</f>
        <v/>
      </c>
      <c r="K636" s="2">
        <f>I636*J636</f>
        <v/>
      </c>
      <c r="L636" t="inlineStr">
        <is>
          <t>2 đôi bạc đỡ 2 bên thân</t>
        </is>
      </c>
    </row>
    <row r="637">
      <c r="A637" t="inlineStr">
        <is>
          <t>SW-DAMPER-152-GEAR</t>
        </is>
      </c>
      <c r="B637" t="inlineStr">
        <is>
          <t>SW-DAMPER-152</t>
        </is>
      </c>
      <c r="C637" t="inlineStr">
        <is>
          <t>Bánh răng van nhôm</t>
        </is>
      </c>
      <c r="D637" t="inlineStr">
        <is>
          <t>PHỤ_KIỆN_VAN</t>
        </is>
      </c>
      <c r="E637" t="inlineStr">
        <is>
          <t>MAT-DAMPER-BANH-RANG-VAN-NHOM</t>
        </is>
      </c>
      <c r="F637" t="inlineStr">
        <is>
          <t>Bộ</t>
        </is>
      </c>
      <c r="G637" s="4" t="n">
        <v>1</v>
      </c>
      <c r="H637" s="2">
        <f>XLOOKUP(B637, '00_TONG_HOP_BAO_GIA'!B:B, '00_TONG_HOP_BAO_GIA'!G:G, 1)</f>
        <v/>
      </c>
      <c r="I637" s="5">
        <f>G637*H637</f>
        <v/>
      </c>
      <c r="J637" s="2">
        <f>XLOOKUP(E637, '06_BANG_GIA_VAT_TU_AP_DUNG'!B:B, '06_BANG_GIA_VAT_TU_AP_DUNG'!C:C, "LỖI_MÃ_VT")</f>
        <v/>
      </c>
      <c r="K637" s="2">
        <f>I637*J637</f>
        <v/>
      </c>
      <c r="L637" t="inlineStr">
        <is>
          <t>Cơ cấu liên động bánh răng van</t>
        </is>
      </c>
    </row>
    <row r="638">
      <c r="A638" t="inlineStr">
        <is>
          <t>SW-DAMPER-152-FUSE</t>
        </is>
      </c>
      <c r="B638" t="inlineStr">
        <is>
          <t>SW-DAMPER-152</t>
        </is>
      </c>
      <c r="C638" t="inlineStr">
        <is>
          <t>Cầu chì nhiệt nóng chảy 70°C (Elsie/USA)</t>
        </is>
      </c>
      <c r="D638" t="inlineStr">
        <is>
          <t>PHỤ_KIỆN_VAN</t>
        </is>
      </c>
      <c r="E638" t="inlineStr">
        <is>
          <t>MAT-DAMPER-CAU-CHI-USA-2-400X400</t>
        </is>
      </c>
      <c r="F638" t="inlineStr">
        <is>
          <t>Cái</t>
        </is>
      </c>
      <c r="G638" s="4" t="n">
        <v>1</v>
      </c>
      <c r="H638" s="2">
        <f>XLOOKUP(B638, '00_TONG_HOP_BAO_GIA'!B:B, '00_TONG_HOP_BAO_GIA'!G:G, 1)</f>
        <v/>
      </c>
      <c r="I638" s="5">
        <f>G638*H638</f>
        <v/>
      </c>
      <c r="J638" s="2">
        <f>XLOOKUP(E638, '06_BANG_GIA_VAT_TU_AP_DUNG'!B:B, '06_BANG_GIA_VAT_TU_AP_DUNG'!C:C, "LỖI_MÃ_VT")</f>
        <v/>
      </c>
      <c r="K638" s="2">
        <f>I638*J638</f>
        <v/>
      </c>
      <c r="L638" t="inlineStr">
        <is>
          <t>Cầu chì kiểm định PCCC</t>
        </is>
      </c>
    </row>
    <row r="639">
      <c r="A639" t="inlineStr">
        <is>
          <t>SW-DAMPER-153-BODY</t>
        </is>
      </c>
      <c r="B639" t="inlineStr">
        <is>
          <t>SW-DAMPER-153</t>
        </is>
      </c>
      <c r="C639" t="inlineStr">
        <is>
          <t>Thân vỏ van FD bích TDF (0.75mm)</t>
        </is>
      </c>
      <c r="D639" t="inlineStr">
        <is>
          <t>TÔN_CUỘN_MẠ_KẼM</t>
        </is>
      </c>
      <c r="E639" t="inlineStr">
        <is>
          <t>MAT-STEEL-PN-0.75</t>
        </is>
      </c>
      <c r="F639" t="inlineStr">
        <is>
          <t>kg</t>
        </is>
      </c>
      <c r="G639" s="4" t="n">
        <v>4.035528</v>
      </c>
      <c r="H639" s="2">
        <f>XLOOKUP(B639, '00_TONG_HOP_BAO_GIA'!B:B, '00_TONG_HOP_BAO_GIA'!G:G, 1)</f>
        <v/>
      </c>
      <c r="I639" s="5">
        <f>G639*H639</f>
        <v/>
      </c>
      <c r="J639" s="2">
        <f>XLOOKUP(E639, '06_BANG_GIA_VAT_TU_AP_DUNG'!B:B, '06_BANG_GIA_VAT_TU_AP_DUNG'!C:C, "LỖI_MÃ_VT")</f>
        <v/>
      </c>
      <c r="K639" s="2">
        <f>I639*J639</f>
        <v/>
      </c>
      <c r="L639" t="inlineStr">
        <is>
          <t>Kích thước vỏ 650.0x350.0x250mm</t>
        </is>
      </c>
    </row>
    <row r="640">
      <c r="A640" t="inlineStr">
        <is>
          <t>SW-DAMPER-153-BLADE</t>
        </is>
      </c>
      <c r="B640" t="inlineStr">
        <is>
          <t>SW-DAMPER-153</t>
        </is>
      </c>
      <c r="C640" t="inlineStr">
        <is>
          <t>Lá cánh van (2 cánh overlap)</t>
        </is>
      </c>
      <c r="D640" t="inlineStr">
        <is>
          <t>TÔN_CUỘN_MẠ_KẼM</t>
        </is>
      </c>
      <c r="E640" t="inlineStr">
        <is>
          <t>MAT-STEEL-PN-0.75</t>
        </is>
      </c>
      <c r="F640" t="inlineStr">
        <is>
          <t>kg</t>
        </is>
      </c>
      <c r="G640" s="4" t="n">
        <v>1.61187975</v>
      </c>
      <c r="H640" s="2">
        <f>XLOOKUP(B640, '00_TONG_HOP_BAO_GIA'!B:B, '00_TONG_HOP_BAO_GIA'!G:G, 1)</f>
        <v/>
      </c>
      <c r="I640" s="5">
        <f>G640*H640</f>
        <v/>
      </c>
      <c r="J640" s="2">
        <f>XLOOKUP(E640, '06_BANG_GIA_VAT_TU_AP_DUNG'!B:B, '06_BANG_GIA_VAT_TU_AP_DUNG'!C:C, "LỖI_MÃ_VT")</f>
        <v/>
      </c>
      <c r="K640" s="2">
        <f>I640*J640</f>
        <v/>
      </c>
      <c r="L640" t="inlineStr">
        <is>
          <t>2 cánh cao 195mm</t>
        </is>
      </c>
    </row>
    <row r="641">
      <c r="A641" t="inlineStr">
        <is>
          <t>SW-DAMPER-153-AXLE</t>
        </is>
      </c>
      <c r="B641" t="inlineStr">
        <is>
          <t>SW-DAMPER-153</t>
        </is>
      </c>
      <c r="C641" t="inlineStr">
        <is>
          <t>Trục Sus 201 D10</t>
        </is>
      </c>
      <c r="D641" t="inlineStr">
        <is>
          <t>PHỤ_KIỆN_VAN</t>
        </is>
      </c>
      <c r="E641" t="inlineStr">
        <is>
          <t>MAT-DAMPER-TRUC-SUS-201-D10</t>
        </is>
      </c>
      <c r="F641" t="inlineStr">
        <is>
          <t>m</t>
        </is>
      </c>
      <c r="G641" s="4" t="n">
        <v>1.42</v>
      </c>
      <c r="H641" s="2">
        <f>XLOOKUP(B641, '00_TONG_HOP_BAO_GIA'!B:B, '00_TONG_HOP_BAO_GIA'!G:G, 1)</f>
        <v/>
      </c>
      <c r="I641" s="5">
        <f>G641*H641</f>
        <v/>
      </c>
      <c r="J641" s="2">
        <f>XLOOKUP(E641, '06_BANG_GIA_VAT_TU_AP_DUNG'!B:B, '06_BANG_GIA_VAT_TU_AP_DUNG'!C:C, "LỖI_MÃ_VT")</f>
        <v/>
      </c>
      <c r="K641" s="2">
        <f>I641*J641</f>
        <v/>
      </c>
      <c r="L641" t="inlineStr">
        <is>
          <t>2 trục dài 710mm</t>
        </is>
      </c>
    </row>
    <row r="642">
      <c r="A642" t="inlineStr">
        <is>
          <t>SW-DAMPER-153-BEARING</t>
        </is>
      </c>
      <c r="B642" t="inlineStr">
        <is>
          <t>SW-DAMPER-153</t>
        </is>
      </c>
      <c r="C642" t="inlineStr">
        <is>
          <t>Bạc đồng D10</t>
        </is>
      </c>
      <c r="D642" t="inlineStr">
        <is>
          <t>PHỤ_KIỆN_VAN</t>
        </is>
      </c>
      <c r="E642" t="inlineStr">
        <is>
          <t>MAT-DAMPER-BAC-DONG-D10</t>
        </is>
      </c>
      <c r="F642" t="inlineStr">
        <is>
          <t>Đôi</t>
        </is>
      </c>
      <c r="G642" s="4" t="n">
        <v>2</v>
      </c>
      <c r="H642" s="2">
        <f>XLOOKUP(B642, '00_TONG_HOP_BAO_GIA'!B:B, '00_TONG_HOP_BAO_GIA'!G:G, 1)</f>
        <v/>
      </c>
      <c r="I642" s="5">
        <f>G642*H642</f>
        <v/>
      </c>
      <c r="J642" s="2">
        <f>XLOOKUP(E642, '06_BANG_GIA_VAT_TU_AP_DUNG'!B:B, '06_BANG_GIA_VAT_TU_AP_DUNG'!C:C, "LỖI_MÃ_VT")</f>
        <v/>
      </c>
      <c r="K642" s="2">
        <f>I642*J642</f>
        <v/>
      </c>
      <c r="L642" t="inlineStr">
        <is>
          <t>2 đôi bạc đỡ 2 bên thân</t>
        </is>
      </c>
    </row>
    <row r="643">
      <c r="A643" t="inlineStr">
        <is>
          <t>SW-DAMPER-153-GEAR</t>
        </is>
      </c>
      <c r="B643" t="inlineStr">
        <is>
          <t>SW-DAMPER-153</t>
        </is>
      </c>
      <c r="C643" t="inlineStr">
        <is>
          <t>Bánh răng van nhôm</t>
        </is>
      </c>
      <c r="D643" t="inlineStr">
        <is>
          <t>PHỤ_KIỆN_VAN</t>
        </is>
      </c>
      <c r="E643" t="inlineStr">
        <is>
          <t>MAT-DAMPER-BANH-RANG-VAN-NHOM</t>
        </is>
      </c>
      <c r="F643" t="inlineStr">
        <is>
          <t>Bộ</t>
        </is>
      </c>
      <c r="G643" s="4" t="n">
        <v>1</v>
      </c>
      <c r="H643" s="2">
        <f>XLOOKUP(B643, '00_TONG_HOP_BAO_GIA'!B:B, '00_TONG_HOP_BAO_GIA'!G:G, 1)</f>
        <v/>
      </c>
      <c r="I643" s="5">
        <f>G643*H643</f>
        <v/>
      </c>
      <c r="J643" s="2">
        <f>XLOOKUP(E643, '06_BANG_GIA_VAT_TU_AP_DUNG'!B:B, '06_BANG_GIA_VAT_TU_AP_DUNG'!C:C, "LỖI_MÃ_VT")</f>
        <v/>
      </c>
      <c r="K643" s="2">
        <f>I643*J643</f>
        <v/>
      </c>
      <c r="L643" t="inlineStr">
        <is>
          <t>Cơ cấu liên động bánh răng van</t>
        </is>
      </c>
    </row>
    <row r="644">
      <c r="A644" t="inlineStr">
        <is>
          <t>SW-DAMPER-153-FUSE</t>
        </is>
      </c>
      <c r="B644" t="inlineStr">
        <is>
          <t>SW-DAMPER-153</t>
        </is>
      </c>
      <c r="C644" t="inlineStr">
        <is>
          <t>Cầu chì nhiệt nóng chảy 70°C (Elsie/USA)</t>
        </is>
      </c>
      <c r="D644" t="inlineStr">
        <is>
          <t>PHỤ_KIỆN_VAN</t>
        </is>
      </c>
      <c r="E644" t="inlineStr">
        <is>
          <t>MAT-DAMPER-CAU-CHI-USA-2-400X400</t>
        </is>
      </c>
      <c r="F644" t="inlineStr">
        <is>
          <t>Cái</t>
        </is>
      </c>
      <c r="G644" s="4" t="n">
        <v>1</v>
      </c>
      <c r="H644" s="2">
        <f>XLOOKUP(B644, '00_TONG_HOP_BAO_GIA'!B:B, '00_TONG_HOP_BAO_GIA'!G:G, 1)</f>
        <v/>
      </c>
      <c r="I644" s="5">
        <f>G644*H644</f>
        <v/>
      </c>
      <c r="J644" s="2">
        <f>XLOOKUP(E644, '06_BANG_GIA_VAT_TU_AP_DUNG'!B:B, '06_BANG_GIA_VAT_TU_AP_DUNG'!C:C, "LỖI_MÃ_VT")</f>
        <v/>
      </c>
      <c r="K644" s="2">
        <f>I644*J644</f>
        <v/>
      </c>
      <c r="L644" t="inlineStr">
        <is>
          <t>Cầu chì kiểm định PCCC</t>
        </is>
      </c>
    </row>
    <row r="645">
      <c r="A645" t="inlineStr">
        <is>
          <t>SW-DAMPER-154-BODY</t>
        </is>
      </c>
      <c r="B645" t="inlineStr">
        <is>
          <t>SW-DAMPER-154</t>
        </is>
      </c>
      <c r="C645" t="inlineStr">
        <is>
          <t>Thân vỏ van FD bích TDF (0.75mm)</t>
        </is>
      </c>
      <c r="D645" t="inlineStr">
        <is>
          <t>TÔN_CUỘN_MẠ_KẼM</t>
        </is>
      </c>
      <c r="E645" t="inlineStr">
        <is>
          <t>MAT-STEEL-PN-0.75</t>
        </is>
      </c>
      <c r="F645" t="inlineStr">
        <is>
          <t>kg</t>
        </is>
      </c>
      <c r="G645" s="4" t="n">
        <v>4.233348</v>
      </c>
      <c r="H645" s="2">
        <f>XLOOKUP(B645, '00_TONG_HOP_BAO_GIA'!B:B, '00_TONG_HOP_BAO_GIA'!G:G, 1)</f>
        <v/>
      </c>
      <c r="I645" s="5">
        <f>G645*H645</f>
        <v/>
      </c>
      <c r="J645" s="2">
        <f>XLOOKUP(E645, '06_BANG_GIA_VAT_TU_AP_DUNG'!B:B, '06_BANG_GIA_VAT_TU_AP_DUNG'!C:C, "LỖI_MÃ_VT")</f>
        <v/>
      </c>
      <c r="K645" s="2">
        <f>I645*J645</f>
        <v/>
      </c>
      <c r="L645" t="inlineStr">
        <is>
          <t>Kích thước vỏ 650.0x400.0x250mm</t>
        </is>
      </c>
    </row>
    <row r="646">
      <c r="A646" t="inlineStr">
        <is>
          <t>SW-DAMPER-154-BLADE</t>
        </is>
      </c>
      <c r="B646" t="inlineStr">
        <is>
          <t>SW-DAMPER-154</t>
        </is>
      </c>
      <c r="C646" t="inlineStr">
        <is>
          <t>Lá cánh van (3 cánh overlap)</t>
        </is>
      </c>
      <c r="D646" t="inlineStr">
        <is>
          <t>TÔN_CUỘN_MẠ_KẼM</t>
        </is>
      </c>
      <c r="E646" t="inlineStr">
        <is>
          <t>MAT-STEEL-PN-0.75</t>
        </is>
      </c>
      <c r="F646" t="inlineStr">
        <is>
          <t>kg</t>
        </is>
      </c>
      <c r="G646" s="4" t="n">
        <v>1.9011915</v>
      </c>
      <c r="H646" s="2">
        <f>XLOOKUP(B646, '00_TONG_HOP_BAO_GIA'!B:B, '00_TONG_HOP_BAO_GIA'!G:G, 1)</f>
        <v/>
      </c>
      <c r="I646" s="5">
        <f>G646*H646</f>
        <v/>
      </c>
      <c r="J646" s="2">
        <f>XLOOKUP(E646, '06_BANG_GIA_VAT_TU_AP_DUNG'!B:B, '06_BANG_GIA_VAT_TU_AP_DUNG'!C:C, "LỖI_MÃ_VT")</f>
        <v/>
      </c>
      <c r="K646" s="2">
        <f>I646*J646</f>
        <v/>
      </c>
      <c r="L646" t="inlineStr">
        <is>
          <t>3 cánh cao 153mm</t>
        </is>
      </c>
    </row>
    <row r="647">
      <c r="A647" t="inlineStr">
        <is>
          <t>SW-DAMPER-154-AXLE</t>
        </is>
      </c>
      <c r="B647" t="inlineStr">
        <is>
          <t>SW-DAMPER-154</t>
        </is>
      </c>
      <c r="C647" t="inlineStr">
        <is>
          <t>Trục Sus 201 D10</t>
        </is>
      </c>
      <c r="D647" t="inlineStr">
        <is>
          <t>PHỤ_KIỆN_VAN</t>
        </is>
      </c>
      <c r="E647" t="inlineStr">
        <is>
          <t>MAT-DAMPER-TRUC-SUS-201-D10</t>
        </is>
      </c>
      <c r="F647" t="inlineStr">
        <is>
          <t>m</t>
        </is>
      </c>
      <c r="G647" s="4" t="n">
        <v>2.13</v>
      </c>
      <c r="H647" s="2">
        <f>XLOOKUP(B647, '00_TONG_HOP_BAO_GIA'!B:B, '00_TONG_HOP_BAO_GIA'!G:G, 1)</f>
        <v/>
      </c>
      <c r="I647" s="5">
        <f>G647*H647</f>
        <v/>
      </c>
      <c r="J647" s="2">
        <f>XLOOKUP(E647, '06_BANG_GIA_VAT_TU_AP_DUNG'!B:B, '06_BANG_GIA_VAT_TU_AP_DUNG'!C:C, "LỖI_MÃ_VT")</f>
        <v/>
      </c>
      <c r="K647" s="2">
        <f>I647*J647</f>
        <v/>
      </c>
      <c r="L647" t="inlineStr">
        <is>
          <t>3 trục dài 710mm</t>
        </is>
      </c>
    </row>
    <row r="648">
      <c r="A648" t="inlineStr">
        <is>
          <t>SW-DAMPER-154-BEARING</t>
        </is>
      </c>
      <c r="B648" t="inlineStr">
        <is>
          <t>SW-DAMPER-154</t>
        </is>
      </c>
      <c r="C648" t="inlineStr">
        <is>
          <t>Bạc đồng D10</t>
        </is>
      </c>
      <c r="D648" t="inlineStr">
        <is>
          <t>PHỤ_KIỆN_VAN</t>
        </is>
      </c>
      <c r="E648" t="inlineStr">
        <is>
          <t>MAT-DAMPER-BAC-DONG-D10</t>
        </is>
      </c>
      <c r="F648" t="inlineStr">
        <is>
          <t>Đôi</t>
        </is>
      </c>
      <c r="G648" s="4" t="n">
        <v>3</v>
      </c>
      <c r="H648" s="2">
        <f>XLOOKUP(B648, '00_TONG_HOP_BAO_GIA'!B:B, '00_TONG_HOP_BAO_GIA'!G:G, 1)</f>
        <v/>
      </c>
      <c r="I648" s="5">
        <f>G648*H648</f>
        <v/>
      </c>
      <c r="J648" s="2">
        <f>XLOOKUP(E648, '06_BANG_GIA_VAT_TU_AP_DUNG'!B:B, '06_BANG_GIA_VAT_TU_AP_DUNG'!C:C, "LỖI_MÃ_VT")</f>
        <v/>
      </c>
      <c r="K648" s="2">
        <f>I648*J648</f>
        <v/>
      </c>
      <c r="L648" t="inlineStr">
        <is>
          <t>3 đôi bạc đỡ 2 bên thân</t>
        </is>
      </c>
    </row>
    <row r="649">
      <c r="A649" t="inlineStr">
        <is>
          <t>SW-DAMPER-154-GEAR</t>
        </is>
      </c>
      <c r="B649" t="inlineStr">
        <is>
          <t>SW-DAMPER-154</t>
        </is>
      </c>
      <c r="C649" t="inlineStr">
        <is>
          <t>Bánh răng van nhôm</t>
        </is>
      </c>
      <c r="D649" t="inlineStr">
        <is>
          <t>PHỤ_KIỆN_VAN</t>
        </is>
      </c>
      <c r="E649" t="inlineStr">
        <is>
          <t>MAT-DAMPER-BANH-RANG-VAN-NHOM</t>
        </is>
      </c>
      <c r="F649" t="inlineStr">
        <is>
          <t>Bộ</t>
        </is>
      </c>
      <c r="G649" s="4" t="n">
        <v>1</v>
      </c>
      <c r="H649" s="2">
        <f>XLOOKUP(B649, '00_TONG_HOP_BAO_GIA'!B:B, '00_TONG_HOP_BAO_GIA'!G:G, 1)</f>
        <v/>
      </c>
      <c r="I649" s="5">
        <f>G649*H649</f>
        <v/>
      </c>
      <c r="J649" s="2">
        <f>XLOOKUP(E649, '06_BANG_GIA_VAT_TU_AP_DUNG'!B:B, '06_BANG_GIA_VAT_TU_AP_DUNG'!C:C, "LỖI_MÃ_VT")</f>
        <v/>
      </c>
      <c r="K649" s="2">
        <f>I649*J649</f>
        <v/>
      </c>
      <c r="L649" t="inlineStr">
        <is>
          <t>Cơ cấu liên động bánh răng van</t>
        </is>
      </c>
    </row>
    <row r="650">
      <c r="A650" t="inlineStr">
        <is>
          <t>SW-DAMPER-154-FUSE</t>
        </is>
      </c>
      <c r="B650" t="inlineStr">
        <is>
          <t>SW-DAMPER-154</t>
        </is>
      </c>
      <c r="C650" t="inlineStr">
        <is>
          <t>Cầu chì nhiệt nóng chảy 70°C (Elsie/USA)</t>
        </is>
      </c>
      <c r="D650" t="inlineStr">
        <is>
          <t>PHỤ_KIỆN_VAN</t>
        </is>
      </c>
      <c r="E650" t="inlineStr">
        <is>
          <t>MAT-DAMPER-CAU-CHI-USA-2-400X400</t>
        </is>
      </c>
      <c r="F650" t="inlineStr">
        <is>
          <t>Cái</t>
        </is>
      </c>
      <c r="G650" s="4" t="n">
        <v>1</v>
      </c>
      <c r="H650" s="2">
        <f>XLOOKUP(B650, '00_TONG_HOP_BAO_GIA'!B:B, '00_TONG_HOP_BAO_GIA'!G:G, 1)</f>
        <v/>
      </c>
      <c r="I650" s="5">
        <f>G650*H650</f>
        <v/>
      </c>
      <c r="J650" s="2">
        <f>XLOOKUP(E650, '06_BANG_GIA_VAT_TU_AP_DUNG'!B:B, '06_BANG_GIA_VAT_TU_AP_DUNG'!C:C, "LỖI_MÃ_VT")</f>
        <v/>
      </c>
      <c r="K650" s="2">
        <f>I650*J650</f>
        <v/>
      </c>
      <c r="L650" t="inlineStr">
        <is>
          <t>Cầu chì kiểm định PCCC</t>
        </is>
      </c>
    </row>
    <row r="651">
      <c r="A651" t="inlineStr">
        <is>
          <t>SW-DAMPER-155-BODY</t>
        </is>
      </c>
      <c r="B651" t="inlineStr">
        <is>
          <t>SW-DAMPER-155</t>
        </is>
      </c>
      <c r="C651" t="inlineStr">
        <is>
          <t>Thân vỏ van FD bích TDF (0.75mm)</t>
        </is>
      </c>
      <c r="D651" t="inlineStr">
        <is>
          <t>TÔN_CUỘN_MẠ_KẼM</t>
        </is>
      </c>
      <c r="E651" t="inlineStr">
        <is>
          <t>MAT-STEEL-PN-0.75</t>
        </is>
      </c>
      <c r="F651" t="inlineStr">
        <is>
          <t>kg</t>
        </is>
      </c>
      <c r="G651" s="4" t="n">
        <v>4.431168</v>
      </c>
      <c r="H651" s="2">
        <f>XLOOKUP(B651, '00_TONG_HOP_BAO_GIA'!B:B, '00_TONG_HOP_BAO_GIA'!G:G, 1)</f>
        <v/>
      </c>
      <c r="I651" s="5">
        <f>G651*H651</f>
        <v/>
      </c>
      <c r="J651" s="2">
        <f>XLOOKUP(E651, '06_BANG_GIA_VAT_TU_AP_DUNG'!B:B, '06_BANG_GIA_VAT_TU_AP_DUNG'!C:C, "LỖI_MÃ_VT")</f>
        <v/>
      </c>
      <c r="K651" s="2">
        <f>I651*J651</f>
        <v/>
      </c>
      <c r="L651" t="inlineStr">
        <is>
          <t>Kích thước vỏ 700.0x400.0x250mm</t>
        </is>
      </c>
    </row>
    <row r="652">
      <c r="A652" t="inlineStr">
        <is>
          <t>SW-DAMPER-155-BLADE</t>
        </is>
      </c>
      <c r="B652" t="inlineStr">
        <is>
          <t>SW-DAMPER-155</t>
        </is>
      </c>
      <c r="C652" t="inlineStr">
        <is>
          <t>Lá cánh van (3 cánh overlap)</t>
        </is>
      </c>
      <c r="D652" t="inlineStr">
        <is>
          <t>TÔN_CUỘN_MẠ_KẼM</t>
        </is>
      </c>
      <c r="E652" t="inlineStr">
        <is>
          <t>MAT-STEEL-PN-0.75</t>
        </is>
      </c>
      <c r="F652" t="inlineStr">
        <is>
          <t>kg</t>
        </is>
      </c>
      <c r="G652" s="4" t="n">
        <v>2.047437</v>
      </c>
      <c r="H652" s="2">
        <f>XLOOKUP(B652, '00_TONG_HOP_BAO_GIA'!B:B, '00_TONG_HOP_BAO_GIA'!G:G, 1)</f>
        <v/>
      </c>
      <c r="I652" s="5">
        <f>G652*H652</f>
        <v/>
      </c>
      <c r="J652" s="2">
        <f>XLOOKUP(E652, '06_BANG_GIA_VAT_TU_AP_DUNG'!B:B, '06_BANG_GIA_VAT_TU_AP_DUNG'!C:C, "LỖI_MÃ_VT")</f>
        <v/>
      </c>
      <c r="K652" s="2">
        <f>I652*J652</f>
        <v/>
      </c>
      <c r="L652" t="inlineStr">
        <is>
          <t>3 cánh cao 153mm</t>
        </is>
      </c>
    </row>
    <row r="653">
      <c r="A653" t="inlineStr">
        <is>
          <t>SW-DAMPER-155-AXLE</t>
        </is>
      </c>
      <c r="B653" t="inlineStr">
        <is>
          <t>SW-DAMPER-155</t>
        </is>
      </c>
      <c r="C653" t="inlineStr">
        <is>
          <t>Trục Sus 201 D10</t>
        </is>
      </c>
      <c r="D653" t="inlineStr">
        <is>
          <t>PHỤ_KIỆN_VAN</t>
        </is>
      </c>
      <c r="E653" t="inlineStr">
        <is>
          <t>MAT-DAMPER-TRUC-SUS-201-D10</t>
        </is>
      </c>
      <c r="F653" t="inlineStr">
        <is>
          <t>m</t>
        </is>
      </c>
      <c r="G653" s="4" t="n">
        <v>2.28</v>
      </c>
      <c r="H653" s="2">
        <f>XLOOKUP(B653, '00_TONG_HOP_BAO_GIA'!B:B, '00_TONG_HOP_BAO_GIA'!G:G, 1)</f>
        <v/>
      </c>
      <c r="I653" s="5">
        <f>G653*H653</f>
        <v/>
      </c>
      <c r="J653" s="2">
        <f>XLOOKUP(E653, '06_BANG_GIA_VAT_TU_AP_DUNG'!B:B, '06_BANG_GIA_VAT_TU_AP_DUNG'!C:C, "LỖI_MÃ_VT")</f>
        <v/>
      </c>
      <c r="K653" s="2">
        <f>I653*J653</f>
        <v/>
      </c>
      <c r="L653" t="inlineStr">
        <is>
          <t>3 trục dài 760mm</t>
        </is>
      </c>
    </row>
    <row r="654">
      <c r="A654" t="inlineStr">
        <is>
          <t>SW-DAMPER-155-BEARING</t>
        </is>
      </c>
      <c r="B654" t="inlineStr">
        <is>
          <t>SW-DAMPER-155</t>
        </is>
      </c>
      <c r="C654" t="inlineStr">
        <is>
          <t>Bạc đồng D10</t>
        </is>
      </c>
      <c r="D654" t="inlineStr">
        <is>
          <t>PHỤ_KIỆN_VAN</t>
        </is>
      </c>
      <c r="E654" t="inlineStr">
        <is>
          <t>MAT-DAMPER-BAC-DONG-D10</t>
        </is>
      </c>
      <c r="F654" t="inlineStr">
        <is>
          <t>Đôi</t>
        </is>
      </c>
      <c r="G654" s="4" t="n">
        <v>3</v>
      </c>
      <c r="H654" s="2">
        <f>XLOOKUP(B654, '00_TONG_HOP_BAO_GIA'!B:B, '00_TONG_HOP_BAO_GIA'!G:G, 1)</f>
        <v/>
      </c>
      <c r="I654" s="5">
        <f>G654*H654</f>
        <v/>
      </c>
      <c r="J654" s="2">
        <f>XLOOKUP(E654, '06_BANG_GIA_VAT_TU_AP_DUNG'!B:B, '06_BANG_GIA_VAT_TU_AP_DUNG'!C:C, "LỖI_MÃ_VT")</f>
        <v/>
      </c>
      <c r="K654" s="2">
        <f>I654*J654</f>
        <v/>
      </c>
      <c r="L654" t="inlineStr">
        <is>
          <t>3 đôi bạc đỡ 2 bên thân</t>
        </is>
      </c>
    </row>
    <row r="655">
      <c r="A655" t="inlineStr">
        <is>
          <t>SW-DAMPER-155-GEAR</t>
        </is>
      </c>
      <c r="B655" t="inlineStr">
        <is>
          <t>SW-DAMPER-155</t>
        </is>
      </c>
      <c r="C655" t="inlineStr">
        <is>
          <t>Bánh răng van nhôm</t>
        </is>
      </c>
      <c r="D655" t="inlineStr">
        <is>
          <t>PHỤ_KIỆN_VAN</t>
        </is>
      </c>
      <c r="E655" t="inlineStr">
        <is>
          <t>MAT-DAMPER-BANH-RANG-VAN-NHOM</t>
        </is>
      </c>
      <c r="F655" t="inlineStr">
        <is>
          <t>Bộ</t>
        </is>
      </c>
      <c r="G655" s="4" t="n">
        <v>1</v>
      </c>
      <c r="H655" s="2">
        <f>XLOOKUP(B655, '00_TONG_HOP_BAO_GIA'!B:B, '00_TONG_HOP_BAO_GIA'!G:G, 1)</f>
        <v/>
      </c>
      <c r="I655" s="5">
        <f>G655*H655</f>
        <v/>
      </c>
      <c r="J655" s="2">
        <f>XLOOKUP(E655, '06_BANG_GIA_VAT_TU_AP_DUNG'!B:B, '06_BANG_GIA_VAT_TU_AP_DUNG'!C:C, "LỖI_MÃ_VT")</f>
        <v/>
      </c>
      <c r="K655" s="2">
        <f>I655*J655</f>
        <v/>
      </c>
      <c r="L655" t="inlineStr">
        <is>
          <t>Cơ cấu liên động bánh răng van</t>
        </is>
      </c>
    </row>
    <row r="656">
      <c r="A656" t="inlineStr">
        <is>
          <t>SW-DAMPER-155-FUSE</t>
        </is>
      </c>
      <c r="B656" t="inlineStr">
        <is>
          <t>SW-DAMPER-155</t>
        </is>
      </c>
      <c r="C656" t="inlineStr">
        <is>
          <t>Cầu chì nhiệt nóng chảy 70°C (Elsie/USA)</t>
        </is>
      </c>
      <c r="D656" t="inlineStr">
        <is>
          <t>PHỤ_KIỆN_VAN</t>
        </is>
      </c>
      <c r="E656" t="inlineStr">
        <is>
          <t>MAT-DAMPER-CAU-CHI-USA-2-400X400</t>
        </is>
      </c>
      <c r="F656" t="inlineStr">
        <is>
          <t>Cái</t>
        </is>
      </c>
      <c r="G656" s="4" t="n">
        <v>1</v>
      </c>
      <c r="H656" s="2">
        <f>XLOOKUP(B656, '00_TONG_HOP_BAO_GIA'!B:B, '00_TONG_HOP_BAO_GIA'!G:G, 1)</f>
        <v/>
      </c>
      <c r="I656" s="5">
        <f>G656*H656</f>
        <v/>
      </c>
      <c r="J656" s="2">
        <f>XLOOKUP(E656, '06_BANG_GIA_VAT_TU_AP_DUNG'!B:B, '06_BANG_GIA_VAT_TU_AP_DUNG'!C:C, "LỖI_MÃ_VT")</f>
        <v/>
      </c>
      <c r="K656" s="2">
        <f>I656*J656</f>
        <v/>
      </c>
      <c r="L656" t="inlineStr">
        <is>
          <t>Cầu chì kiểm định PCCC</t>
        </is>
      </c>
    </row>
    <row r="657">
      <c r="A657" t="inlineStr">
        <is>
          <t>SW-DAMPER-156-BODY</t>
        </is>
      </c>
      <c r="B657" t="inlineStr">
        <is>
          <t>SW-DAMPER-156</t>
        </is>
      </c>
      <c r="C657" t="inlineStr">
        <is>
          <t>Thân vỏ van FD bích TDF (0.75mm)</t>
        </is>
      </c>
      <c r="D657" t="inlineStr">
        <is>
          <t>TÔN_CUỘN_MẠ_KẼM</t>
        </is>
      </c>
      <c r="E657" t="inlineStr">
        <is>
          <t>MAT-STEEL-PN-0.75</t>
        </is>
      </c>
      <c r="F657" t="inlineStr">
        <is>
          <t>kg</t>
        </is>
      </c>
      <c r="G657" s="4" t="n">
        <v>5.024628</v>
      </c>
      <c r="H657" s="2">
        <f>XLOOKUP(B657, '00_TONG_HOP_BAO_GIA'!B:B, '00_TONG_HOP_BAO_GIA'!G:G, 1)</f>
        <v/>
      </c>
      <c r="I657" s="5">
        <f>G657*H657</f>
        <v/>
      </c>
      <c r="J657" s="2">
        <f>XLOOKUP(E657, '06_BANG_GIA_VAT_TU_AP_DUNG'!B:B, '06_BANG_GIA_VAT_TU_AP_DUNG'!C:C, "LỖI_MÃ_VT")</f>
        <v/>
      </c>
      <c r="K657" s="2">
        <f>I657*J657</f>
        <v/>
      </c>
      <c r="L657" t="inlineStr">
        <is>
          <t>Kích thước vỏ 750.0x500.0x250mm</t>
        </is>
      </c>
    </row>
    <row r="658">
      <c r="A658" t="inlineStr">
        <is>
          <t>SW-DAMPER-156-BLADE</t>
        </is>
      </c>
      <c r="B658" t="inlineStr">
        <is>
          <t>SW-DAMPER-156</t>
        </is>
      </c>
      <c r="C658" t="inlineStr">
        <is>
          <t>Lá cánh van (3 cánh overlap)</t>
        </is>
      </c>
      <c r="D658" t="inlineStr">
        <is>
          <t>TÔN_CUỘN_MẠ_KẼM</t>
        </is>
      </c>
      <c r="E658" t="inlineStr">
        <is>
          <t>MAT-STEEL-PN-0.75</t>
        </is>
      </c>
      <c r="F658" t="inlineStr">
        <is>
          <t>kg</t>
        </is>
      </c>
      <c r="G658" s="4" t="n">
        <v>2.670569999999999</v>
      </c>
      <c r="H658" s="2">
        <f>XLOOKUP(B658, '00_TONG_HOP_BAO_GIA'!B:B, '00_TONG_HOP_BAO_GIA'!G:G, 1)</f>
        <v/>
      </c>
      <c r="I658" s="5">
        <f>G658*H658</f>
        <v/>
      </c>
      <c r="J658" s="2">
        <f>XLOOKUP(E658, '06_BANG_GIA_VAT_TU_AP_DUNG'!B:B, '06_BANG_GIA_VAT_TU_AP_DUNG'!C:C, "LỖI_MÃ_VT")</f>
        <v/>
      </c>
      <c r="K658" s="2">
        <f>I658*J658</f>
        <v/>
      </c>
      <c r="L658" t="inlineStr">
        <is>
          <t>3 cánh cao 187mm</t>
        </is>
      </c>
    </row>
    <row r="659">
      <c r="A659" t="inlineStr">
        <is>
          <t>SW-DAMPER-156-AXLE</t>
        </is>
      </c>
      <c r="B659" t="inlineStr">
        <is>
          <t>SW-DAMPER-156</t>
        </is>
      </c>
      <c r="C659" t="inlineStr">
        <is>
          <t>Trục Sus 201 D10</t>
        </is>
      </c>
      <c r="D659" t="inlineStr">
        <is>
          <t>PHỤ_KIỆN_VAN</t>
        </is>
      </c>
      <c r="E659" t="inlineStr">
        <is>
          <t>MAT-DAMPER-TRUC-SUS-201-D10</t>
        </is>
      </c>
      <c r="F659" t="inlineStr">
        <is>
          <t>m</t>
        </is>
      </c>
      <c r="G659" s="4" t="n">
        <v>2.43</v>
      </c>
      <c r="H659" s="2">
        <f>XLOOKUP(B659, '00_TONG_HOP_BAO_GIA'!B:B, '00_TONG_HOP_BAO_GIA'!G:G, 1)</f>
        <v/>
      </c>
      <c r="I659" s="5">
        <f>G659*H659</f>
        <v/>
      </c>
      <c r="J659" s="2">
        <f>XLOOKUP(E659, '06_BANG_GIA_VAT_TU_AP_DUNG'!B:B, '06_BANG_GIA_VAT_TU_AP_DUNG'!C:C, "LỖI_MÃ_VT")</f>
        <v/>
      </c>
      <c r="K659" s="2">
        <f>I659*J659</f>
        <v/>
      </c>
      <c r="L659" t="inlineStr">
        <is>
          <t>3 trục dài 810mm</t>
        </is>
      </c>
    </row>
    <row r="660">
      <c r="A660" t="inlineStr">
        <is>
          <t>SW-DAMPER-156-BEARING</t>
        </is>
      </c>
      <c r="B660" t="inlineStr">
        <is>
          <t>SW-DAMPER-156</t>
        </is>
      </c>
      <c r="C660" t="inlineStr">
        <is>
          <t>Bạc đồng D10</t>
        </is>
      </c>
      <c r="D660" t="inlineStr">
        <is>
          <t>PHỤ_KIỆN_VAN</t>
        </is>
      </c>
      <c r="E660" t="inlineStr">
        <is>
          <t>MAT-DAMPER-BAC-DONG-D10</t>
        </is>
      </c>
      <c r="F660" t="inlineStr">
        <is>
          <t>Đôi</t>
        </is>
      </c>
      <c r="G660" s="4" t="n">
        <v>3</v>
      </c>
      <c r="H660" s="2">
        <f>XLOOKUP(B660, '00_TONG_HOP_BAO_GIA'!B:B, '00_TONG_HOP_BAO_GIA'!G:G, 1)</f>
        <v/>
      </c>
      <c r="I660" s="5">
        <f>G660*H660</f>
        <v/>
      </c>
      <c r="J660" s="2">
        <f>XLOOKUP(E660, '06_BANG_GIA_VAT_TU_AP_DUNG'!B:B, '06_BANG_GIA_VAT_TU_AP_DUNG'!C:C, "LỖI_MÃ_VT")</f>
        <v/>
      </c>
      <c r="K660" s="2">
        <f>I660*J660</f>
        <v/>
      </c>
      <c r="L660" t="inlineStr">
        <is>
          <t>3 đôi bạc đỡ 2 bên thân</t>
        </is>
      </c>
    </row>
    <row r="661">
      <c r="A661" t="inlineStr">
        <is>
          <t>SW-DAMPER-156-GEAR</t>
        </is>
      </c>
      <c r="B661" t="inlineStr">
        <is>
          <t>SW-DAMPER-156</t>
        </is>
      </c>
      <c r="C661" t="inlineStr">
        <is>
          <t>Bánh răng van nhôm</t>
        </is>
      </c>
      <c r="D661" t="inlineStr">
        <is>
          <t>PHỤ_KIỆN_VAN</t>
        </is>
      </c>
      <c r="E661" t="inlineStr">
        <is>
          <t>MAT-DAMPER-BANH-RANG-VAN-NHOM</t>
        </is>
      </c>
      <c r="F661" t="inlineStr">
        <is>
          <t>Bộ</t>
        </is>
      </c>
      <c r="G661" s="4" t="n">
        <v>1</v>
      </c>
      <c r="H661" s="2">
        <f>XLOOKUP(B661, '00_TONG_HOP_BAO_GIA'!B:B, '00_TONG_HOP_BAO_GIA'!G:G, 1)</f>
        <v/>
      </c>
      <c r="I661" s="5">
        <f>G661*H661</f>
        <v/>
      </c>
      <c r="J661" s="2">
        <f>XLOOKUP(E661, '06_BANG_GIA_VAT_TU_AP_DUNG'!B:B, '06_BANG_GIA_VAT_TU_AP_DUNG'!C:C, "LỖI_MÃ_VT")</f>
        <v/>
      </c>
      <c r="K661" s="2">
        <f>I661*J661</f>
        <v/>
      </c>
      <c r="L661" t="inlineStr">
        <is>
          <t>Cơ cấu liên động bánh răng van</t>
        </is>
      </c>
    </row>
    <row r="662">
      <c r="A662" t="inlineStr">
        <is>
          <t>SW-DAMPER-156-FUSE</t>
        </is>
      </c>
      <c r="B662" t="inlineStr">
        <is>
          <t>SW-DAMPER-156</t>
        </is>
      </c>
      <c r="C662" t="inlineStr">
        <is>
          <t>Cầu chì nhiệt nóng chảy 70°C (Elsie/USA)</t>
        </is>
      </c>
      <c r="D662" t="inlineStr">
        <is>
          <t>PHỤ_KIỆN_VAN</t>
        </is>
      </c>
      <c r="E662" t="inlineStr">
        <is>
          <t>MAT-DAMPER-CAU-CHI-USA-2-400X400</t>
        </is>
      </c>
      <c r="F662" t="inlineStr">
        <is>
          <t>Cái</t>
        </is>
      </c>
      <c r="G662" s="4" t="n">
        <v>1</v>
      </c>
      <c r="H662" s="2">
        <f>XLOOKUP(B662, '00_TONG_HOP_BAO_GIA'!B:B, '00_TONG_HOP_BAO_GIA'!G:G, 1)</f>
        <v/>
      </c>
      <c r="I662" s="5">
        <f>G662*H662</f>
        <v/>
      </c>
      <c r="J662" s="2">
        <f>XLOOKUP(E662, '06_BANG_GIA_VAT_TU_AP_DUNG'!B:B, '06_BANG_GIA_VAT_TU_AP_DUNG'!C:C, "LỖI_MÃ_VT")</f>
        <v/>
      </c>
      <c r="K662" s="2">
        <f>I662*J662</f>
        <v/>
      </c>
      <c r="L662" t="inlineStr">
        <is>
          <t>Cầu chì kiểm định PCCC</t>
        </is>
      </c>
    </row>
    <row r="663">
      <c r="A663" t="inlineStr">
        <is>
          <t>SW-DAMPER-157-BODY</t>
        </is>
      </c>
      <c r="B663" t="inlineStr">
        <is>
          <t>SW-DAMPER-157</t>
        </is>
      </c>
      <c r="C663" t="inlineStr">
        <is>
          <t>Thân vỏ van FD bích TDF (0.75mm)</t>
        </is>
      </c>
      <c r="D663" t="inlineStr">
        <is>
          <t>TÔN_CUỘN_MẠ_KẼM</t>
        </is>
      </c>
      <c r="E663" t="inlineStr">
        <is>
          <t>MAT-STEEL-PN-0.75</t>
        </is>
      </c>
      <c r="F663" t="inlineStr">
        <is>
          <t>kg</t>
        </is>
      </c>
      <c r="G663" s="4" t="n">
        <v>5.222448</v>
      </c>
      <c r="H663" s="2">
        <f>XLOOKUP(B663, '00_TONG_HOP_BAO_GIA'!B:B, '00_TONG_HOP_BAO_GIA'!G:G, 1)</f>
        <v/>
      </c>
      <c r="I663" s="5">
        <f>G663*H663</f>
        <v/>
      </c>
      <c r="J663" s="2">
        <f>XLOOKUP(E663, '06_BANG_GIA_VAT_TU_AP_DUNG'!B:B, '06_BANG_GIA_VAT_TU_AP_DUNG'!C:C, "LỖI_MÃ_VT")</f>
        <v/>
      </c>
      <c r="K663" s="2">
        <f>I663*J663</f>
        <v/>
      </c>
      <c r="L663" t="inlineStr">
        <is>
          <t>Kích thước vỏ 750.0x550.0x250mm</t>
        </is>
      </c>
    </row>
    <row r="664">
      <c r="A664" t="inlineStr">
        <is>
          <t>SW-DAMPER-157-BLADE</t>
        </is>
      </c>
      <c r="B664" t="inlineStr">
        <is>
          <t>SW-DAMPER-157</t>
        </is>
      </c>
      <c r="C664" t="inlineStr">
        <is>
          <t>Lá cánh van (4 cánh overlap)</t>
        </is>
      </c>
      <c r="D664" t="inlineStr">
        <is>
          <t>TÔN_CUỘN_MẠ_KẼM</t>
        </is>
      </c>
      <c r="E664" t="inlineStr">
        <is>
          <t>MAT-STEEL-PN-0.75</t>
        </is>
      </c>
      <c r="F664" t="inlineStr">
        <is>
          <t>kg</t>
        </is>
      </c>
      <c r="G664" s="4" t="n">
        <v>3.00439125</v>
      </c>
      <c r="H664" s="2">
        <f>XLOOKUP(B664, '00_TONG_HOP_BAO_GIA'!B:B, '00_TONG_HOP_BAO_GIA'!G:G, 1)</f>
        <v/>
      </c>
      <c r="I664" s="5">
        <f>G664*H664</f>
        <v/>
      </c>
      <c r="J664" s="2">
        <f>XLOOKUP(E664, '06_BANG_GIA_VAT_TU_AP_DUNG'!B:B, '06_BANG_GIA_VAT_TU_AP_DUNG'!C:C, "LỖI_MÃ_VT")</f>
        <v/>
      </c>
      <c r="K664" s="2">
        <f>I664*J664</f>
        <v/>
      </c>
      <c r="L664" t="inlineStr">
        <is>
          <t>4 cánh cao 158mm</t>
        </is>
      </c>
    </row>
    <row r="665">
      <c r="A665" t="inlineStr">
        <is>
          <t>SW-DAMPER-157-AXLE</t>
        </is>
      </c>
      <c r="B665" t="inlineStr">
        <is>
          <t>SW-DAMPER-157</t>
        </is>
      </c>
      <c r="C665" t="inlineStr">
        <is>
          <t>Trục Sus 201 D10</t>
        </is>
      </c>
      <c r="D665" t="inlineStr">
        <is>
          <t>PHỤ_KIỆN_VAN</t>
        </is>
      </c>
      <c r="E665" t="inlineStr">
        <is>
          <t>MAT-DAMPER-TRUC-SUS-201-D10</t>
        </is>
      </c>
      <c r="F665" t="inlineStr">
        <is>
          <t>m</t>
        </is>
      </c>
      <c r="G665" s="4" t="n">
        <v>3.24</v>
      </c>
      <c r="H665" s="2">
        <f>XLOOKUP(B665, '00_TONG_HOP_BAO_GIA'!B:B, '00_TONG_HOP_BAO_GIA'!G:G, 1)</f>
        <v/>
      </c>
      <c r="I665" s="5">
        <f>G665*H665</f>
        <v/>
      </c>
      <c r="J665" s="2">
        <f>XLOOKUP(E665, '06_BANG_GIA_VAT_TU_AP_DUNG'!B:B, '06_BANG_GIA_VAT_TU_AP_DUNG'!C:C, "LỖI_MÃ_VT")</f>
        <v/>
      </c>
      <c r="K665" s="2">
        <f>I665*J665</f>
        <v/>
      </c>
      <c r="L665" t="inlineStr">
        <is>
          <t>4 trục dài 810mm</t>
        </is>
      </c>
    </row>
    <row r="666">
      <c r="A666" t="inlineStr">
        <is>
          <t>SW-DAMPER-157-BEARING</t>
        </is>
      </c>
      <c r="B666" t="inlineStr">
        <is>
          <t>SW-DAMPER-157</t>
        </is>
      </c>
      <c r="C666" t="inlineStr">
        <is>
          <t>Bạc đồng D10</t>
        </is>
      </c>
      <c r="D666" t="inlineStr">
        <is>
          <t>PHỤ_KIỆN_VAN</t>
        </is>
      </c>
      <c r="E666" t="inlineStr">
        <is>
          <t>MAT-DAMPER-BAC-DONG-D10</t>
        </is>
      </c>
      <c r="F666" t="inlineStr">
        <is>
          <t>Đôi</t>
        </is>
      </c>
      <c r="G666" s="4" t="n">
        <v>4</v>
      </c>
      <c r="H666" s="2">
        <f>XLOOKUP(B666, '00_TONG_HOP_BAO_GIA'!B:B, '00_TONG_HOP_BAO_GIA'!G:G, 1)</f>
        <v/>
      </c>
      <c r="I666" s="5">
        <f>G666*H666</f>
        <v/>
      </c>
      <c r="J666" s="2">
        <f>XLOOKUP(E666, '06_BANG_GIA_VAT_TU_AP_DUNG'!B:B, '06_BANG_GIA_VAT_TU_AP_DUNG'!C:C, "LỖI_MÃ_VT")</f>
        <v/>
      </c>
      <c r="K666" s="2">
        <f>I666*J666</f>
        <v/>
      </c>
      <c r="L666" t="inlineStr">
        <is>
          <t>4 đôi bạc đỡ 2 bên thân</t>
        </is>
      </c>
    </row>
    <row r="667">
      <c r="A667" t="inlineStr">
        <is>
          <t>SW-DAMPER-157-GEAR</t>
        </is>
      </c>
      <c r="B667" t="inlineStr">
        <is>
          <t>SW-DAMPER-157</t>
        </is>
      </c>
      <c r="C667" t="inlineStr">
        <is>
          <t>Bánh răng van nhôm</t>
        </is>
      </c>
      <c r="D667" t="inlineStr">
        <is>
          <t>PHỤ_KIỆN_VAN</t>
        </is>
      </c>
      <c r="E667" t="inlineStr">
        <is>
          <t>MAT-DAMPER-BANH-RANG-VAN-NHOM</t>
        </is>
      </c>
      <c r="F667" t="inlineStr">
        <is>
          <t>Bộ</t>
        </is>
      </c>
      <c r="G667" s="4" t="n">
        <v>1</v>
      </c>
      <c r="H667" s="2">
        <f>XLOOKUP(B667, '00_TONG_HOP_BAO_GIA'!B:B, '00_TONG_HOP_BAO_GIA'!G:G, 1)</f>
        <v/>
      </c>
      <c r="I667" s="5">
        <f>G667*H667</f>
        <v/>
      </c>
      <c r="J667" s="2">
        <f>XLOOKUP(E667, '06_BANG_GIA_VAT_TU_AP_DUNG'!B:B, '06_BANG_GIA_VAT_TU_AP_DUNG'!C:C, "LỖI_MÃ_VT")</f>
        <v/>
      </c>
      <c r="K667" s="2">
        <f>I667*J667</f>
        <v/>
      </c>
      <c r="L667" t="inlineStr">
        <is>
          <t>Cơ cấu liên động bánh răng van</t>
        </is>
      </c>
    </row>
    <row r="668">
      <c r="A668" t="inlineStr">
        <is>
          <t>SW-DAMPER-157-FUSE</t>
        </is>
      </c>
      <c r="B668" t="inlineStr">
        <is>
          <t>SW-DAMPER-157</t>
        </is>
      </c>
      <c r="C668" t="inlineStr">
        <is>
          <t>Cầu chì nhiệt nóng chảy 70°C (Elsie/USA)</t>
        </is>
      </c>
      <c r="D668" t="inlineStr">
        <is>
          <t>PHỤ_KIỆN_VAN</t>
        </is>
      </c>
      <c r="E668" t="inlineStr">
        <is>
          <t>MAT-DAMPER-CAU-CHI-USA-2-400X400</t>
        </is>
      </c>
      <c r="F668" t="inlineStr">
        <is>
          <t>Cái</t>
        </is>
      </c>
      <c r="G668" s="4" t="n">
        <v>1</v>
      </c>
      <c r="H668" s="2">
        <f>XLOOKUP(B668, '00_TONG_HOP_BAO_GIA'!B:B, '00_TONG_HOP_BAO_GIA'!G:G, 1)</f>
        <v/>
      </c>
      <c r="I668" s="5">
        <f>G668*H668</f>
        <v/>
      </c>
      <c r="J668" s="2">
        <f>XLOOKUP(E668, '06_BANG_GIA_VAT_TU_AP_DUNG'!B:B, '06_BANG_GIA_VAT_TU_AP_DUNG'!C:C, "LỖI_MÃ_VT")</f>
        <v/>
      </c>
      <c r="K668" s="2">
        <f>I668*J668</f>
        <v/>
      </c>
      <c r="L668" t="inlineStr">
        <is>
          <t>Cầu chì kiểm định PCCC</t>
        </is>
      </c>
    </row>
    <row r="669">
      <c r="A669" t="inlineStr">
        <is>
          <t>SW-DAMPER-158-BODY</t>
        </is>
      </c>
      <c r="B669" t="inlineStr">
        <is>
          <t>SW-DAMPER-158</t>
        </is>
      </c>
      <c r="C669" t="inlineStr">
        <is>
          <t>Thân vỏ van FD bích TDF (0.75mm)</t>
        </is>
      </c>
      <c r="D669" t="inlineStr">
        <is>
          <t>TÔN_CUỘN_MẠ_KẼM</t>
        </is>
      </c>
      <c r="E669" t="inlineStr">
        <is>
          <t>MAT-STEEL-PN-0.75</t>
        </is>
      </c>
      <c r="F669" t="inlineStr">
        <is>
          <t>kg</t>
        </is>
      </c>
      <c r="G669" s="4" t="n">
        <v>4.826808</v>
      </c>
      <c r="H669" s="2">
        <f>XLOOKUP(B669, '00_TONG_HOP_BAO_GIA'!B:B, '00_TONG_HOP_BAO_GIA'!G:G, 1)</f>
        <v/>
      </c>
      <c r="I669" s="5">
        <f>G669*H669</f>
        <v/>
      </c>
      <c r="J669" s="2">
        <f>XLOOKUP(E669, '06_BANG_GIA_VAT_TU_AP_DUNG'!B:B, '06_BANG_GIA_VAT_TU_AP_DUNG'!C:C, "LỖI_MÃ_VT")</f>
        <v/>
      </c>
      <c r="K669" s="2">
        <f>I669*J669</f>
        <v/>
      </c>
      <c r="L669" t="inlineStr">
        <is>
          <t>Kích thước vỏ 800.0x400.0x250mm</t>
        </is>
      </c>
    </row>
    <row r="670">
      <c r="A670" t="inlineStr">
        <is>
          <t>SW-DAMPER-158-BLADE</t>
        </is>
      </c>
      <c r="B670" t="inlineStr">
        <is>
          <t>SW-DAMPER-158</t>
        </is>
      </c>
      <c r="C670" t="inlineStr">
        <is>
          <t>Lá cánh van (3 cánh overlap)</t>
        </is>
      </c>
      <c r="D670" t="inlineStr">
        <is>
          <t>TÔN_CUỘN_MẠ_KẼM</t>
        </is>
      </c>
      <c r="E670" t="inlineStr">
        <is>
          <t>MAT-STEEL-PN-0.75</t>
        </is>
      </c>
      <c r="F670" t="inlineStr">
        <is>
          <t>kg</t>
        </is>
      </c>
      <c r="G670" s="4" t="n">
        <v>2.339928</v>
      </c>
      <c r="H670" s="2">
        <f>XLOOKUP(B670, '00_TONG_HOP_BAO_GIA'!B:B, '00_TONG_HOP_BAO_GIA'!G:G, 1)</f>
        <v/>
      </c>
      <c r="I670" s="5">
        <f>G670*H670</f>
        <v/>
      </c>
      <c r="J670" s="2">
        <f>XLOOKUP(E670, '06_BANG_GIA_VAT_TU_AP_DUNG'!B:B, '06_BANG_GIA_VAT_TU_AP_DUNG'!C:C, "LỖI_MÃ_VT")</f>
        <v/>
      </c>
      <c r="K670" s="2">
        <f>I670*J670</f>
        <v/>
      </c>
      <c r="L670" t="inlineStr">
        <is>
          <t>3 cánh cao 153mm</t>
        </is>
      </c>
    </row>
    <row r="671">
      <c r="A671" t="inlineStr">
        <is>
          <t>SW-DAMPER-158-AXLE</t>
        </is>
      </c>
      <c r="B671" t="inlineStr">
        <is>
          <t>SW-DAMPER-158</t>
        </is>
      </c>
      <c r="C671" t="inlineStr">
        <is>
          <t>Trục Sus 201 D10</t>
        </is>
      </c>
      <c r="D671" t="inlineStr">
        <is>
          <t>PHỤ_KIỆN_VAN</t>
        </is>
      </c>
      <c r="E671" t="inlineStr">
        <is>
          <t>MAT-DAMPER-TRUC-SUS-201-D10</t>
        </is>
      </c>
      <c r="F671" t="inlineStr">
        <is>
          <t>m</t>
        </is>
      </c>
      <c r="G671" s="4" t="n">
        <v>2.58</v>
      </c>
      <c r="H671" s="2">
        <f>XLOOKUP(B671, '00_TONG_HOP_BAO_GIA'!B:B, '00_TONG_HOP_BAO_GIA'!G:G, 1)</f>
        <v/>
      </c>
      <c r="I671" s="5">
        <f>G671*H671</f>
        <v/>
      </c>
      <c r="J671" s="2">
        <f>XLOOKUP(E671, '06_BANG_GIA_VAT_TU_AP_DUNG'!B:B, '06_BANG_GIA_VAT_TU_AP_DUNG'!C:C, "LỖI_MÃ_VT")</f>
        <v/>
      </c>
      <c r="K671" s="2">
        <f>I671*J671</f>
        <v/>
      </c>
      <c r="L671" t="inlineStr">
        <is>
          <t>3 trục dài 860mm</t>
        </is>
      </c>
    </row>
    <row r="672">
      <c r="A672" t="inlineStr">
        <is>
          <t>SW-DAMPER-158-BEARING</t>
        </is>
      </c>
      <c r="B672" t="inlineStr">
        <is>
          <t>SW-DAMPER-158</t>
        </is>
      </c>
      <c r="C672" t="inlineStr">
        <is>
          <t>Bạc đồng D10</t>
        </is>
      </c>
      <c r="D672" t="inlineStr">
        <is>
          <t>PHỤ_KIỆN_VAN</t>
        </is>
      </c>
      <c r="E672" t="inlineStr">
        <is>
          <t>MAT-DAMPER-BAC-DONG-D10</t>
        </is>
      </c>
      <c r="F672" t="inlineStr">
        <is>
          <t>Đôi</t>
        </is>
      </c>
      <c r="G672" s="4" t="n">
        <v>3</v>
      </c>
      <c r="H672" s="2">
        <f>XLOOKUP(B672, '00_TONG_HOP_BAO_GIA'!B:B, '00_TONG_HOP_BAO_GIA'!G:G, 1)</f>
        <v/>
      </c>
      <c r="I672" s="5">
        <f>G672*H672</f>
        <v/>
      </c>
      <c r="J672" s="2">
        <f>XLOOKUP(E672, '06_BANG_GIA_VAT_TU_AP_DUNG'!B:B, '06_BANG_GIA_VAT_TU_AP_DUNG'!C:C, "LỖI_MÃ_VT")</f>
        <v/>
      </c>
      <c r="K672" s="2">
        <f>I672*J672</f>
        <v/>
      </c>
      <c r="L672" t="inlineStr">
        <is>
          <t>3 đôi bạc đỡ 2 bên thân</t>
        </is>
      </c>
    </row>
    <row r="673">
      <c r="A673" t="inlineStr">
        <is>
          <t>SW-DAMPER-158-GEAR</t>
        </is>
      </c>
      <c r="B673" t="inlineStr">
        <is>
          <t>SW-DAMPER-158</t>
        </is>
      </c>
      <c r="C673" t="inlineStr">
        <is>
          <t>Bánh răng van nhôm</t>
        </is>
      </c>
      <c r="D673" t="inlineStr">
        <is>
          <t>PHỤ_KIỆN_VAN</t>
        </is>
      </c>
      <c r="E673" t="inlineStr">
        <is>
          <t>MAT-DAMPER-BANH-RANG-VAN-NHOM</t>
        </is>
      </c>
      <c r="F673" t="inlineStr">
        <is>
          <t>Bộ</t>
        </is>
      </c>
      <c r="G673" s="4" t="n">
        <v>1</v>
      </c>
      <c r="H673" s="2">
        <f>XLOOKUP(B673, '00_TONG_HOP_BAO_GIA'!B:B, '00_TONG_HOP_BAO_GIA'!G:G, 1)</f>
        <v/>
      </c>
      <c r="I673" s="5">
        <f>G673*H673</f>
        <v/>
      </c>
      <c r="J673" s="2">
        <f>XLOOKUP(E673, '06_BANG_GIA_VAT_TU_AP_DUNG'!B:B, '06_BANG_GIA_VAT_TU_AP_DUNG'!C:C, "LỖI_MÃ_VT")</f>
        <v/>
      </c>
      <c r="K673" s="2">
        <f>I673*J673</f>
        <v/>
      </c>
      <c r="L673" t="inlineStr">
        <is>
          <t>Cơ cấu liên động bánh răng van</t>
        </is>
      </c>
    </row>
    <row r="674">
      <c r="A674" t="inlineStr">
        <is>
          <t>SW-DAMPER-158-FUSE</t>
        </is>
      </c>
      <c r="B674" t="inlineStr">
        <is>
          <t>SW-DAMPER-158</t>
        </is>
      </c>
      <c r="C674" t="inlineStr">
        <is>
          <t>Cầu chì nhiệt nóng chảy 70°C (Elsie/USA)</t>
        </is>
      </c>
      <c r="D674" t="inlineStr">
        <is>
          <t>PHỤ_KIỆN_VAN</t>
        </is>
      </c>
      <c r="E674" t="inlineStr">
        <is>
          <t>MAT-DAMPER-CAU-CHI-USA-2-400X400</t>
        </is>
      </c>
      <c r="F674" t="inlineStr">
        <is>
          <t>Cái</t>
        </is>
      </c>
      <c r="G674" s="4" t="n">
        <v>1</v>
      </c>
      <c r="H674" s="2">
        <f>XLOOKUP(B674, '00_TONG_HOP_BAO_GIA'!B:B, '00_TONG_HOP_BAO_GIA'!G:G, 1)</f>
        <v/>
      </c>
      <c r="I674" s="5">
        <f>G674*H674</f>
        <v/>
      </c>
      <c r="J674" s="2">
        <f>XLOOKUP(E674, '06_BANG_GIA_VAT_TU_AP_DUNG'!B:B, '06_BANG_GIA_VAT_TU_AP_DUNG'!C:C, "LỖI_MÃ_VT")</f>
        <v/>
      </c>
      <c r="K674" s="2">
        <f>I674*J674</f>
        <v/>
      </c>
      <c r="L674" t="inlineStr">
        <is>
          <t>Cầu chì kiểm định PCCC</t>
        </is>
      </c>
    </row>
    <row r="675">
      <c r="A675" t="inlineStr">
        <is>
          <t>SW-DAMPER-159-BODY</t>
        </is>
      </c>
      <c r="B675" t="inlineStr">
        <is>
          <t>SW-DAMPER-159</t>
        </is>
      </c>
      <c r="C675" t="inlineStr">
        <is>
          <t>Thân vỏ van FD bích TDF (0.75mm)</t>
        </is>
      </c>
      <c r="D675" t="inlineStr">
        <is>
          <t>TÔN_CUỘN_MẠ_KẼM</t>
        </is>
      </c>
      <c r="E675" t="inlineStr">
        <is>
          <t>MAT-STEEL-PN-0.75</t>
        </is>
      </c>
      <c r="F675" t="inlineStr">
        <is>
          <t>kg</t>
        </is>
      </c>
      <c r="G675" s="4" t="n">
        <v>5.024628</v>
      </c>
      <c r="H675" s="2">
        <f>XLOOKUP(B675, '00_TONG_HOP_BAO_GIA'!B:B, '00_TONG_HOP_BAO_GIA'!G:G, 1)</f>
        <v/>
      </c>
      <c r="I675" s="5">
        <f>G675*H675</f>
        <v/>
      </c>
      <c r="J675" s="2">
        <f>XLOOKUP(E675, '06_BANG_GIA_VAT_TU_AP_DUNG'!B:B, '06_BANG_GIA_VAT_TU_AP_DUNG'!C:C, "LỖI_MÃ_VT")</f>
        <v/>
      </c>
      <c r="K675" s="2">
        <f>I675*J675</f>
        <v/>
      </c>
      <c r="L675" t="inlineStr">
        <is>
          <t>Kích thước vỏ 800.0x450.0x250mm</t>
        </is>
      </c>
    </row>
    <row r="676">
      <c r="A676" t="inlineStr">
        <is>
          <t>SW-DAMPER-159-BLADE</t>
        </is>
      </c>
      <c r="B676" t="inlineStr">
        <is>
          <t>SW-DAMPER-159</t>
        </is>
      </c>
      <c r="C676" t="inlineStr">
        <is>
          <t>Lá cánh van (3 cánh overlap)</t>
        </is>
      </c>
      <c r="D676" t="inlineStr">
        <is>
          <t>TÔN_CUỘN_MẠ_KẼM</t>
        </is>
      </c>
      <c r="E676" t="inlineStr">
        <is>
          <t>MAT-STEEL-PN-0.75</t>
        </is>
      </c>
      <c r="F676" t="inlineStr">
        <is>
          <t>kg</t>
        </is>
      </c>
      <c r="G676" s="4" t="n">
        <v>2.594268</v>
      </c>
      <c r="H676" s="2">
        <f>XLOOKUP(B676, '00_TONG_HOP_BAO_GIA'!B:B, '00_TONG_HOP_BAO_GIA'!G:G, 1)</f>
        <v/>
      </c>
      <c r="I676" s="5">
        <f>G676*H676</f>
        <v/>
      </c>
      <c r="J676" s="2">
        <f>XLOOKUP(E676, '06_BANG_GIA_VAT_TU_AP_DUNG'!B:B, '06_BANG_GIA_VAT_TU_AP_DUNG'!C:C, "LỖI_MÃ_VT")</f>
        <v/>
      </c>
      <c r="K676" s="2">
        <f>I676*J676</f>
        <v/>
      </c>
      <c r="L676" t="inlineStr">
        <is>
          <t>3 cánh cao 170mm</t>
        </is>
      </c>
    </row>
    <row r="677">
      <c r="A677" t="inlineStr">
        <is>
          <t>SW-DAMPER-159-AXLE</t>
        </is>
      </c>
      <c r="B677" t="inlineStr">
        <is>
          <t>SW-DAMPER-159</t>
        </is>
      </c>
      <c r="C677" t="inlineStr">
        <is>
          <t>Trục Sus 201 D10</t>
        </is>
      </c>
      <c r="D677" t="inlineStr">
        <is>
          <t>PHỤ_KIỆN_VAN</t>
        </is>
      </c>
      <c r="E677" t="inlineStr">
        <is>
          <t>MAT-DAMPER-TRUC-SUS-201-D10</t>
        </is>
      </c>
      <c r="F677" t="inlineStr">
        <is>
          <t>m</t>
        </is>
      </c>
      <c r="G677" s="4" t="n">
        <v>2.58</v>
      </c>
      <c r="H677" s="2">
        <f>XLOOKUP(B677, '00_TONG_HOP_BAO_GIA'!B:B, '00_TONG_HOP_BAO_GIA'!G:G, 1)</f>
        <v/>
      </c>
      <c r="I677" s="5">
        <f>G677*H677</f>
        <v/>
      </c>
      <c r="J677" s="2">
        <f>XLOOKUP(E677, '06_BANG_GIA_VAT_TU_AP_DUNG'!B:B, '06_BANG_GIA_VAT_TU_AP_DUNG'!C:C, "LỖI_MÃ_VT")</f>
        <v/>
      </c>
      <c r="K677" s="2">
        <f>I677*J677</f>
        <v/>
      </c>
      <c r="L677" t="inlineStr">
        <is>
          <t>3 trục dài 860mm</t>
        </is>
      </c>
    </row>
    <row r="678">
      <c r="A678" t="inlineStr">
        <is>
          <t>SW-DAMPER-159-BEARING</t>
        </is>
      </c>
      <c r="B678" t="inlineStr">
        <is>
          <t>SW-DAMPER-159</t>
        </is>
      </c>
      <c r="C678" t="inlineStr">
        <is>
          <t>Bạc đồng D10</t>
        </is>
      </c>
      <c r="D678" t="inlineStr">
        <is>
          <t>PHỤ_KIỆN_VAN</t>
        </is>
      </c>
      <c r="E678" t="inlineStr">
        <is>
          <t>MAT-DAMPER-BAC-DONG-D10</t>
        </is>
      </c>
      <c r="F678" t="inlineStr">
        <is>
          <t>Đôi</t>
        </is>
      </c>
      <c r="G678" s="4" t="n">
        <v>3</v>
      </c>
      <c r="H678" s="2">
        <f>XLOOKUP(B678, '00_TONG_HOP_BAO_GIA'!B:B, '00_TONG_HOP_BAO_GIA'!G:G, 1)</f>
        <v/>
      </c>
      <c r="I678" s="5">
        <f>G678*H678</f>
        <v/>
      </c>
      <c r="J678" s="2">
        <f>XLOOKUP(E678, '06_BANG_GIA_VAT_TU_AP_DUNG'!B:B, '06_BANG_GIA_VAT_TU_AP_DUNG'!C:C, "LỖI_MÃ_VT")</f>
        <v/>
      </c>
      <c r="K678" s="2">
        <f>I678*J678</f>
        <v/>
      </c>
      <c r="L678" t="inlineStr">
        <is>
          <t>3 đôi bạc đỡ 2 bên thân</t>
        </is>
      </c>
    </row>
    <row r="679">
      <c r="A679" t="inlineStr">
        <is>
          <t>SW-DAMPER-159-GEAR</t>
        </is>
      </c>
      <c r="B679" t="inlineStr">
        <is>
          <t>SW-DAMPER-159</t>
        </is>
      </c>
      <c r="C679" t="inlineStr">
        <is>
          <t>Bánh răng van nhôm</t>
        </is>
      </c>
      <c r="D679" t="inlineStr">
        <is>
          <t>PHỤ_KIỆN_VAN</t>
        </is>
      </c>
      <c r="E679" t="inlineStr">
        <is>
          <t>MAT-DAMPER-BANH-RANG-VAN-NHOM</t>
        </is>
      </c>
      <c r="F679" t="inlineStr">
        <is>
          <t>Bộ</t>
        </is>
      </c>
      <c r="G679" s="4" t="n">
        <v>1</v>
      </c>
      <c r="H679" s="2">
        <f>XLOOKUP(B679, '00_TONG_HOP_BAO_GIA'!B:B, '00_TONG_HOP_BAO_GIA'!G:G, 1)</f>
        <v/>
      </c>
      <c r="I679" s="5">
        <f>G679*H679</f>
        <v/>
      </c>
      <c r="J679" s="2">
        <f>XLOOKUP(E679, '06_BANG_GIA_VAT_TU_AP_DUNG'!B:B, '06_BANG_GIA_VAT_TU_AP_DUNG'!C:C, "LỖI_MÃ_VT")</f>
        <v/>
      </c>
      <c r="K679" s="2">
        <f>I679*J679</f>
        <v/>
      </c>
      <c r="L679" t="inlineStr">
        <is>
          <t>Cơ cấu liên động bánh răng van</t>
        </is>
      </c>
    </row>
    <row r="680">
      <c r="A680" t="inlineStr">
        <is>
          <t>SW-DAMPER-159-FUSE</t>
        </is>
      </c>
      <c r="B680" t="inlineStr">
        <is>
          <t>SW-DAMPER-159</t>
        </is>
      </c>
      <c r="C680" t="inlineStr">
        <is>
          <t>Cầu chì nhiệt nóng chảy 70°C (Elsie/USA)</t>
        </is>
      </c>
      <c r="D680" t="inlineStr">
        <is>
          <t>PHỤ_KIỆN_VAN</t>
        </is>
      </c>
      <c r="E680" t="inlineStr">
        <is>
          <t>MAT-DAMPER-CAU-CHI-USA-2-400X400</t>
        </is>
      </c>
      <c r="F680" t="inlineStr">
        <is>
          <t>Cái</t>
        </is>
      </c>
      <c r="G680" s="4" t="n">
        <v>1</v>
      </c>
      <c r="H680" s="2">
        <f>XLOOKUP(B680, '00_TONG_HOP_BAO_GIA'!B:B, '00_TONG_HOP_BAO_GIA'!G:G, 1)</f>
        <v/>
      </c>
      <c r="I680" s="5">
        <f>G680*H680</f>
        <v/>
      </c>
      <c r="J680" s="2">
        <f>XLOOKUP(E680, '06_BANG_GIA_VAT_TU_AP_DUNG'!B:B, '06_BANG_GIA_VAT_TU_AP_DUNG'!C:C, "LỖI_MÃ_VT")</f>
        <v/>
      </c>
      <c r="K680" s="2">
        <f>I680*J680</f>
        <v/>
      </c>
      <c r="L680" t="inlineStr">
        <is>
          <t>Cầu chì kiểm định PCCC</t>
        </is>
      </c>
    </row>
    <row r="681">
      <c r="A681" t="inlineStr">
        <is>
          <t>SW-DAMPER-160-BODY</t>
        </is>
      </c>
      <c r="B681" t="inlineStr">
        <is>
          <t>SW-DAMPER-160</t>
        </is>
      </c>
      <c r="C681" t="inlineStr">
        <is>
          <t>Thân vỏ van FD bích TDF (0.95mm)</t>
        </is>
      </c>
      <c r="D681" t="inlineStr">
        <is>
          <t>TÔN_CUỘN_MẠ_KẼM</t>
        </is>
      </c>
      <c r="E681" t="inlineStr">
        <is>
          <t>MAT-STEEL-PN-0.95</t>
        </is>
      </c>
      <c r="F681" t="inlineStr">
        <is>
          <t>kg</t>
        </is>
      </c>
      <c r="G681" s="4" t="n">
        <v>6.1139568</v>
      </c>
      <c r="H681" s="2">
        <f>XLOOKUP(B681, '00_TONG_HOP_BAO_GIA'!B:B, '00_TONG_HOP_BAO_GIA'!G:G, 1)</f>
        <v/>
      </c>
      <c r="I681" s="5">
        <f>G681*H681</f>
        <v/>
      </c>
      <c r="J681" s="2">
        <f>XLOOKUP(E681, '06_BANG_GIA_VAT_TU_AP_DUNG'!B:B, '06_BANG_GIA_VAT_TU_AP_DUNG'!C:C, "LỖI_MÃ_VT")</f>
        <v/>
      </c>
      <c r="K681" s="2">
        <f>I681*J681</f>
        <v/>
      </c>
      <c r="L681" t="inlineStr">
        <is>
          <t>Kích thước vỏ 900.0x300.0x250mm</t>
        </is>
      </c>
    </row>
    <row r="682">
      <c r="A682" t="inlineStr">
        <is>
          <t>SW-DAMPER-160-BLADE</t>
        </is>
      </c>
      <c r="B682" t="inlineStr">
        <is>
          <t>SW-DAMPER-160</t>
        </is>
      </c>
      <c r="C682" t="inlineStr">
        <is>
          <t>Lá cánh van (2 cánh overlap)</t>
        </is>
      </c>
      <c r="D682" t="inlineStr">
        <is>
          <t>TÔN_CUỘN_MẠ_KẼM</t>
        </is>
      </c>
      <c r="E682" t="inlineStr">
        <is>
          <t>MAT-STEEL-PN-0.75</t>
        </is>
      </c>
      <c r="F682" t="inlineStr">
        <is>
          <t>kg</t>
        </is>
      </c>
      <c r="G682" s="4" t="n">
        <v>1.945701</v>
      </c>
      <c r="H682" s="2">
        <f>XLOOKUP(B682, '00_TONG_HOP_BAO_GIA'!B:B, '00_TONG_HOP_BAO_GIA'!G:G, 1)</f>
        <v/>
      </c>
      <c r="I682" s="5">
        <f>G682*H682</f>
        <v/>
      </c>
      <c r="J682" s="2">
        <f>XLOOKUP(E682, '06_BANG_GIA_VAT_TU_AP_DUNG'!B:B, '06_BANG_GIA_VAT_TU_AP_DUNG'!C:C, "LỖI_MÃ_VT")</f>
        <v/>
      </c>
      <c r="K682" s="2">
        <f>I682*J682</f>
        <v/>
      </c>
      <c r="L682" t="inlineStr">
        <is>
          <t>2 cánh cao 170mm</t>
        </is>
      </c>
    </row>
    <row r="683">
      <c r="A683" t="inlineStr">
        <is>
          <t>SW-DAMPER-160-AXLE</t>
        </is>
      </c>
      <c r="B683" t="inlineStr">
        <is>
          <t>SW-DAMPER-160</t>
        </is>
      </c>
      <c r="C683" t="inlineStr">
        <is>
          <t>Trục Sus 201 D10</t>
        </is>
      </c>
      <c r="D683" t="inlineStr">
        <is>
          <t>PHỤ_KIỆN_VAN</t>
        </is>
      </c>
      <c r="E683" t="inlineStr">
        <is>
          <t>MAT-DAMPER-TRUC-SUS-201-D10</t>
        </is>
      </c>
      <c r="F683" t="inlineStr">
        <is>
          <t>m</t>
        </is>
      </c>
      <c r="G683" s="4" t="n">
        <v>1.92</v>
      </c>
      <c r="H683" s="2">
        <f>XLOOKUP(B683, '00_TONG_HOP_BAO_GIA'!B:B, '00_TONG_HOP_BAO_GIA'!G:G, 1)</f>
        <v/>
      </c>
      <c r="I683" s="5">
        <f>G683*H683</f>
        <v/>
      </c>
      <c r="J683" s="2">
        <f>XLOOKUP(E683, '06_BANG_GIA_VAT_TU_AP_DUNG'!B:B, '06_BANG_GIA_VAT_TU_AP_DUNG'!C:C, "LỖI_MÃ_VT")</f>
        <v/>
      </c>
      <c r="K683" s="2">
        <f>I683*J683</f>
        <v/>
      </c>
      <c r="L683" t="inlineStr">
        <is>
          <t>2 trục dài 960mm</t>
        </is>
      </c>
    </row>
    <row r="684">
      <c r="A684" t="inlineStr">
        <is>
          <t>SW-DAMPER-160-BEARING</t>
        </is>
      </c>
      <c r="B684" t="inlineStr">
        <is>
          <t>SW-DAMPER-160</t>
        </is>
      </c>
      <c r="C684" t="inlineStr">
        <is>
          <t>Bạc đồng D10</t>
        </is>
      </c>
      <c r="D684" t="inlineStr">
        <is>
          <t>PHỤ_KIỆN_VAN</t>
        </is>
      </c>
      <c r="E684" t="inlineStr">
        <is>
          <t>MAT-DAMPER-BAC-DONG-D10</t>
        </is>
      </c>
      <c r="F684" t="inlineStr">
        <is>
          <t>Đôi</t>
        </is>
      </c>
      <c r="G684" s="4" t="n">
        <v>2</v>
      </c>
      <c r="H684" s="2">
        <f>XLOOKUP(B684, '00_TONG_HOP_BAO_GIA'!B:B, '00_TONG_HOP_BAO_GIA'!G:G, 1)</f>
        <v/>
      </c>
      <c r="I684" s="5">
        <f>G684*H684</f>
        <v/>
      </c>
      <c r="J684" s="2">
        <f>XLOOKUP(E684, '06_BANG_GIA_VAT_TU_AP_DUNG'!B:B, '06_BANG_GIA_VAT_TU_AP_DUNG'!C:C, "LỖI_MÃ_VT")</f>
        <v/>
      </c>
      <c r="K684" s="2">
        <f>I684*J684</f>
        <v/>
      </c>
      <c r="L684" t="inlineStr">
        <is>
          <t>2 đôi bạc đỡ 2 bên thân</t>
        </is>
      </c>
    </row>
    <row r="685">
      <c r="A685" t="inlineStr">
        <is>
          <t>SW-DAMPER-160-GEAR</t>
        </is>
      </c>
      <c r="B685" t="inlineStr">
        <is>
          <t>SW-DAMPER-160</t>
        </is>
      </c>
      <c r="C685" t="inlineStr">
        <is>
          <t>Bánh răng van nhôm</t>
        </is>
      </c>
      <c r="D685" t="inlineStr">
        <is>
          <t>PHỤ_KIỆN_VAN</t>
        </is>
      </c>
      <c r="E685" t="inlineStr">
        <is>
          <t>MAT-DAMPER-BANH-RANG-VAN-NHOM</t>
        </is>
      </c>
      <c r="F685" t="inlineStr">
        <is>
          <t>Bộ</t>
        </is>
      </c>
      <c r="G685" s="4" t="n">
        <v>1</v>
      </c>
      <c r="H685" s="2">
        <f>XLOOKUP(B685, '00_TONG_HOP_BAO_GIA'!B:B, '00_TONG_HOP_BAO_GIA'!G:G, 1)</f>
        <v/>
      </c>
      <c r="I685" s="5">
        <f>G685*H685</f>
        <v/>
      </c>
      <c r="J685" s="2">
        <f>XLOOKUP(E685, '06_BANG_GIA_VAT_TU_AP_DUNG'!B:B, '06_BANG_GIA_VAT_TU_AP_DUNG'!C:C, "LỖI_MÃ_VT")</f>
        <v/>
      </c>
      <c r="K685" s="2">
        <f>I685*J685</f>
        <v/>
      </c>
      <c r="L685" t="inlineStr">
        <is>
          <t>Cơ cấu liên động bánh răng van</t>
        </is>
      </c>
    </row>
    <row r="686">
      <c r="A686" t="inlineStr">
        <is>
          <t>SW-DAMPER-160-FUSE</t>
        </is>
      </c>
      <c r="B686" t="inlineStr">
        <is>
          <t>SW-DAMPER-160</t>
        </is>
      </c>
      <c r="C686" t="inlineStr">
        <is>
          <t>Cầu chì nhiệt nóng chảy 70°C (Elsie/USA)</t>
        </is>
      </c>
      <c r="D686" t="inlineStr">
        <is>
          <t>PHỤ_KIỆN_VAN</t>
        </is>
      </c>
      <c r="E686" t="inlineStr">
        <is>
          <t>MAT-DAMPER-CAU-CHI-USA-2-400X400</t>
        </is>
      </c>
      <c r="F686" t="inlineStr">
        <is>
          <t>Cái</t>
        </is>
      </c>
      <c r="G686" s="4" t="n">
        <v>1</v>
      </c>
      <c r="H686" s="2">
        <f>XLOOKUP(B686, '00_TONG_HOP_BAO_GIA'!B:B, '00_TONG_HOP_BAO_GIA'!G:G, 1)</f>
        <v/>
      </c>
      <c r="I686" s="5">
        <f>G686*H686</f>
        <v/>
      </c>
      <c r="J686" s="2">
        <f>XLOOKUP(E686, '06_BANG_GIA_VAT_TU_AP_DUNG'!B:B, '06_BANG_GIA_VAT_TU_AP_DUNG'!C:C, "LỖI_MÃ_VT")</f>
        <v/>
      </c>
      <c r="K686" s="2">
        <f>I686*J686</f>
        <v/>
      </c>
      <c r="L686" t="inlineStr">
        <is>
          <t>Cầu chì kiểm định PCCC</t>
        </is>
      </c>
    </row>
    <row r="687">
      <c r="A687" t="inlineStr">
        <is>
          <t>SW-DAMPER-161-BODY</t>
        </is>
      </c>
      <c r="B687" t="inlineStr">
        <is>
          <t>SW-DAMPER-161</t>
        </is>
      </c>
      <c r="C687" t="inlineStr">
        <is>
          <t>Thân vỏ van FD bích TDF (0.95mm)</t>
        </is>
      </c>
      <c r="D687" t="inlineStr">
        <is>
          <t>TÔN_CUỘN_MẠ_KẼM</t>
        </is>
      </c>
      <c r="E687" t="inlineStr">
        <is>
          <t>MAT-STEEL-PN-0.95</t>
        </is>
      </c>
      <c r="F687" t="inlineStr">
        <is>
          <t>kg</t>
        </is>
      </c>
      <c r="G687" s="4" t="n">
        <v>7.1162448</v>
      </c>
      <c r="H687" s="2">
        <f>XLOOKUP(B687, '00_TONG_HOP_BAO_GIA'!B:B, '00_TONG_HOP_BAO_GIA'!G:G, 1)</f>
        <v/>
      </c>
      <c r="I687" s="5">
        <f>G687*H687</f>
        <v/>
      </c>
      <c r="J687" s="2">
        <f>XLOOKUP(E687, '06_BANG_GIA_VAT_TU_AP_DUNG'!B:B, '06_BANG_GIA_VAT_TU_AP_DUNG'!C:C, "LỖI_MÃ_VT")</f>
        <v/>
      </c>
      <c r="K687" s="2">
        <f>I687*J687</f>
        <v/>
      </c>
      <c r="L687" t="inlineStr">
        <is>
          <t>Kích thước vỏ 900.0x500.0x250mm</t>
        </is>
      </c>
    </row>
    <row r="688">
      <c r="A688" t="inlineStr">
        <is>
          <t>SW-DAMPER-161-BLADE</t>
        </is>
      </c>
      <c r="B688" t="inlineStr">
        <is>
          <t>SW-DAMPER-161</t>
        </is>
      </c>
      <c r="C688" t="inlineStr">
        <is>
          <t>Lá cánh van (3 cánh overlap)</t>
        </is>
      </c>
      <c r="D688" t="inlineStr">
        <is>
          <t>TÔN_CUỘN_MẠ_KẼM</t>
        </is>
      </c>
      <c r="E688" t="inlineStr">
        <is>
          <t>MAT-STEEL-PN-0.75</t>
        </is>
      </c>
      <c r="F688" t="inlineStr">
        <is>
          <t>kg</t>
        </is>
      </c>
      <c r="G688" s="4" t="n">
        <v>3.204684</v>
      </c>
      <c r="H688" s="2">
        <f>XLOOKUP(B688, '00_TONG_HOP_BAO_GIA'!B:B, '00_TONG_HOP_BAO_GIA'!G:G, 1)</f>
        <v/>
      </c>
      <c r="I688" s="5">
        <f>G688*H688</f>
        <v/>
      </c>
      <c r="J688" s="2">
        <f>XLOOKUP(E688, '06_BANG_GIA_VAT_TU_AP_DUNG'!B:B, '06_BANG_GIA_VAT_TU_AP_DUNG'!C:C, "LỖI_MÃ_VT")</f>
        <v/>
      </c>
      <c r="K688" s="2">
        <f>I688*J688</f>
        <v/>
      </c>
      <c r="L688" t="inlineStr">
        <is>
          <t>3 cánh cao 187mm</t>
        </is>
      </c>
    </row>
    <row r="689">
      <c r="A689" t="inlineStr">
        <is>
          <t>SW-DAMPER-161-AXLE</t>
        </is>
      </c>
      <c r="B689" t="inlineStr">
        <is>
          <t>SW-DAMPER-161</t>
        </is>
      </c>
      <c r="C689" t="inlineStr">
        <is>
          <t>Trục Sus 201 D10</t>
        </is>
      </c>
      <c r="D689" t="inlineStr">
        <is>
          <t>PHỤ_KIỆN_VAN</t>
        </is>
      </c>
      <c r="E689" t="inlineStr">
        <is>
          <t>MAT-DAMPER-TRUC-SUS-201-D10</t>
        </is>
      </c>
      <c r="F689" t="inlineStr">
        <is>
          <t>m</t>
        </is>
      </c>
      <c r="G689" s="4" t="n">
        <v>2.88</v>
      </c>
      <c r="H689" s="2">
        <f>XLOOKUP(B689, '00_TONG_HOP_BAO_GIA'!B:B, '00_TONG_HOP_BAO_GIA'!G:G, 1)</f>
        <v/>
      </c>
      <c r="I689" s="5">
        <f>G689*H689</f>
        <v/>
      </c>
      <c r="J689" s="2">
        <f>XLOOKUP(E689, '06_BANG_GIA_VAT_TU_AP_DUNG'!B:B, '06_BANG_GIA_VAT_TU_AP_DUNG'!C:C, "LỖI_MÃ_VT")</f>
        <v/>
      </c>
      <c r="K689" s="2">
        <f>I689*J689</f>
        <v/>
      </c>
      <c r="L689" t="inlineStr">
        <is>
          <t>3 trục dài 960mm</t>
        </is>
      </c>
    </row>
    <row r="690">
      <c r="A690" t="inlineStr">
        <is>
          <t>SW-DAMPER-161-BEARING</t>
        </is>
      </c>
      <c r="B690" t="inlineStr">
        <is>
          <t>SW-DAMPER-161</t>
        </is>
      </c>
      <c r="C690" t="inlineStr">
        <is>
          <t>Bạc đồng D10</t>
        </is>
      </c>
      <c r="D690" t="inlineStr">
        <is>
          <t>PHỤ_KIỆN_VAN</t>
        </is>
      </c>
      <c r="E690" t="inlineStr">
        <is>
          <t>MAT-DAMPER-BAC-DONG-D10</t>
        </is>
      </c>
      <c r="F690" t="inlineStr">
        <is>
          <t>Đôi</t>
        </is>
      </c>
      <c r="G690" s="4" t="n">
        <v>3</v>
      </c>
      <c r="H690" s="2">
        <f>XLOOKUP(B690, '00_TONG_HOP_BAO_GIA'!B:B, '00_TONG_HOP_BAO_GIA'!G:G, 1)</f>
        <v/>
      </c>
      <c r="I690" s="5">
        <f>G690*H690</f>
        <v/>
      </c>
      <c r="J690" s="2">
        <f>XLOOKUP(E690, '06_BANG_GIA_VAT_TU_AP_DUNG'!B:B, '06_BANG_GIA_VAT_TU_AP_DUNG'!C:C, "LỖI_MÃ_VT")</f>
        <v/>
      </c>
      <c r="K690" s="2">
        <f>I690*J690</f>
        <v/>
      </c>
      <c r="L690" t="inlineStr">
        <is>
          <t>3 đôi bạc đỡ 2 bên thân</t>
        </is>
      </c>
    </row>
    <row r="691">
      <c r="A691" t="inlineStr">
        <is>
          <t>SW-DAMPER-161-GEAR</t>
        </is>
      </c>
      <c r="B691" t="inlineStr">
        <is>
          <t>SW-DAMPER-161</t>
        </is>
      </c>
      <c r="C691" t="inlineStr">
        <is>
          <t>Bánh răng van nhôm</t>
        </is>
      </c>
      <c r="D691" t="inlineStr">
        <is>
          <t>PHỤ_KIỆN_VAN</t>
        </is>
      </c>
      <c r="E691" t="inlineStr">
        <is>
          <t>MAT-DAMPER-BANH-RANG-VAN-NHOM</t>
        </is>
      </c>
      <c r="F691" t="inlineStr">
        <is>
          <t>Bộ</t>
        </is>
      </c>
      <c r="G691" s="4" t="n">
        <v>1</v>
      </c>
      <c r="H691" s="2">
        <f>XLOOKUP(B691, '00_TONG_HOP_BAO_GIA'!B:B, '00_TONG_HOP_BAO_GIA'!G:G, 1)</f>
        <v/>
      </c>
      <c r="I691" s="5">
        <f>G691*H691</f>
        <v/>
      </c>
      <c r="J691" s="2">
        <f>XLOOKUP(E691, '06_BANG_GIA_VAT_TU_AP_DUNG'!B:B, '06_BANG_GIA_VAT_TU_AP_DUNG'!C:C, "LỖI_MÃ_VT")</f>
        <v/>
      </c>
      <c r="K691" s="2">
        <f>I691*J691</f>
        <v/>
      </c>
      <c r="L691" t="inlineStr">
        <is>
          <t>Cơ cấu liên động bánh răng van</t>
        </is>
      </c>
    </row>
    <row r="692">
      <c r="A692" t="inlineStr">
        <is>
          <t>SW-DAMPER-161-FUSE</t>
        </is>
      </c>
      <c r="B692" t="inlineStr">
        <is>
          <t>SW-DAMPER-161</t>
        </is>
      </c>
      <c r="C692" t="inlineStr">
        <is>
          <t>Cầu chì nhiệt nóng chảy 70°C (Elsie/USA)</t>
        </is>
      </c>
      <c r="D692" t="inlineStr">
        <is>
          <t>PHỤ_KIỆN_VAN</t>
        </is>
      </c>
      <c r="E692" t="inlineStr">
        <is>
          <t>MAT-DAMPER-CAU-CHI-USA-2-400X400</t>
        </is>
      </c>
      <c r="F692" t="inlineStr">
        <is>
          <t>Cái</t>
        </is>
      </c>
      <c r="G692" s="4" t="n">
        <v>1</v>
      </c>
      <c r="H692" s="2">
        <f>XLOOKUP(B692, '00_TONG_HOP_BAO_GIA'!B:B, '00_TONG_HOP_BAO_GIA'!G:G, 1)</f>
        <v/>
      </c>
      <c r="I692" s="5">
        <f>G692*H692</f>
        <v/>
      </c>
      <c r="J692" s="2">
        <f>XLOOKUP(E692, '06_BANG_GIA_VAT_TU_AP_DUNG'!B:B, '06_BANG_GIA_VAT_TU_AP_DUNG'!C:C, "LỖI_MÃ_VT")</f>
        <v/>
      </c>
      <c r="K692" s="2">
        <f>I692*J692</f>
        <v/>
      </c>
      <c r="L692" t="inlineStr">
        <is>
          <t>Cầu chì kiểm định PCCC</t>
        </is>
      </c>
    </row>
    <row r="693">
      <c r="A693" t="inlineStr">
        <is>
          <t>SW-DAMPER-162-BODY</t>
        </is>
      </c>
      <c r="B693" t="inlineStr">
        <is>
          <t>SW-DAMPER-162</t>
        </is>
      </c>
      <c r="C693" t="inlineStr">
        <is>
          <t>Thân vỏ van FD bích TDF (0.95mm)</t>
        </is>
      </c>
      <c r="D693" t="inlineStr">
        <is>
          <t>TÔN_CUỘN_MẠ_KẼM</t>
        </is>
      </c>
      <c r="E693" t="inlineStr">
        <is>
          <t>MAT-STEEL-PN-0.95</t>
        </is>
      </c>
      <c r="F693" t="inlineStr">
        <is>
          <t>kg</t>
        </is>
      </c>
      <c r="G693" s="4" t="n">
        <v>10.1231088</v>
      </c>
      <c r="H693" s="2">
        <f>XLOOKUP(B693, '00_TONG_HOP_BAO_GIA'!B:B, '00_TONG_HOP_BAO_GIA'!G:G, 1)</f>
        <v/>
      </c>
      <c r="I693" s="5">
        <f>G693*H693</f>
        <v/>
      </c>
      <c r="J693" s="2">
        <f>XLOOKUP(E693, '06_BANG_GIA_VAT_TU_AP_DUNG'!B:B, '06_BANG_GIA_VAT_TU_AP_DUNG'!C:C, "LỖI_MÃ_VT")</f>
        <v/>
      </c>
      <c r="K693" s="2">
        <f>I693*J693</f>
        <v/>
      </c>
      <c r="L693" t="inlineStr">
        <is>
          <t>Kích thước vỏ 1000.0x1000.0x250mm</t>
        </is>
      </c>
    </row>
    <row r="694">
      <c r="A694" t="inlineStr">
        <is>
          <t>SW-DAMPER-162-BLADE</t>
        </is>
      </c>
      <c r="B694" t="inlineStr">
        <is>
          <t>SW-DAMPER-162</t>
        </is>
      </c>
      <c r="C694" t="inlineStr">
        <is>
          <t>Lá cánh van (6 cánh overlap)</t>
        </is>
      </c>
      <c r="D694" t="inlineStr">
        <is>
          <t>TÔN_CUỘN_MẠ_KẼM</t>
        </is>
      </c>
      <c r="E694" t="inlineStr">
        <is>
          <t>MAT-STEEL-PN-0.75</t>
        </is>
      </c>
      <c r="F694" t="inlineStr">
        <is>
          <t>kg</t>
        </is>
      </c>
      <c r="G694" s="4" t="n">
        <v>7.121519999999999</v>
      </c>
      <c r="H694" s="2">
        <f>XLOOKUP(B694, '00_TONG_HOP_BAO_GIA'!B:B, '00_TONG_HOP_BAO_GIA'!G:G, 1)</f>
        <v/>
      </c>
      <c r="I694" s="5">
        <f>G694*H694</f>
        <v/>
      </c>
      <c r="J694" s="2">
        <f>XLOOKUP(E694, '06_BANG_GIA_VAT_TU_AP_DUNG'!B:B, '06_BANG_GIA_VAT_TU_AP_DUNG'!C:C, "LỖI_MÃ_VT")</f>
        <v/>
      </c>
      <c r="K694" s="2">
        <f>I694*J694</f>
        <v/>
      </c>
      <c r="L694" t="inlineStr">
        <is>
          <t>6 cánh cao 187mm</t>
        </is>
      </c>
    </row>
    <row r="695">
      <c r="A695" t="inlineStr">
        <is>
          <t>SW-DAMPER-162-AXLE</t>
        </is>
      </c>
      <c r="B695" t="inlineStr">
        <is>
          <t>SW-DAMPER-162</t>
        </is>
      </c>
      <c r="C695" t="inlineStr">
        <is>
          <t>Trục Sus 201 D10</t>
        </is>
      </c>
      <c r="D695" t="inlineStr">
        <is>
          <t>PHỤ_KIỆN_VAN</t>
        </is>
      </c>
      <c r="E695" t="inlineStr">
        <is>
          <t>MAT-DAMPER-TRUC-SUS-201-D10</t>
        </is>
      </c>
      <c r="F695" t="inlineStr">
        <is>
          <t>m</t>
        </is>
      </c>
      <c r="G695" s="4" t="n">
        <v>6.36</v>
      </c>
      <c r="H695" s="2">
        <f>XLOOKUP(B695, '00_TONG_HOP_BAO_GIA'!B:B, '00_TONG_HOP_BAO_GIA'!G:G, 1)</f>
        <v/>
      </c>
      <c r="I695" s="5">
        <f>G695*H695</f>
        <v/>
      </c>
      <c r="J695" s="2">
        <f>XLOOKUP(E695, '06_BANG_GIA_VAT_TU_AP_DUNG'!B:B, '06_BANG_GIA_VAT_TU_AP_DUNG'!C:C, "LỖI_MÃ_VT")</f>
        <v/>
      </c>
      <c r="K695" s="2">
        <f>I695*J695</f>
        <v/>
      </c>
      <c r="L695" t="inlineStr">
        <is>
          <t>6 trục dài 1060mm</t>
        </is>
      </c>
    </row>
    <row r="696">
      <c r="A696" t="inlineStr">
        <is>
          <t>SW-DAMPER-162-BEARING</t>
        </is>
      </c>
      <c r="B696" t="inlineStr">
        <is>
          <t>SW-DAMPER-162</t>
        </is>
      </c>
      <c r="C696" t="inlineStr">
        <is>
          <t>Bạc đồng D10</t>
        </is>
      </c>
      <c r="D696" t="inlineStr">
        <is>
          <t>PHỤ_KIỆN_VAN</t>
        </is>
      </c>
      <c r="E696" t="inlineStr">
        <is>
          <t>MAT-DAMPER-BAC-DONG-D10</t>
        </is>
      </c>
      <c r="F696" t="inlineStr">
        <is>
          <t>Đôi</t>
        </is>
      </c>
      <c r="G696" s="4" t="n">
        <v>6</v>
      </c>
      <c r="H696" s="2">
        <f>XLOOKUP(B696, '00_TONG_HOP_BAO_GIA'!B:B, '00_TONG_HOP_BAO_GIA'!G:G, 1)</f>
        <v/>
      </c>
      <c r="I696" s="5">
        <f>G696*H696</f>
        <v/>
      </c>
      <c r="J696" s="2">
        <f>XLOOKUP(E696, '06_BANG_GIA_VAT_TU_AP_DUNG'!B:B, '06_BANG_GIA_VAT_TU_AP_DUNG'!C:C, "LỖI_MÃ_VT")</f>
        <v/>
      </c>
      <c r="K696" s="2">
        <f>I696*J696</f>
        <v/>
      </c>
      <c r="L696" t="inlineStr">
        <is>
          <t>6 đôi bạc đỡ 2 bên thân</t>
        </is>
      </c>
    </row>
    <row r="697">
      <c r="A697" t="inlineStr">
        <is>
          <t>SW-DAMPER-162-GEAR</t>
        </is>
      </c>
      <c r="B697" t="inlineStr">
        <is>
          <t>SW-DAMPER-162</t>
        </is>
      </c>
      <c r="C697" t="inlineStr">
        <is>
          <t>Bánh răng van nhôm</t>
        </is>
      </c>
      <c r="D697" t="inlineStr">
        <is>
          <t>PHỤ_KIỆN_VAN</t>
        </is>
      </c>
      <c r="E697" t="inlineStr">
        <is>
          <t>MAT-DAMPER-BANH-RANG-VAN-NHOM</t>
        </is>
      </c>
      <c r="F697" t="inlineStr">
        <is>
          <t>Bộ</t>
        </is>
      </c>
      <c r="G697" s="4" t="n">
        <v>1</v>
      </c>
      <c r="H697" s="2">
        <f>XLOOKUP(B697, '00_TONG_HOP_BAO_GIA'!B:B, '00_TONG_HOP_BAO_GIA'!G:G, 1)</f>
        <v/>
      </c>
      <c r="I697" s="5">
        <f>G697*H697</f>
        <v/>
      </c>
      <c r="J697" s="2">
        <f>XLOOKUP(E697, '06_BANG_GIA_VAT_TU_AP_DUNG'!B:B, '06_BANG_GIA_VAT_TU_AP_DUNG'!C:C, "LỖI_MÃ_VT")</f>
        <v/>
      </c>
      <c r="K697" s="2">
        <f>I697*J697</f>
        <v/>
      </c>
      <c r="L697" t="inlineStr">
        <is>
          <t>Cơ cấu liên động bánh răng van</t>
        </is>
      </c>
    </row>
    <row r="698">
      <c r="A698" t="inlineStr">
        <is>
          <t>SW-DAMPER-162-FUSE</t>
        </is>
      </c>
      <c r="B698" t="inlineStr">
        <is>
          <t>SW-DAMPER-162</t>
        </is>
      </c>
      <c r="C698" t="inlineStr">
        <is>
          <t>Cầu chì nhiệt nóng chảy 70°C (Elsie/USA)</t>
        </is>
      </c>
      <c r="D698" t="inlineStr">
        <is>
          <t>PHỤ_KIỆN_VAN</t>
        </is>
      </c>
      <c r="E698" t="inlineStr">
        <is>
          <t>MAT-DAMPER-CAU-CHI-USA-2-400X400</t>
        </is>
      </c>
      <c r="F698" t="inlineStr">
        <is>
          <t>Cái</t>
        </is>
      </c>
      <c r="G698" s="4" t="n">
        <v>1</v>
      </c>
      <c r="H698" s="2">
        <f>XLOOKUP(B698, '00_TONG_HOP_BAO_GIA'!B:B, '00_TONG_HOP_BAO_GIA'!G:G, 1)</f>
        <v/>
      </c>
      <c r="I698" s="5">
        <f>G698*H698</f>
        <v/>
      </c>
      <c r="J698" s="2">
        <f>XLOOKUP(E698, '06_BANG_GIA_VAT_TU_AP_DUNG'!B:B, '06_BANG_GIA_VAT_TU_AP_DUNG'!C:C, "LỖI_MÃ_VT")</f>
        <v/>
      </c>
      <c r="K698" s="2">
        <f>I698*J698</f>
        <v/>
      </c>
      <c r="L698" t="inlineStr">
        <is>
          <t>Cầu chì kiểm định PCCC</t>
        </is>
      </c>
    </row>
    <row r="699">
      <c r="A699" t="inlineStr">
        <is>
          <t>SW-DAMPER-163-BODY</t>
        </is>
      </c>
      <c r="B699" t="inlineStr">
        <is>
          <t>SW-DAMPER-163</t>
        </is>
      </c>
      <c r="C699" t="inlineStr">
        <is>
          <t>Thân vỏ van FD bích TDF (0.95mm)</t>
        </is>
      </c>
      <c r="D699" t="inlineStr">
        <is>
          <t>TÔN_CUỘN_MẠ_KẼM</t>
        </is>
      </c>
      <c r="E699" t="inlineStr">
        <is>
          <t>MAT-STEEL-PN-0.95</t>
        </is>
      </c>
      <c r="F699" t="inlineStr">
        <is>
          <t>kg</t>
        </is>
      </c>
      <c r="G699" s="4" t="n">
        <v>9.371392800000001</v>
      </c>
      <c r="H699" s="2">
        <f>XLOOKUP(B699, '00_TONG_HOP_BAO_GIA'!B:B, '00_TONG_HOP_BAO_GIA'!G:G, 1)</f>
        <v/>
      </c>
      <c r="I699" s="5">
        <f>G699*H699</f>
        <v/>
      </c>
      <c r="J699" s="2">
        <f>XLOOKUP(E699, '06_BANG_GIA_VAT_TU_AP_DUNG'!B:B, '06_BANG_GIA_VAT_TU_AP_DUNG'!C:C, "LỖI_MÃ_VT")</f>
        <v/>
      </c>
      <c r="K699" s="2">
        <f>I699*J699</f>
        <v/>
      </c>
      <c r="L699" t="inlineStr">
        <is>
          <t>Kích thước vỏ 1200.0x650.0x250mm</t>
        </is>
      </c>
    </row>
    <row r="700">
      <c r="A700" t="inlineStr">
        <is>
          <t>SW-DAMPER-163-BLADE</t>
        </is>
      </c>
      <c r="B700" t="inlineStr">
        <is>
          <t>SW-DAMPER-163</t>
        </is>
      </c>
      <c r="C700" t="inlineStr">
        <is>
          <t>Lá cánh van (4 cánh overlap)</t>
        </is>
      </c>
      <c r="D700" t="inlineStr">
        <is>
          <t>TÔN_CUỘN_MẠ_KẼM</t>
        </is>
      </c>
      <c r="E700" t="inlineStr">
        <is>
          <t>MAT-STEEL-PN-0.75</t>
        </is>
      </c>
      <c r="F700" t="inlineStr">
        <is>
          <t>kg</t>
        </is>
      </c>
      <c r="G700" s="4" t="n">
        <v>5.570046</v>
      </c>
      <c r="H700" s="2">
        <f>XLOOKUP(B700, '00_TONG_HOP_BAO_GIA'!B:B, '00_TONG_HOP_BAO_GIA'!G:G, 1)</f>
        <v/>
      </c>
      <c r="I700" s="5">
        <f>G700*H700</f>
        <v/>
      </c>
      <c r="J700" s="2">
        <f>XLOOKUP(E700, '06_BANG_GIA_VAT_TU_AP_DUNG'!B:B, '06_BANG_GIA_VAT_TU_AP_DUNG'!C:C, "LỖI_MÃ_VT")</f>
        <v/>
      </c>
      <c r="K700" s="2">
        <f>I700*J700</f>
        <v/>
      </c>
      <c r="L700" t="inlineStr">
        <is>
          <t>4 cánh cao 182mm</t>
        </is>
      </c>
    </row>
    <row r="701">
      <c r="A701" t="inlineStr">
        <is>
          <t>SW-DAMPER-163-AXLE</t>
        </is>
      </c>
      <c r="B701" t="inlineStr">
        <is>
          <t>SW-DAMPER-163</t>
        </is>
      </c>
      <c r="C701" t="inlineStr">
        <is>
          <t>Trục Sus 201 D10</t>
        </is>
      </c>
      <c r="D701" t="inlineStr">
        <is>
          <t>PHỤ_KIỆN_VAN</t>
        </is>
      </c>
      <c r="E701" t="inlineStr">
        <is>
          <t>MAT-DAMPER-TRUC-SUS-201-D10</t>
        </is>
      </c>
      <c r="F701" t="inlineStr">
        <is>
          <t>m</t>
        </is>
      </c>
      <c r="G701" s="4" t="n">
        <v>5.04</v>
      </c>
      <c r="H701" s="2">
        <f>XLOOKUP(B701, '00_TONG_HOP_BAO_GIA'!B:B, '00_TONG_HOP_BAO_GIA'!G:G, 1)</f>
        <v/>
      </c>
      <c r="I701" s="5">
        <f>G701*H701</f>
        <v/>
      </c>
      <c r="J701" s="2">
        <f>XLOOKUP(E701, '06_BANG_GIA_VAT_TU_AP_DUNG'!B:B, '06_BANG_GIA_VAT_TU_AP_DUNG'!C:C, "LỖI_MÃ_VT")</f>
        <v/>
      </c>
      <c r="K701" s="2">
        <f>I701*J701</f>
        <v/>
      </c>
      <c r="L701" t="inlineStr">
        <is>
          <t>4 trục dài 1260mm</t>
        </is>
      </c>
    </row>
    <row r="702">
      <c r="A702" t="inlineStr">
        <is>
          <t>SW-DAMPER-163-BEARING</t>
        </is>
      </c>
      <c r="B702" t="inlineStr">
        <is>
          <t>SW-DAMPER-163</t>
        </is>
      </c>
      <c r="C702" t="inlineStr">
        <is>
          <t>Bạc đồng D10</t>
        </is>
      </c>
      <c r="D702" t="inlineStr">
        <is>
          <t>PHỤ_KIỆN_VAN</t>
        </is>
      </c>
      <c r="E702" t="inlineStr">
        <is>
          <t>MAT-DAMPER-BAC-DONG-D10</t>
        </is>
      </c>
      <c r="F702" t="inlineStr">
        <is>
          <t>Đôi</t>
        </is>
      </c>
      <c r="G702" s="4" t="n">
        <v>4</v>
      </c>
      <c r="H702" s="2">
        <f>XLOOKUP(B702, '00_TONG_HOP_BAO_GIA'!B:B, '00_TONG_HOP_BAO_GIA'!G:G, 1)</f>
        <v/>
      </c>
      <c r="I702" s="5">
        <f>G702*H702</f>
        <v/>
      </c>
      <c r="J702" s="2">
        <f>XLOOKUP(E702, '06_BANG_GIA_VAT_TU_AP_DUNG'!B:B, '06_BANG_GIA_VAT_TU_AP_DUNG'!C:C, "LỖI_MÃ_VT")</f>
        <v/>
      </c>
      <c r="K702" s="2">
        <f>I702*J702</f>
        <v/>
      </c>
      <c r="L702" t="inlineStr">
        <is>
          <t>4 đôi bạc đỡ 2 bên thân</t>
        </is>
      </c>
    </row>
    <row r="703">
      <c r="A703" t="inlineStr">
        <is>
          <t>SW-DAMPER-163-GEAR</t>
        </is>
      </c>
      <c r="B703" t="inlineStr">
        <is>
          <t>SW-DAMPER-163</t>
        </is>
      </c>
      <c r="C703" t="inlineStr">
        <is>
          <t>Bánh răng van nhôm</t>
        </is>
      </c>
      <c r="D703" t="inlineStr">
        <is>
          <t>PHỤ_KIỆN_VAN</t>
        </is>
      </c>
      <c r="E703" t="inlineStr">
        <is>
          <t>MAT-DAMPER-BANH-RANG-VAN-NHOM</t>
        </is>
      </c>
      <c r="F703" t="inlineStr">
        <is>
          <t>Bộ</t>
        </is>
      </c>
      <c r="G703" s="4" t="n">
        <v>1</v>
      </c>
      <c r="H703" s="2">
        <f>XLOOKUP(B703, '00_TONG_HOP_BAO_GIA'!B:B, '00_TONG_HOP_BAO_GIA'!G:G, 1)</f>
        <v/>
      </c>
      <c r="I703" s="5">
        <f>G703*H703</f>
        <v/>
      </c>
      <c r="J703" s="2">
        <f>XLOOKUP(E703, '06_BANG_GIA_VAT_TU_AP_DUNG'!B:B, '06_BANG_GIA_VAT_TU_AP_DUNG'!C:C, "LỖI_MÃ_VT")</f>
        <v/>
      </c>
      <c r="K703" s="2">
        <f>I703*J703</f>
        <v/>
      </c>
      <c r="L703" t="inlineStr">
        <is>
          <t>Cơ cấu liên động bánh răng van</t>
        </is>
      </c>
    </row>
    <row r="704">
      <c r="A704" t="inlineStr">
        <is>
          <t>SW-DAMPER-163-FUSE</t>
        </is>
      </c>
      <c r="B704" t="inlineStr">
        <is>
          <t>SW-DAMPER-163</t>
        </is>
      </c>
      <c r="C704" t="inlineStr">
        <is>
          <t>Cầu chì nhiệt nóng chảy 70°C (Elsie/USA)</t>
        </is>
      </c>
      <c r="D704" t="inlineStr">
        <is>
          <t>PHỤ_KIỆN_VAN</t>
        </is>
      </c>
      <c r="E704" t="inlineStr">
        <is>
          <t>MAT-DAMPER-CAU-CHI-USA-2-400X400</t>
        </is>
      </c>
      <c r="F704" t="inlineStr">
        <is>
          <t>Cái</t>
        </is>
      </c>
      <c r="G704" s="4" t="n">
        <v>1</v>
      </c>
      <c r="H704" s="2">
        <f>XLOOKUP(B704, '00_TONG_HOP_BAO_GIA'!B:B, '00_TONG_HOP_BAO_GIA'!G:G, 1)</f>
        <v/>
      </c>
      <c r="I704" s="5">
        <f>G704*H704</f>
        <v/>
      </c>
      <c r="J704" s="2">
        <f>XLOOKUP(E704, '06_BANG_GIA_VAT_TU_AP_DUNG'!B:B, '06_BANG_GIA_VAT_TU_AP_DUNG'!C:C, "LỖI_MÃ_VT")</f>
        <v/>
      </c>
      <c r="K704" s="2">
        <f>I704*J704</f>
        <v/>
      </c>
      <c r="L704" t="inlineStr">
        <is>
          <t>Cầu chì kiểm định PCCC</t>
        </is>
      </c>
    </row>
    <row r="705">
      <c r="A705" t="inlineStr">
        <is>
          <t>SW-DAMPER-164-BODY</t>
        </is>
      </c>
      <c r="B705" t="inlineStr">
        <is>
          <t>SW-DAMPER-164</t>
        </is>
      </c>
      <c r="C705" t="inlineStr">
        <is>
          <t>Thân vỏ van FD bích TDF (0.95mm)</t>
        </is>
      </c>
      <c r="D705" t="inlineStr">
        <is>
          <t>TÔN_CUỘN_MẠ_KẼM</t>
        </is>
      </c>
      <c r="E705" t="inlineStr">
        <is>
          <t>MAT-STEEL-PN-0.95</t>
        </is>
      </c>
      <c r="F705" t="inlineStr">
        <is>
          <t>kg</t>
        </is>
      </c>
      <c r="G705" s="4" t="n">
        <v>10.1231088</v>
      </c>
      <c r="H705" s="2">
        <f>XLOOKUP(B705, '00_TONG_HOP_BAO_GIA'!B:B, '00_TONG_HOP_BAO_GIA'!G:G, 1)</f>
        <v/>
      </c>
      <c r="I705" s="5">
        <f>G705*H705</f>
        <v/>
      </c>
      <c r="J705" s="2">
        <f>XLOOKUP(E705, '06_BANG_GIA_VAT_TU_AP_DUNG'!B:B, '06_BANG_GIA_VAT_TU_AP_DUNG'!C:C, "LỖI_MÃ_VT")</f>
        <v/>
      </c>
      <c r="K705" s="2">
        <f>I705*J705</f>
        <v/>
      </c>
      <c r="L705" t="inlineStr">
        <is>
          <t>Kích thước vỏ 1400.0x600.0x250mm</t>
        </is>
      </c>
    </row>
    <row r="706">
      <c r="A706" t="inlineStr">
        <is>
          <t>SW-DAMPER-164-BLADE</t>
        </is>
      </c>
      <c r="B706" t="inlineStr">
        <is>
          <t>SW-DAMPER-164</t>
        </is>
      </c>
      <c r="C706" t="inlineStr">
        <is>
          <t>Lá cánh van (4 cánh overlap)</t>
        </is>
      </c>
      <c r="D706" t="inlineStr">
        <is>
          <t>TÔN_CUỘN_MẠ_KẼM</t>
        </is>
      </c>
      <c r="E706" t="inlineStr">
        <is>
          <t>MAT-STEEL-PN-0.75</t>
        </is>
      </c>
      <c r="F706" t="inlineStr">
        <is>
          <t>kg</t>
        </is>
      </c>
      <c r="G706" s="4" t="n">
        <v>6.053291999999999</v>
      </c>
      <c r="H706" s="2">
        <f>XLOOKUP(B706, '00_TONG_HOP_BAO_GIA'!B:B, '00_TONG_HOP_BAO_GIA'!G:G, 1)</f>
        <v/>
      </c>
      <c r="I706" s="5">
        <f>G706*H706</f>
        <v/>
      </c>
      <c r="J706" s="2">
        <f>XLOOKUP(E706, '06_BANG_GIA_VAT_TU_AP_DUNG'!B:B, '06_BANG_GIA_VAT_TU_AP_DUNG'!C:C, "LỖI_MÃ_VT")</f>
        <v/>
      </c>
      <c r="K706" s="2">
        <f>I706*J706</f>
        <v/>
      </c>
      <c r="L706" t="inlineStr">
        <is>
          <t>4 cánh cao 170mm</t>
        </is>
      </c>
    </row>
    <row r="707">
      <c r="A707" t="inlineStr">
        <is>
          <t>SW-DAMPER-164-AXLE</t>
        </is>
      </c>
      <c r="B707" t="inlineStr">
        <is>
          <t>SW-DAMPER-164</t>
        </is>
      </c>
      <c r="C707" t="inlineStr">
        <is>
          <t>Trục Sus 201 D10</t>
        </is>
      </c>
      <c r="D707" t="inlineStr">
        <is>
          <t>PHỤ_KIỆN_VAN</t>
        </is>
      </c>
      <c r="E707" t="inlineStr">
        <is>
          <t>MAT-DAMPER-TRUC-SUS-201-D10</t>
        </is>
      </c>
      <c r="F707" t="inlineStr">
        <is>
          <t>m</t>
        </is>
      </c>
      <c r="G707" s="4" t="n">
        <v>5.84</v>
      </c>
      <c r="H707" s="2">
        <f>XLOOKUP(B707, '00_TONG_HOP_BAO_GIA'!B:B, '00_TONG_HOP_BAO_GIA'!G:G, 1)</f>
        <v/>
      </c>
      <c r="I707" s="5">
        <f>G707*H707</f>
        <v/>
      </c>
      <c r="J707" s="2">
        <f>XLOOKUP(E707, '06_BANG_GIA_VAT_TU_AP_DUNG'!B:B, '06_BANG_GIA_VAT_TU_AP_DUNG'!C:C, "LỖI_MÃ_VT")</f>
        <v/>
      </c>
      <c r="K707" s="2">
        <f>I707*J707</f>
        <v/>
      </c>
      <c r="L707" t="inlineStr">
        <is>
          <t>4 trục dài 1460mm</t>
        </is>
      </c>
    </row>
    <row r="708">
      <c r="A708" t="inlineStr">
        <is>
          <t>SW-DAMPER-164-BEARING</t>
        </is>
      </c>
      <c r="B708" t="inlineStr">
        <is>
          <t>SW-DAMPER-164</t>
        </is>
      </c>
      <c r="C708" t="inlineStr">
        <is>
          <t>Bạc đồng D10</t>
        </is>
      </c>
      <c r="D708" t="inlineStr">
        <is>
          <t>PHỤ_KIỆN_VAN</t>
        </is>
      </c>
      <c r="E708" t="inlineStr">
        <is>
          <t>MAT-DAMPER-BAC-DONG-D10</t>
        </is>
      </c>
      <c r="F708" t="inlineStr">
        <is>
          <t>Đôi</t>
        </is>
      </c>
      <c r="G708" s="4" t="n">
        <v>4</v>
      </c>
      <c r="H708" s="2">
        <f>XLOOKUP(B708, '00_TONG_HOP_BAO_GIA'!B:B, '00_TONG_HOP_BAO_GIA'!G:G, 1)</f>
        <v/>
      </c>
      <c r="I708" s="5">
        <f>G708*H708</f>
        <v/>
      </c>
      <c r="J708" s="2">
        <f>XLOOKUP(E708, '06_BANG_GIA_VAT_TU_AP_DUNG'!B:B, '06_BANG_GIA_VAT_TU_AP_DUNG'!C:C, "LỖI_MÃ_VT")</f>
        <v/>
      </c>
      <c r="K708" s="2">
        <f>I708*J708</f>
        <v/>
      </c>
      <c r="L708" t="inlineStr">
        <is>
          <t>4 đôi bạc đỡ 2 bên thân</t>
        </is>
      </c>
    </row>
    <row r="709">
      <c r="A709" t="inlineStr">
        <is>
          <t>SW-DAMPER-164-GEAR</t>
        </is>
      </c>
      <c r="B709" t="inlineStr">
        <is>
          <t>SW-DAMPER-164</t>
        </is>
      </c>
      <c r="C709" t="inlineStr">
        <is>
          <t>Bánh răng van nhôm</t>
        </is>
      </c>
      <c r="D709" t="inlineStr">
        <is>
          <t>PHỤ_KIỆN_VAN</t>
        </is>
      </c>
      <c r="E709" t="inlineStr">
        <is>
          <t>MAT-DAMPER-BANH-RANG-VAN-NHOM</t>
        </is>
      </c>
      <c r="F709" t="inlineStr">
        <is>
          <t>Bộ</t>
        </is>
      </c>
      <c r="G709" s="4" t="n">
        <v>1</v>
      </c>
      <c r="H709" s="2">
        <f>XLOOKUP(B709, '00_TONG_HOP_BAO_GIA'!B:B, '00_TONG_HOP_BAO_GIA'!G:G, 1)</f>
        <v/>
      </c>
      <c r="I709" s="5">
        <f>G709*H709</f>
        <v/>
      </c>
      <c r="J709" s="2">
        <f>XLOOKUP(E709, '06_BANG_GIA_VAT_TU_AP_DUNG'!B:B, '06_BANG_GIA_VAT_TU_AP_DUNG'!C:C, "LỖI_MÃ_VT")</f>
        <v/>
      </c>
      <c r="K709" s="2">
        <f>I709*J709</f>
        <v/>
      </c>
      <c r="L709" t="inlineStr">
        <is>
          <t>Cơ cấu liên động bánh răng van</t>
        </is>
      </c>
    </row>
    <row r="710">
      <c r="A710" t="inlineStr">
        <is>
          <t>SW-DAMPER-164-FUSE</t>
        </is>
      </c>
      <c r="B710" t="inlineStr">
        <is>
          <t>SW-DAMPER-164</t>
        </is>
      </c>
      <c r="C710" t="inlineStr">
        <is>
          <t>Cầu chì nhiệt nóng chảy 70°C (Elsie/USA)</t>
        </is>
      </c>
      <c r="D710" t="inlineStr">
        <is>
          <t>PHỤ_KIỆN_VAN</t>
        </is>
      </c>
      <c r="E710" t="inlineStr">
        <is>
          <t>MAT-DAMPER-CAU-CHI-USA-2-400X400</t>
        </is>
      </c>
      <c r="F710" t="inlineStr">
        <is>
          <t>Cái</t>
        </is>
      </c>
      <c r="G710" s="4" t="n">
        <v>1</v>
      </c>
      <c r="H710" s="2">
        <f>XLOOKUP(B710, '00_TONG_HOP_BAO_GIA'!B:B, '00_TONG_HOP_BAO_GIA'!G:G, 1)</f>
        <v/>
      </c>
      <c r="I710" s="5">
        <f>G710*H710</f>
        <v/>
      </c>
      <c r="J710" s="2">
        <f>XLOOKUP(E710, '06_BANG_GIA_VAT_TU_AP_DUNG'!B:B, '06_BANG_GIA_VAT_TU_AP_DUNG'!C:C, "LỖI_MÃ_VT")</f>
        <v/>
      </c>
      <c r="K710" s="2">
        <f>I710*J710</f>
        <v/>
      </c>
      <c r="L710" t="inlineStr">
        <is>
          <t>Cầu chì kiểm định PCCC</t>
        </is>
      </c>
    </row>
    <row r="711">
      <c r="A711" t="inlineStr">
        <is>
          <t>SW-DAMPER-165-BODY</t>
        </is>
      </c>
      <c r="B711" t="inlineStr">
        <is>
          <t>SW-DAMPER-165</t>
        </is>
      </c>
      <c r="C711" t="inlineStr">
        <is>
          <t>Thân vỏ van FD bích TDF (0.95mm)</t>
        </is>
      </c>
      <c r="D711" t="inlineStr">
        <is>
          <t>TÔN_CUỘN_MẠ_KẼM</t>
        </is>
      </c>
      <c r="E711" t="inlineStr">
        <is>
          <t>MAT-STEEL-PN-0.95</t>
        </is>
      </c>
      <c r="F711" t="inlineStr">
        <is>
          <t>kg</t>
        </is>
      </c>
      <c r="G711" s="4" t="n">
        <v>12.6288288</v>
      </c>
      <c r="H711" s="2">
        <f>XLOOKUP(B711, '00_TONG_HOP_BAO_GIA'!B:B, '00_TONG_HOP_BAO_GIA'!G:G, 1)</f>
        <v/>
      </c>
      <c r="I711" s="5">
        <f>G711*H711</f>
        <v/>
      </c>
      <c r="J711" s="2">
        <f>XLOOKUP(E711, '06_BANG_GIA_VAT_TU_AP_DUNG'!B:B, '06_BANG_GIA_VAT_TU_AP_DUNG'!C:C, "LỖI_MÃ_VT")</f>
        <v/>
      </c>
      <c r="K711" s="2">
        <f>I711*J711</f>
        <v/>
      </c>
      <c r="L711" t="inlineStr">
        <is>
          <t>Kích thước vỏ 1900.0x600.0x250mm</t>
        </is>
      </c>
    </row>
    <row r="712">
      <c r="A712" t="inlineStr">
        <is>
          <t>SW-DAMPER-165-BLADE</t>
        </is>
      </c>
      <c r="B712" t="inlineStr">
        <is>
          <t>SW-DAMPER-165</t>
        </is>
      </c>
      <c r="C712" t="inlineStr">
        <is>
          <t>Lá cánh van (4 cánh overlap)</t>
        </is>
      </c>
      <c r="D712" t="inlineStr">
        <is>
          <t>TÔN_CUỘN_MẠ_KẼM</t>
        </is>
      </c>
      <c r="E712" t="inlineStr">
        <is>
          <t>MAT-STEEL-PN-0.75</t>
        </is>
      </c>
      <c r="F712" t="inlineStr">
        <is>
          <t>kg</t>
        </is>
      </c>
      <c r="G712" s="4" t="n">
        <v>8.215182</v>
      </c>
      <c r="H712" s="2">
        <f>XLOOKUP(B712, '00_TONG_HOP_BAO_GIA'!B:B, '00_TONG_HOP_BAO_GIA'!G:G, 1)</f>
        <v/>
      </c>
      <c r="I712" s="5">
        <f>G712*H712</f>
        <v/>
      </c>
      <c r="J712" s="2">
        <f>XLOOKUP(E712, '06_BANG_GIA_VAT_TU_AP_DUNG'!B:B, '06_BANG_GIA_VAT_TU_AP_DUNG'!C:C, "LỖI_MÃ_VT")</f>
        <v/>
      </c>
      <c r="K712" s="2">
        <f>I712*J712</f>
        <v/>
      </c>
      <c r="L712" t="inlineStr">
        <is>
          <t>4 cánh cao 170mm</t>
        </is>
      </c>
    </row>
    <row r="713">
      <c r="A713" t="inlineStr">
        <is>
          <t>SW-DAMPER-165-AXLE</t>
        </is>
      </c>
      <c r="B713" t="inlineStr">
        <is>
          <t>SW-DAMPER-165</t>
        </is>
      </c>
      <c r="C713" t="inlineStr">
        <is>
          <t>Trục Sus 201 D10</t>
        </is>
      </c>
      <c r="D713" t="inlineStr">
        <is>
          <t>PHỤ_KIỆN_VAN</t>
        </is>
      </c>
      <c r="E713" t="inlineStr">
        <is>
          <t>MAT-DAMPER-TRUC-SUS-201-D10</t>
        </is>
      </c>
      <c r="F713" t="inlineStr">
        <is>
          <t>m</t>
        </is>
      </c>
      <c r="G713" s="4" t="n">
        <v>7.84</v>
      </c>
      <c r="H713" s="2">
        <f>XLOOKUP(B713, '00_TONG_HOP_BAO_GIA'!B:B, '00_TONG_HOP_BAO_GIA'!G:G, 1)</f>
        <v/>
      </c>
      <c r="I713" s="5">
        <f>G713*H713</f>
        <v/>
      </c>
      <c r="J713" s="2">
        <f>XLOOKUP(E713, '06_BANG_GIA_VAT_TU_AP_DUNG'!B:B, '06_BANG_GIA_VAT_TU_AP_DUNG'!C:C, "LỖI_MÃ_VT")</f>
        <v/>
      </c>
      <c r="K713" s="2">
        <f>I713*J713</f>
        <v/>
      </c>
      <c r="L713" t="inlineStr">
        <is>
          <t>4 trục dài 1960mm</t>
        </is>
      </c>
    </row>
    <row r="714">
      <c r="A714" t="inlineStr">
        <is>
          <t>SW-DAMPER-165-BEARING</t>
        </is>
      </c>
      <c r="B714" t="inlineStr">
        <is>
          <t>SW-DAMPER-165</t>
        </is>
      </c>
      <c r="C714" t="inlineStr">
        <is>
          <t>Bạc đồng D10</t>
        </is>
      </c>
      <c r="D714" t="inlineStr">
        <is>
          <t>PHỤ_KIỆN_VAN</t>
        </is>
      </c>
      <c r="E714" t="inlineStr">
        <is>
          <t>MAT-DAMPER-BAC-DONG-D10</t>
        </is>
      </c>
      <c r="F714" t="inlineStr">
        <is>
          <t>Đôi</t>
        </is>
      </c>
      <c r="G714" s="4" t="n">
        <v>4</v>
      </c>
      <c r="H714" s="2">
        <f>XLOOKUP(B714, '00_TONG_HOP_BAO_GIA'!B:B, '00_TONG_HOP_BAO_GIA'!G:G, 1)</f>
        <v/>
      </c>
      <c r="I714" s="5">
        <f>G714*H714</f>
        <v/>
      </c>
      <c r="J714" s="2">
        <f>XLOOKUP(E714, '06_BANG_GIA_VAT_TU_AP_DUNG'!B:B, '06_BANG_GIA_VAT_TU_AP_DUNG'!C:C, "LỖI_MÃ_VT")</f>
        <v/>
      </c>
      <c r="K714" s="2">
        <f>I714*J714</f>
        <v/>
      </c>
      <c r="L714" t="inlineStr">
        <is>
          <t>4 đôi bạc đỡ 2 bên thân</t>
        </is>
      </c>
    </row>
    <row r="715">
      <c r="A715" t="inlineStr">
        <is>
          <t>SW-DAMPER-165-GEAR</t>
        </is>
      </c>
      <c r="B715" t="inlineStr">
        <is>
          <t>SW-DAMPER-165</t>
        </is>
      </c>
      <c r="C715" t="inlineStr">
        <is>
          <t>Bánh răng van nhôm</t>
        </is>
      </c>
      <c r="D715" t="inlineStr">
        <is>
          <t>PHỤ_KIỆN_VAN</t>
        </is>
      </c>
      <c r="E715" t="inlineStr">
        <is>
          <t>MAT-DAMPER-BANH-RANG-VAN-NHOM</t>
        </is>
      </c>
      <c r="F715" t="inlineStr">
        <is>
          <t>Bộ</t>
        </is>
      </c>
      <c r="G715" s="4" t="n">
        <v>1</v>
      </c>
      <c r="H715" s="2">
        <f>XLOOKUP(B715, '00_TONG_HOP_BAO_GIA'!B:B, '00_TONG_HOP_BAO_GIA'!G:G, 1)</f>
        <v/>
      </c>
      <c r="I715" s="5">
        <f>G715*H715</f>
        <v/>
      </c>
      <c r="J715" s="2">
        <f>XLOOKUP(E715, '06_BANG_GIA_VAT_TU_AP_DUNG'!B:B, '06_BANG_GIA_VAT_TU_AP_DUNG'!C:C, "LỖI_MÃ_VT")</f>
        <v/>
      </c>
      <c r="K715" s="2">
        <f>I715*J715</f>
        <v/>
      </c>
      <c r="L715" t="inlineStr">
        <is>
          <t>Cơ cấu liên động bánh răng van</t>
        </is>
      </c>
    </row>
    <row r="716">
      <c r="A716" t="inlineStr">
        <is>
          <t>SW-DAMPER-165-FUSE</t>
        </is>
      </c>
      <c r="B716" t="inlineStr">
        <is>
          <t>SW-DAMPER-165</t>
        </is>
      </c>
      <c r="C716" t="inlineStr">
        <is>
          <t>Cầu chì nhiệt nóng chảy 70°C (Elsie/USA)</t>
        </is>
      </c>
      <c r="D716" t="inlineStr">
        <is>
          <t>PHỤ_KIỆN_VAN</t>
        </is>
      </c>
      <c r="E716" t="inlineStr">
        <is>
          <t>MAT-DAMPER-CAU-CHI-USA-2-400X400</t>
        </is>
      </c>
      <c r="F716" t="inlineStr">
        <is>
          <t>Cái</t>
        </is>
      </c>
      <c r="G716" s="4" t="n">
        <v>1</v>
      </c>
      <c r="H716" s="2">
        <f>XLOOKUP(B716, '00_TONG_HOP_BAO_GIA'!B:B, '00_TONG_HOP_BAO_GIA'!G:G, 1)</f>
        <v/>
      </c>
      <c r="I716" s="5">
        <f>G716*H716</f>
        <v/>
      </c>
      <c r="J716" s="2">
        <f>XLOOKUP(E716, '06_BANG_GIA_VAT_TU_AP_DUNG'!B:B, '06_BANG_GIA_VAT_TU_AP_DUNG'!C:C, "LỖI_MÃ_VT")</f>
        <v/>
      </c>
      <c r="K716" s="2">
        <f>I716*J716</f>
        <v/>
      </c>
      <c r="L716" t="inlineStr">
        <is>
          <t>Cầu chì kiểm định PCCC</t>
        </is>
      </c>
    </row>
    <row r="717">
      <c r="A717" t="inlineStr">
        <is>
          <t>SW-DAMPER-207-BODY</t>
        </is>
      </c>
      <c r="B717" t="inlineStr">
        <is>
          <t>SW-DAMPER-207</t>
        </is>
      </c>
      <c r="C717" t="inlineStr">
        <is>
          <t>Thân vỏ van VCD bích TDF (0.75mm)</t>
        </is>
      </c>
      <c r="D717" t="inlineStr">
        <is>
          <t>TÔN_CUỘN_MẠ_KẼM</t>
        </is>
      </c>
      <c r="E717" t="inlineStr">
        <is>
          <t>MAT-STEEL-PN-0.75</t>
        </is>
      </c>
      <c r="F717" t="inlineStr">
        <is>
          <t>kg</t>
        </is>
      </c>
      <c r="G717" s="4" t="n">
        <v>1.800162</v>
      </c>
      <c r="H717" s="2">
        <f>XLOOKUP(B717, '00_TONG_HOP_BAO_GIA'!B:B, '00_TONG_HOP_BAO_GIA'!G:G, 1)</f>
        <v/>
      </c>
      <c r="I717" s="5">
        <f>G717*H717</f>
        <v/>
      </c>
      <c r="J717" s="2">
        <f>XLOOKUP(E717, '06_BANG_GIA_VAT_TU_AP_DUNG'!B:B, '06_BANG_GIA_VAT_TU_AP_DUNG'!C:C, "LỖI_MÃ_VT")</f>
        <v/>
      </c>
      <c r="K717" s="2">
        <f>I717*J717</f>
        <v/>
      </c>
      <c r="L717" t="inlineStr">
        <is>
          <t>Kích thước vỏ 200.0x300x210mm</t>
        </is>
      </c>
    </row>
    <row r="718">
      <c r="A718" t="inlineStr">
        <is>
          <t>SW-DAMPER-207-BLADE</t>
        </is>
      </c>
      <c r="B718" t="inlineStr">
        <is>
          <t>SW-DAMPER-207</t>
        </is>
      </c>
      <c r="C718" t="inlineStr">
        <is>
          <t>Lá cánh van (2 cánh overlap)</t>
        </is>
      </c>
      <c r="D718" t="inlineStr">
        <is>
          <t>TÔN_CUỘN_MẠ_KẼM</t>
        </is>
      </c>
      <c r="E718" t="inlineStr">
        <is>
          <t>MAT-STEEL-PN-0.75</t>
        </is>
      </c>
      <c r="F718" t="inlineStr">
        <is>
          <t>kg</t>
        </is>
      </c>
      <c r="G718" s="4" t="n">
        <v>0.432378</v>
      </c>
      <c r="H718" s="2">
        <f>XLOOKUP(B718, '00_TONG_HOP_BAO_GIA'!B:B, '00_TONG_HOP_BAO_GIA'!G:G, 1)</f>
        <v/>
      </c>
      <c r="I718" s="5">
        <f>G718*H718</f>
        <v/>
      </c>
      <c r="J718" s="2">
        <f>XLOOKUP(E718, '06_BANG_GIA_VAT_TU_AP_DUNG'!B:B, '06_BANG_GIA_VAT_TU_AP_DUNG'!C:C, "LỖI_MÃ_VT")</f>
        <v/>
      </c>
      <c r="K718" s="2">
        <f>I718*J718</f>
        <v/>
      </c>
      <c r="L718" t="inlineStr">
        <is>
          <t>2 cánh cao 170mm</t>
        </is>
      </c>
    </row>
    <row r="719">
      <c r="A719" t="inlineStr">
        <is>
          <t>SW-DAMPER-207-AXLE</t>
        </is>
      </c>
      <c r="B719" t="inlineStr">
        <is>
          <t>SW-DAMPER-207</t>
        </is>
      </c>
      <c r="C719" t="inlineStr">
        <is>
          <t>Trục Sus 201 D10</t>
        </is>
      </c>
      <c r="D719" t="inlineStr">
        <is>
          <t>PHỤ_KIỆN_VAN</t>
        </is>
      </c>
      <c r="E719" t="inlineStr">
        <is>
          <t>MAT-DAMPER-TRUC-SUS-201-D10</t>
        </is>
      </c>
      <c r="F719" t="inlineStr">
        <is>
          <t>m</t>
        </is>
      </c>
      <c r="G719" s="4" t="n">
        <v>0.52</v>
      </c>
      <c r="H719" s="2">
        <f>XLOOKUP(B719, '00_TONG_HOP_BAO_GIA'!B:B, '00_TONG_HOP_BAO_GIA'!G:G, 1)</f>
        <v/>
      </c>
      <c r="I719" s="5">
        <f>G719*H719</f>
        <v/>
      </c>
      <c r="J719" s="2">
        <f>XLOOKUP(E719, '06_BANG_GIA_VAT_TU_AP_DUNG'!B:B, '06_BANG_GIA_VAT_TU_AP_DUNG'!C:C, "LỖI_MÃ_VT")</f>
        <v/>
      </c>
      <c r="K719" s="2">
        <f>I719*J719</f>
        <v/>
      </c>
      <c r="L719" t="inlineStr">
        <is>
          <t>2 trục dài 260mm</t>
        </is>
      </c>
    </row>
    <row r="720">
      <c r="A720" t="inlineStr">
        <is>
          <t>SW-DAMPER-207-BEARING</t>
        </is>
      </c>
      <c r="B720" t="inlineStr">
        <is>
          <t>SW-DAMPER-207</t>
        </is>
      </c>
      <c r="C720" t="inlineStr">
        <is>
          <t>Bạc đồng D10</t>
        </is>
      </c>
      <c r="D720" t="inlineStr">
        <is>
          <t>PHỤ_KIỆN_VAN</t>
        </is>
      </c>
      <c r="E720" t="inlineStr">
        <is>
          <t>MAT-DAMPER-BAC-DONG-D10</t>
        </is>
      </c>
      <c r="F720" t="inlineStr">
        <is>
          <t>Đôi</t>
        </is>
      </c>
      <c r="G720" s="4" t="n">
        <v>2</v>
      </c>
      <c r="H720" s="2">
        <f>XLOOKUP(B720, '00_TONG_HOP_BAO_GIA'!B:B, '00_TONG_HOP_BAO_GIA'!G:G, 1)</f>
        <v/>
      </c>
      <c r="I720" s="5">
        <f>G720*H720</f>
        <v/>
      </c>
      <c r="J720" s="2">
        <f>XLOOKUP(E720, '06_BANG_GIA_VAT_TU_AP_DUNG'!B:B, '06_BANG_GIA_VAT_TU_AP_DUNG'!C:C, "LỖI_MÃ_VT")</f>
        <v/>
      </c>
      <c r="K720" s="2">
        <f>I720*J720</f>
        <v/>
      </c>
      <c r="L720" t="inlineStr">
        <is>
          <t>2 đôi bạc đỡ 2 bên thân</t>
        </is>
      </c>
    </row>
    <row r="721">
      <c r="A721" t="inlineStr">
        <is>
          <t>SW-DAMPER-207-GEAR</t>
        </is>
      </c>
      <c r="B721" t="inlineStr">
        <is>
          <t>SW-DAMPER-207</t>
        </is>
      </c>
      <c r="C721" t="inlineStr">
        <is>
          <t>Bánh răng van nhôm</t>
        </is>
      </c>
      <c r="D721" t="inlineStr">
        <is>
          <t>PHỤ_KIỆN_VAN</t>
        </is>
      </c>
      <c r="E721" t="inlineStr">
        <is>
          <t>MAT-DAMPER-BANH-RANG-VAN-NHOM</t>
        </is>
      </c>
      <c r="F721" t="inlineStr">
        <is>
          <t>Bộ</t>
        </is>
      </c>
      <c r="G721" s="4" t="n">
        <v>1</v>
      </c>
      <c r="H721" s="2">
        <f>XLOOKUP(B721, '00_TONG_HOP_BAO_GIA'!B:B, '00_TONG_HOP_BAO_GIA'!G:G, 1)</f>
        <v/>
      </c>
      <c r="I721" s="5">
        <f>G721*H721</f>
        <v/>
      </c>
      <c r="J721" s="2">
        <f>XLOOKUP(E721, '06_BANG_GIA_VAT_TU_AP_DUNG'!B:B, '06_BANG_GIA_VAT_TU_AP_DUNG'!C:C, "LỖI_MÃ_VT")</f>
        <v/>
      </c>
      <c r="K721" s="2">
        <f>I721*J721</f>
        <v/>
      </c>
      <c r="L721" t="inlineStr">
        <is>
          <t>Cơ cấu liên động bánh răng van</t>
        </is>
      </c>
    </row>
    <row r="722">
      <c r="A722" t="inlineStr">
        <is>
          <t>SW-DAMPER-207-HANDLE</t>
        </is>
      </c>
      <c r="B722" t="inlineStr">
        <is>
          <t>SW-DAMPER-207</t>
        </is>
      </c>
      <c r="C722" t="inlineStr">
        <is>
          <t>Tay gạt nhỏ</t>
        </is>
      </c>
      <c r="D722" t="inlineStr">
        <is>
          <t>PHỤ_KIỆN_VAN</t>
        </is>
      </c>
      <c r="E722" t="inlineStr">
        <is>
          <t>MAT-DAMPER-TAY-GAT-NHO</t>
        </is>
      </c>
      <c r="F722" t="inlineStr">
        <is>
          <t>Bộ</t>
        </is>
      </c>
      <c r="G722" s="4" t="n">
        <v>1</v>
      </c>
      <c r="H722" s="2">
        <f>XLOOKUP(B722, '00_TONG_HOP_BAO_GIA'!B:B, '00_TONG_HOP_BAO_GIA'!G:G, 1)</f>
        <v/>
      </c>
      <c r="I722" s="5">
        <f>G722*H722</f>
        <v/>
      </c>
      <c r="J722" s="2">
        <f>XLOOKUP(E722, '06_BANG_GIA_VAT_TU_AP_DUNG'!B:B, '06_BANG_GIA_VAT_TU_AP_DUNG'!C:C, "LỖI_MÃ_VT")</f>
        <v/>
      </c>
      <c r="K722" s="2">
        <f>I722*J722</f>
        <v/>
      </c>
      <c r="L722" t="inlineStr">
        <is>
          <t>Tay gạt khóa vị trí nan (S=0.06m2)</t>
        </is>
      </c>
    </row>
    <row r="723">
      <c r="A723" t="inlineStr">
        <is>
          <t>SW-DAMPER-208-BODY</t>
        </is>
      </c>
      <c r="B723" t="inlineStr">
        <is>
          <t>SW-DAMPER-208</t>
        </is>
      </c>
      <c r="C723" t="inlineStr">
        <is>
          <t>Thân vỏ van VCD bích TDF (0.75mm)</t>
        </is>
      </c>
      <c r="D723" t="inlineStr">
        <is>
          <t>TÔN_CUỘN_MẠ_KẼM</t>
        </is>
      </c>
      <c r="E723" t="inlineStr">
        <is>
          <t>MAT-STEEL-PN-0.75</t>
        </is>
      </c>
      <c r="F723" t="inlineStr">
        <is>
          <t>kg</t>
        </is>
      </c>
      <c r="G723" s="4" t="n">
        <v>1.9732545</v>
      </c>
      <c r="H723" s="2">
        <f>XLOOKUP(B723, '00_TONG_HOP_BAO_GIA'!B:B, '00_TONG_HOP_BAO_GIA'!G:G, 1)</f>
        <v/>
      </c>
      <c r="I723" s="5">
        <f>G723*H723</f>
        <v/>
      </c>
      <c r="J723" s="2">
        <f>XLOOKUP(E723, '06_BANG_GIA_VAT_TU_AP_DUNG'!B:B, '06_BANG_GIA_VAT_TU_AP_DUNG'!C:C, "LỖI_MÃ_VT")</f>
        <v/>
      </c>
      <c r="K723" s="2">
        <f>I723*J723</f>
        <v/>
      </c>
      <c r="L723" t="inlineStr">
        <is>
          <t>Kích thước vỏ 250.0x300x210mm</t>
        </is>
      </c>
    </row>
    <row r="724">
      <c r="A724" t="inlineStr">
        <is>
          <t>SW-DAMPER-208-BLADE</t>
        </is>
      </c>
      <c r="B724" t="inlineStr">
        <is>
          <t>SW-DAMPER-208</t>
        </is>
      </c>
      <c r="C724" t="inlineStr">
        <is>
          <t>Lá cánh van (2 cánh overlap)</t>
        </is>
      </c>
      <c r="D724" t="inlineStr">
        <is>
          <t>TÔN_CUỘN_MẠ_KẼM</t>
        </is>
      </c>
      <c r="E724" t="inlineStr">
        <is>
          <t>MAT-STEEL-PN-0.75</t>
        </is>
      </c>
      <c r="F724" t="inlineStr">
        <is>
          <t>kg</t>
        </is>
      </c>
      <c r="G724" s="4" t="n">
        <v>0.5404725</v>
      </c>
      <c r="H724" s="2">
        <f>XLOOKUP(B724, '00_TONG_HOP_BAO_GIA'!B:B, '00_TONG_HOP_BAO_GIA'!G:G, 1)</f>
        <v/>
      </c>
      <c r="I724" s="5">
        <f>G724*H724</f>
        <v/>
      </c>
      <c r="J724" s="2">
        <f>XLOOKUP(E724, '06_BANG_GIA_VAT_TU_AP_DUNG'!B:B, '06_BANG_GIA_VAT_TU_AP_DUNG'!C:C, "LỖI_MÃ_VT")</f>
        <v/>
      </c>
      <c r="K724" s="2">
        <f>I724*J724</f>
        <v/>
      </c>
      <c r="L724" t="inlineStr">
        <is>
          <t>2 cánh cao 170mm</t>
        </is>
      </c>
    </row>
    <row r="725">
      <c r="A725" t="inlineStr">
        <is>
          <t>SW-DAMPER-208-AXLE</t>
        </is>
      </c>
      <c r="B725" t="inlineStr">
        <is>
          <t>SW-DAMPER-208</t>
        </is>
      </c>
      <c r="C725" t="inlineStr">
        <is>
          <t>Trục Sus 201 D10</t>
        </is>
      </c>
      <c r="D725" t="inlineStr">
        <is>
          <t>PHỤ_KIỆN_VAN</t>
        </is>
      </c>
      <c r="E725" t="inlineStr">
        <is>
          <t>MAT-DAMPER-TRUC-SUS-201-D10</t>
        </is>
      </c>
      <c r="F725" t="inlineStr">
        <is>
          <t>m</t>
        </is>
      </c>
      <c r="G725" s="4" t="n">
        <v>0.62</v>
      </c>
      <c r="H725" s="2">
        <f>XLOOKUP(B725, '00_TONG_HOP_BAO_GIA'!B:B, '00_TONG_HOP_BAO_GIA'!G:G, 1)</f>
        <v/>
      </c>
      <c r="I725" s="5">
        <f>G725*H725</f>
        <v/>
      </c>
      <c r="J725" s="2">
        <f>XLOOKUP(E725, '06_BANG_GIA_VAT_TU_AP_DUNG'!B:B, '06_BANG_GIA_VAT_TU_AP_DUNG'!C:C, "LỖI_MÃ_VT")</f>
        <v/>
      </c>
      <c r="K725" s="2">
        <f>I725*J725</f>
        <v/>
      </c>
      <c r="L725" t="inlineStr">
        <is>
          <t>2 trục dài 310mm</t>
        </is>
      </c>
    </row>
    <row r="726">
      <c r="A726" t="inlineStr">
        <is>
          <t>SW-DAMPER-208-BEARING</t>
        </is>
      </c>
      <c r="B726" t="inlineStr">
        <is>
          <t>SW-DAMPER-208</t>
        </is>
      </c>
      <c r="C726" t="inlineStr">
        <is>
          <t>Bạc đồng D10</t>
        </is>
      </c>
      <c r="D726" t="inlineStr">
        <is>
          <t>PHỤ_KIỆN_VAN</t>
        </is>
      </c>
      <c r="E726" t="inlineStr">
        <is>
          <t>MAT-DAMPER-BAC-DONG-D10</t>
        </is>
      </c>
      <c r="F726" t="inlineStr">
        <is>
          <t>Đôi</t>
        </is>
      </c>
      <c r="G726" s="4" t="n">
        <v>2</v>
      </c>
      <c r="H726" s="2">
        <f>XLOOKUP(B726, '00_TONG_HOP_BAO_GIA'!B:B, '00_TONG_HOP_BAO_GIA'!G:G, 1)</f>
        <v/>
      </c>
      <c r="I726" s="5">
        <f>G726*H726</f>
        <v/>
      </c>
      <c r="J726" s="2">
        <f>XLOOKUP(E726, '06_BANG_GIA_VAT_TU_AP_DUNG'!B:B, '06_BANG_GIA_VAT_TU_AP_DUNG'!C:C, "LỖI_MÃ_VT")</f>
        <v/>
      </c>
      <c r="K726" s="2">
        <f>I726*J726</f>
        <v/>
      </c>
      <c r="L726" t="inlineStr">
        <is>
          <t>2 đôi bạc đỡ 2 bên thân</t>
        </is>
      </c>
    </row>
    <row r="727">
      <c r="A727" t="inlineStr">
        <is>
          <t>SW-DAMPER-208-GEAR</t>
        </is>
      </c>
      <c r="B727" t="inlineStr">
        <is>
          <t>SW-DAMPER-208</t>
        </is>
      </c>
      <c r="C727" t="inlineStr">
        <is>
          <t>Bánh răng van nhôm</t>
        </is>
      </c>
      <c r="D727" t="inlineStr">
        <is>
          <t>PHỤ_KIỆN_VAN</t>
        </is>
      </c>
      <c r="E727" t="inlineStr">
        <is>
          <t>MAT-DAMPER-BANH-RANG-VAN-NHOM</t>
        </is>
      </c>
      <c r="F727" t="inlineStr">
        <is>
          <t>Bộ</t>
        </is>
      </c>
      <c r="G727" s="4" t="n">
        <v>1</v>
      </c>
      <c r="H727" s="2">
        <f>XLOOKUP(B727, '00_TONG_HOP_BAO_GIA'!B:B, '00_TONG_HOP_BAO_GIA'!G:G, 1)</f>
        <v/>
      </c>
      <c r="I727" s="5">
        <f>G727*H727</f>
        <v/>
      </c>
      <c r="J727" s="2">
        <f>XLOOKUP(E727, '06_BANG_GIA_VAT_TU_AP_DUNG'!B:B, '06_BANG_GIA_VAT_TU_AP_DUNG'!C:C, "LỖI_MÃ_VT")</f>
        <v/>
      </c>
      <c r="K727" s="2">
        <f>I727*J727</f>
        <v/>
      </c>
      <c r="L727" t="inlineStr">
        <is>
          <t>Cơ cấu liên động bánh răng van</t>
        </is>
      </c>
    </row>
    <row r="728">
      <c r="A728" t="inlineStr">
        <is>
          <t>SW-DAMPER-208-HANDLE</t>
        </is>
      </c>
      <c r="B728" t="inlineStr">
        <is>
          <t>SW-DAMPER-208</t>
        </is>
      </c>
      <c r="C728" t="inlineStr">
        <is>
          <t>Tay gạt nhỏ</t>
        </is>
      </c>
      <c r="D728" t="inlineStr">
        <is>
          <t>PHỤ_KIỆN_VAN</t>
        </is>
      </c>
      <c r="E728" t="inlineStr">
        <is>
          <t>MAT-DAMPER-TAY-GAT-NHO</t>
        </is>
      </c>
      <c r="F728" t="inlineStr">
        <is>
          <t>Bộ</t>
        </is>
      </c>
      <c r="G728" s="4" t="n">
        <v>1</v>
      </c>
      <c r="H728" s="2">
        <f>XLOOKUP(B728, '00_TONG_HOP_BAO_GIA'!B:B, '00_TONG_HOP_BAO_GIA'!G:G, 1)</f>
        <v/>
      </c>
      <c r="I728" s="5">
        <f>G728*H728</f>
        <v/>
      </c>
      <c r="J728" s="2">
        <f>XLOOKUP(E728, '06_BANG_GIA_VAT_TU_AP_DUNG'!B:B, '06_BANG_GIA_VAT_TU_AP_DUNG'!C:C, "LỖI_MÃ_VT")</f>
        <v/>
      </c>
      <c r="K728" s="2">
        <f>I728*J728</f>
        <v/>
      </c>
      <c r="L728" t="inlineStr">
        <is>
          <t>Tay gạt khóa vị trí nan (S=0.07m2)</t>
        </is>
      </c>
    </row>
    <row r="729">
      <c r="A729" t="inlineStr">
        <is>
          <t>SW-DAMPER-209-BODY</t>
        </is>
      </c>
      <c r="B729" t="inlineStr">
        <is>
          <t>SW-DAMPER-209</t>
        </is>
      </c>
      <c r="C729" t="inlineStr">
        <is>
          <t>Thân vỏ van VCD bích TDF (0.75mm)</t>
        </is>
      </c>
      <c r="D729" t="inlineStr">
        <is>
          <t>TÔN_CUỘN_MẠ_KẼM</t>
        </is>
      </c>
      <c r="E729" t="inlineStr">
        <is>
          <t>MAT-STEEL-PN-0.75</t>
        </is>
      </c>
      <c r="F729" t="inlineStr">
        <is>
          <t>kg</t>
        </is>
      </c>
      <c r="G729" s="4" t="n">
        <v>2.146347</v>
      </c>
      <c r="H729" s="2">
        <f>XLOOKUP(B729, '00_TONG_HOP_BAO_GIA'!B:B, '00_TONG_HOP_BAO_GIA'!G:G, 1)</f>
        <v/>
      </c>
      <c r="I729" s="5">
        <f>G729*H729</f>
        <v/>
      </c>
      <c r="J729" s="2">
        <f>XLOOKUP(E729, '06_BANG_GIA_VAT_TU_AP_DUNG'!B:B, '06_BANG_GIA_VAT_TU_AP_DUNG'!C:C, "LỖI_MÃ_VT")</f>
        <v/>
      </c>
      <c r="K729" s="2">
        <f>I729*J729</f>
        <v/>
      </c>
      <c r="L729" t="inlineStr">
        <is>
          <t>Kích thước vỏ 300.0x300x210mm</t>
        </is>
      </c>
    </row>
    <row r="730">
      <c r="A730" t="inlineStr">
        <is>
          <t>SW-DAMPER-209-BLADE</t>
        </is>
      </c>
      <c r="B730" t="inlineStr">
        <is>
          <t>SW-DAMPER-209</t>
        </is>
      </c>
      <c r="C730" t="inlineStr">
        <is>
          <t>Lá cánh van (2 cánh overlap)</t>
        </is>
      </c>
      <c r="D730" t="inlineStr">
        <is>
          <t>TÔN_CUỘN_MẠ_KẼM</t>
        </is>
      </c>
      <c r="E730" t="inlineStr">
        <is>
          <t>MAT-STEEL-PN-0.75</t>
        </is>
      </c>
      <c r="F730" t="inlineStr">
        <is>
          <t>kg</t>
        </is>
      </c>
      <c r="G730" s="4" t="n">
        <v>0.648567</v>
      </c>
      <c r="H730" s="2">
        <f>XLOOKUP(B730, '00_TONG_HOP_BAO_GIA'!B:B, '00_TONG_HOP_BAO_GIA'!G:G, 1)</f>
        <v/>
      </c>
      <c r="I730" s="5">
        <f>G730*H730</f>
        <v/>
      </c>
      <c r="J730" s="2">
        <f>XLOOKUP(E730, '06_BANG_GIA_VAT_TU_AP_DUNG'!B:B, '06_BANG_GIA_VAT_TU_AP_DUNG'!C:C, "LỖI_MÃ_VT")</f>
        <v/>
      </c>
      <c r="K730" s="2">
        <f>I730*J730</f>
        <v/>
      </c>
      <c r="L730" t="inlineStr">
        <is>
          <t>2 cánh cao 170mm</t>
        </is>
      </c>
    </row>
    <row r="731">
      <c r="A731" t="inlineStr">
        <is>
          <t>SW-DAMPER-209-AXLE</t>
        </is>
      </c>
      <c r="B731" t="inlineStr">
        <is>
          <t>SW-DAMPER-209</t>
        </is>
      </c>
      <c r="C731" t="inlineStr">
        <is>
          <t>Trục Sus 201 D10</t>
        </is>
      </c>
      <c r="D731" t="inlineStr">
        <is>
          <t>PHỤ_KIỆN_VAN</t>
        </is>
      </c>
      <c r="E731" t="inlineStr">
        <is>
          <t>MAT-DAMPER-TRUC-SUS-201-D10</t>
        </is>
      </c>
      <c r="F731" t="inlineStr">
        <is>
          <t>m</t>
        </is>
      </c>
      <c r="G731" s="4" t="n">
        <v>0.72</v>
      </c>
      <c r="H731" s="2">
        <f>XLOOKUP(B731, '00_TONG_HOP_BAO_GIA'!B:B, '00_TONG_HOP_BAO_GIA'!G:G, 1)</f>
        <v/>
      </c>
      <c r="I731" s="5">
        <f>G731*H731</f>
        <v/>
      </c>
      <c r="J731" s="2">
        <f>XLOOKUP(E731, '06_BANG_GIA_VAT_TU_AP_DUNG'!B:B, '06_BANG_GIA_VAT_TU_AP_DUNG'!C:C, "LỖI_MÃ_VT")</f>
        <v/>
      </c>
      <c r="K731" s="2">
        <f>I731*J731</f>
        <v/>
      </c>
      <c r="L731" t="inlineStr">
        <is>
          <t>2 trục dài 360mm</t>
        </is>
      </c>
    </row>
    <row r="732">
      <c r="A732" t="inlineStr">
        <is>
          <t>SW-DAMPER-209-BEARING</t>
        </is>
      </c>
      <c r="B732" t="inlineStr">
        <is>
          <t>SW-DAMPER-209</t>
        </is>
      </c>
      <c r="C732" t="inlineStr">
        <is>
          <t>Bạc đồng D10</t>
        </is>
      </c>
      <c r="D732" t="inlineStr">
        <is>
          <t>PHỤ_KIỆN_VAN</t>
        </is>
      </c>
      <c r="E732" t="inlineStr">
        <is>
          <t>MAT-DAMPER-BAC-DONG-D10</t>
        </is>
      </c>
      <c r="F732" t="inlineStr">
        <is>
          <t>Đôi</t>
        </is>
      </c>
      <c r="G732" s="4" t="n">
        <v>2</v>
      </c>
      <c r="H732" s="2">
        <f>XLOOKUP(B732, '00_TONG_HOP_BAO_GIA'!B:B, '00_TONG_HOP_BAO_GIA'!G:G, 1)</f>
        <v/>
      </c>
      <c r="I732" s="5">
        <f>G732*H732</f>
        <v/>
      </c>
      <c r="J732" s="2">
        <f>XLOOKUP(E732, '06_BANG_GIA_VAT_TU_AP_DUNG'!B:B, '06_BANG_GIA_VAT_TU_AP_DUNG'!C:C, "LỖI_MÃ_VT")</f>
        <v/>
      </c>
      <c r="K732" s="2">
        <f>I732*J732</f>
        <v/>
      </c>
      <c r="L732" t="inlineStr">
        <is>
          <t>2 đôi bạc đỡ 2 bên thân</t>
        </is>
      </c>
    </row>
    <row r="733">
      <c r="A733" t="inlineStr">
        <is>
          <t>SW-DAMPER-209-GEAR</t>
        </is>
      </c>
      <c r="B733" t="inlineStr">
        <is>
          <t>SW-DAMPER-209</t>
        </is>
      </c>
      <c r="C733" t="inlineStr">
        <is>
          <t>Bánh răng van nhôm</t>
        </is>
      </c>
      <c r="D733" t="inlineStr">
        <is>
          <t>PHỤ_KIỆN_VAN</t>
        </is>
      </c>
      <c r="E733" t="inlineStr">
        <is>
          <t>MAT-DAMPER-BANH-RANG-VAN-NHOM</t>
        </is>
      </c>
      <c r="F733" t="inlineStr">
        <is>
          <t>Bộ</t>
        </is>
      </c>
      <c r="G733" s="4" t="n">
        <v>1</v>
      </c>
      <c r="H733" s="2">
        <f>XLOOKUP(B733, '00_TONG_HOP_BAO_GIA'!B:B, '00_TONG_HOP_BAO_GIA'!G:G, 1)</f>
        <v/>
      </c>
      <c r="I733" s="5">
        <f>G733*H733</f>
        <v/>
      </c>
      <c r="J733" s="2">
        <f>XLOOKUP(E733, '06_BANG_GIA_VAT_TU_AP_DUNG'!B:B, '06_BANG_GIA_VAT_TU_AP_DUNG'!C:C, "LỖI_MÃ_VT")</f>
        <v/>
      </c>
      <c r="K733" s="2">
        <f>I733*J733</f>
        <v/>
      </c>
      <c r="L733" t="inlineStr">
        <is>
          <t>Cơ cấu liên động bánh răng van</t>
        </is>
      </c>
    </row>
    <row r="734">
      <c r="A734" t="inlineStr">
        <is>
          <t>SW-DAMPER-209-HANDLE</t>
        </is>
      </c>
      <c r="B734" t="inlineStr">
        <is>
          <t>SW-DAMPER-209</t>
        </is>
      </c>
      <c r="C734" t="inlineStr">
        <is>
          <t>Tay gạt nhỏ</t>
        </is>
      </c>
      <c r="D734" t="inlineStr">
        <is>
          <t>PHỤ_KIỆN_VAN</t>
        </is>
      </c>
      <c r="E734" t="inlineStr">
        <is>
          <t>MAT-DAMPER-TAY-GAT-NHO</t>
        </is>
      </c>
      <c r="F734" t="inlineStr">
        <is>
          <t>Bộ</t>
        </is>
      </c>
      <c r="G734" s="4" t="n">
        <v>1</v>
      </c>
      <c r="H734" s="2">
        <f>XLOOKUP(B734, '00_TONG_HOP_BAO_GIA'!B:B, '00_TONG_HOP_BAO_GIA'!G:G, 1)</f>
        <v/>
      </c>
      <c r="I734" s="5">
        <f>G734*H734</f>
        <v/>
      </c>
      <c r="J734" s="2">
        <f>XLOOKUP(E734, '06_BANG_GIA_VAT_TU_AP_DUNG'!B:B, '06_BANG_GIA_VAT_TU_AP_DUNG'!C:C, "LỖI_MÃ_VT")</f>
        <v/>
      </c>
      <c r="K734" s="2">
        <f>I734*J734</f>
        <v/>
      </c>
      <c r="L734" t="inlineStr">
        <is>
          <t>Tay gạt khóa vị trí nan (S=0.09m2)</t>
        </is>
      </c>
    </row>
    <row r="735">
      <c r="A735" t="inlineStr">
        <is>
          <t>SW-DAMPER-210-BODY</t>
        </is>
      </c>
      <c r="B735" t="inlineStr">
        <is>
          <t>SW-DAMPER-210</t>
        </is>
      </c>
      <c r="C735" t="inlineStr">
        <is>
          <t>Thân vỏ van VCD bích TDF (0.75mm)</t>
        </is>
      </c>
      <c r="D735" t="inlineStr">
        <is>
          <t>TÔN_CUỘN_MẠ_KẼM</t>
        </is>
      </c>
      <c r="E735" t="inlineStr">
        <is>
          <t>MAT-STEEL-PN-0.75</t>
        </is>
      </c>
      <c r="F735" t="inlineStr">
        <is>
          <t>kg</t>
        </is>
      </c>
      <c r="G735" s="4" t="n">
        <v>2.492532</v>
      </c>
      <c r="H735" s="2">
        <f>XLOOKUP(B735, '00_TONG_HOP_BAO_GIA'!B:B, '00_TONG_HOP_BAO_GIA'!G:G, 1)</f>
        <v/>
      </c>
      <c r="I735" s="5">
        <f>G735*H735</f>
        <v/>
      </c>
      <c r="J735" s="2">
        <f>XLOOKUP(E735, '06_BANG_GIA_VAT_TU_AP_DUNG'!B:B, '06_BANG_GIA_VAT_TU_AP_DUNG'!C:C, "LỖI_MÃ_VT")</f>
        <v/>
      </c>
      <c r="K735" s="2">
        <f>I735*J735</f>
        <v/>
      </c>
      <c r="L735" t="inlineStr">
        <is>
          <t>Kích thước vỏ 400.0x300x210mm</t>
        </is>
      </c>
    </row>
    <row r="736">
      <c r="A736" t="inlineStr">
        <is>
          <t>SW-DAMPER-210-BLADE</t>
        </is>
      </c>
      <c r="B736" t="inlineStr">
        <is>
          <t>SW-DAMPER-210</t>
        </is>
      </c>
      <c r="C736" t="inlineStr">
        <is>
          <t>Lá cánh van (2 cánh overlap)</t>
        </is>
      </c>
      <c r="D736" t="inlineStr">
        <is>
          <t>TÔN_CUỘN_MẠ_KẼM</t>
        </is>
      </c>
      <c r="E736" t="inlineStr">
        <is>
          <t>MAT-STEEL-PN-0.75</t>
        </is>
      </c>
      <c r="F736" t="inlineStr">
        <is>
          <t>kg</t>
        </is>
      </c>
      <c r="G736" s="4" t="n">
        <v>0.864756</v>
      </c>
      <c r="H736" s="2">
        <f>XLOOKUP(B736, '00_TONG_HOP_BAO_GIA'!B:B, '00_TONG_HOP_BAO_GIA'!G:G, 1)</f>
        <v/>
      </c>
      <c r="I736" s="5">
        <f>G736*H736</f>
        <v/>
      </c>
      <c r="J736" s="2">
        <f>XLOOKUP(E736, '06_BANG_GIA_VAT_TU_AP_DUNG'!B:B, '06_BANG_GIA_VAT_TU_AP_DUNG'!C:C, "LỖI_MÃ_VT")</f>
        <v/>
      </c>
      <c r="K736" s="2">
        <f>I736*J736</f>
        <v/>
      </c>
      <c r="L736" t="inlineStr">
        <is>
          <t>2 cánh cao 170mm</t>
        </is>
      </c>
    </row>
    <row r="737">
      <c r="A737" t="inlineStr">
        <is>
          <t>SW-DAMPER-210-AXLE</t>
        </is>
      </c>
      <c r="B737" t="inlineStr">
        <is>
          <t>SW-DAMPER-210</t>
        </is>
      </c>
      <c r="C737" t="inlineStr">
        <is>
          <t>Trục Sus 201 D10</t>
        </is>
      </c>
      <c r="D737" t="inlineStr">
        <is>
          <t>PHỤ_KIỆN_VAN</t>
        </is>
      </c>
      <c r="E737" t="inlineStr">
        <is>
          <t>MAT-DAMPER-TRUC-SUS-201-D10</t>
        </is>
      </c>
      <c r="F737" t="inlineStr">
        <is>
          <t>m</t>
        </is>
      </c>
      <c r="G737" s="4" t="n">
        <v>0.92</v>
      </c>
      <c r="H737" s="2">
        <f>XLOOKUP(B737, '00_TONG_HOP_BAO_GIA'!B:B, '00_TONG_HOP_BAO_GIA'!G:G, 1)</f>
        <v/>
      </c>
      <c r="I737" s="5">
        <f>G737*H737</f>
        <v/>
      </c>
      <c r="J737" s="2">
        <f>XLOOKUP(E737, '06_BANG_GIA_VAT_TU_AP_DUNG'!B:B, '06_BANG_GIA_VAT_TU_AP_DUNG'!C:C, "LỖI_MÃ_VT")</f>
        <v/>
      </c>
      <c r="K737" s="2">
        <f>I737*J737</f>
        <v/>
      </c>
      <c r="L737" t="inlineStr">
        <is>
          <t>2 trục dài 460mm</t>
        </is>
      </c>
    </row>
    <row r="738">
      <c r="A738" t="inlineStr">
        <is>
          <t>SW-DAMPER-210-BEARING</t>
        </is>
      </c>
      <c r="B738" t="inlineStr">
        <is>
          <t>SW-DAMPER-210</t>
        </is>
      </c>
      <c r="C738" t="inlineStr">
        <is>
          <t>Bạc đồng D10</t>
        </is>
      </c>
      <c r="D738" t="inlineStr">
        <is>
          <t>PHỤ_KIỆN_VAN</t>
        </is>
      </c>
      <c r="E738" t="inlineStr">
        <is>
          <t>MAT-DAMPER-BAC-DONG-D10</t>
        </is>
      </c>
      <c r="F738" t="inlineStr">
        <is>
          <t>Đôi</t>
        </is>
      </c>
      <c r="G738" s="4" t="n">
        <v>2</v>
      </c>
      <c r="H738" s="2">
        <f>XLOOKUP(B738, '00_TONG_HOP_BAO_GIA'!B:B, '00_TONG_HOP_BAO_GIA'!G:G, 1)</f>
        <v/>
      </c>
      <c r="I738" s="5">
        <f>G738*H738</f>
        <v/>
      </c>
      <c r="J738" s="2">
        <f>XLOOKUP(E738, '06_BANG_GIA_VAT_TU_AP_DUNG'!B:B, '06_BANG_GIA_VAT_TU_AP_DUNG'!C:C, "LỖI_MÃ_VT")</f>
        <v/>
      </c>
      <c r="K738" s="2">
        <f>I738*J738</f>
        <v/>
      </c>
      <c r="L738" t="inlineStr">
        <is>
          <t>2 đôi bạc đỡ 2 bên thân</t>
        </is>
      </c>
    </row>
    <row r="739">
      <c r="A739" t="inlineStr">
        <is>
          <t>SW-DAMPER-210-GEAR</t>
        </is>
      </c>
      <c r="B739" t="inlineStr">
        <is>
          <t>SW-DAMPER-210</t>
        </is>
      </c>
      <c r="C739" t="inlineStr">
        <is>
          <t>Bánh răng van nhôm</t>
        </is>
      </c>
      <c r="D739" t="inlineStr">
        <is>
          <t>PHỤ_KIỆN_VAN</t>
        </is>
      </c>
      <c r="E739" t="inlineStr">
        <is>
          <t>MAT-DAMPER-BANH-RANG-VAN-NHOM</t>
        </is>
      </c>
      <c r="F739" t="inlineStr">
        <is>
          <t>Bộ</t>
        </is>
      </c>
      <c r="G739" s="4" t="n">
        <v>1</v>
      </c>
      <c r="H739" s="2">
        <f>XLOOKUP(B739, '00_TONG_HOP_BAO_GIA'!B:B, '00_TONG_HOP_BAO_GIA'!G:G, 1)</f>
        <v/>
      </c>
      <c r="I739" s="5">
        <f>G739*H739</f>
        <v/>
      </c>
      <c r="J739" s="2">
        <f>XLOOKUP(E739, '06_BANG_GIA_VAT_TU_AP_DUNG'!B:B, '06_BANG_GIA_VAT_TU_AP_DUNG'!C:C, "LỖI_MÃ_VT")</f>
        <v/>
      </c>
      <c r="K739" s="2">
        <f>I739*J739</f>
        <v/>
      </c>
      <c r="L739" t="inlineStr">
        <is>
          <t>Cơ cấu liên động bánh răng van</t>
        </is>
      </c>
    </row>
    <row r="740">
      <c r="A740" t="inlineStr">
        <is>
          <t>SW-DAMPER-210-HANDLE</t>
        </is>
      </c>
      <c r="B740" t="inlineStr">
        <is>
          <t>SW-DAMPER-210</t>
        </is>
      </c>
      <c r="C740" t="inlineStr">
        <is>
          <t>Tay gạt nhỏ</t>
        </is>
      </c>
      <c r="D740" t="inlineStr">
        <is>
          <t>PHỤ_KIỆN_VAN</t>
        </is>
      </c>
      <c r="E740" t="inlineStr">
        <is>
          <t>MAT-DAMPER-TAY-GAT-NHO</t>
        </is>
      </c>
      <c r="F740" t="inlineStr">
        <is>
          <t>Bộ</t>
        </is>
      </c>
      <c r="G740" s="4" t="n">
        <v>1</v>
      </c>
      <c r="H740" s="2">
        <f>XLOOKUP(B740, '00_TONG_HOP_BAO_GIA'!B:B, '00_TONG_HOP_BAO_GIA'!G:G, 1)</f>
        <v/>
      </c>
      <c r="I740" s="5">
        <f>G740*H740</f>
        <v/>
      </c>
      <c r="J740" s="2">
        <f>XLOOKUP(E740, '06_BANG_GIA_VAT_TU_AP_DUNG'!B:B, '06_BANG_GIA_VAT_TU_AP_DUNG'!C:C, "LỖI_MÃ_VT")</f>
        <v/>
      </c>
      <c r="K740" s="2">
        <f>I740*J740</f>
        <v/>
      </c>
      <c r="L740" t="inlineStr">
        <is>
          <t>Tay gạt khóa vị trí nan (S=0.12m2)</t>
        </is>
      </c>
    </row>
    <row r="741">
      <c r="A741" t="inlineStr">
        <is>
          <t>SW-DAMPER-211-BODY</t>
        </is>
      </c>
      <c r="B741" t="inlineStr">
        <is>
          <t>SW-DAMPER-211</t>
        </is>
      </c>
      <c r="C741" t="inlineStr">
        <is>
          <t>Thân vỏ van VCD bích TDF (0.75mm)</t>
        </is>
      </c>
      <c r="D741" t="inlineStr">
        <is>
          <t>TÔN_CUỘN_MẠ_KẼM</t>
        </is>
      </c>
      <c r="E741" t="inlineStr">
        <is>
          <t>MAT-STEEL-PN-0.75</t>
        </is>
      </c>
      <c r="F741" t="inlineStr">
        <is>
          <t>kg</t>
        </is>
      </c>
      <c r="G741" s="4" t="n">
        <v>1.800162</v>
      </c>
      <c r="H741" s="2">
        <f>XLOOKUP(B741, '00_TONG_HOP_BAO_GIA'!B:B, '00_TONG_HOP_BAO_GIA'!G:G, 1)</f>
        <v/>
      </c>
      <c r="I741" s="5">
        <f>G741*H741</f>
        <v/>
      </c>
      <c r="J741" s="2">
        <f>XLOOKUP(E741, '06_BANG_GIA_VAT_TU_AP_DUNG'!B:B, '06_BANG_GIA_VAT_TU_AP_DUNG'!C:C, "LỖI_MÃ_VT")</f>
        <v/>
      </c>
      <c r="K741" s="2">
        <f>I741*J741</f>
        <v/>
      </c>
      <c r="L741" t="inlineStr">
        <is>
          <t>Kích thước vỏ 300.0x200.0x210mm</t>
        </is>
      </c>
    </row>
    <row r="742">
      <c r="A742" t="inlineStr">
        <is>
          <t>SW-DAMPER-211-BLADE</t>
        </is>
      </c>
      <c r="B742" t="inlineStr">
        <is>
          <t>SW-DAMPER-211</t>
        </is>
      </c>
      <c r="C742" t="inlineStr">
        <is>
          <t>Lá cánh van (2 cánh overlap)</t>
        </is>
      </c>
      <c r="D742" t="inlineStr">
        <is>
          <t>TÔN_CUỘN_MẠ_KẼM</t>
        </is>
      </c>
      <c r="E742" t="inlineStr">
        <is>
          <t>MAT-STEEL-PN-0.75</t>
        </is>
      </c>
      <c r="F742" t="inlineStr">
        <is>
          <t>kg</t>
        </is>
      </c>
      <c r="G742" s="4" t="n">
        <v>0.4578119999999999</v>
      </c>
      <c r="H742" s="2">
        <f>XLOOKUP(B742, '00_TONG_HOP_BAO_GIA'!B:B, '00_TONG_HOP_BAO_GIA'!G:G, 1)</f>
        <v/>
      </c>
      <c r="I742" s="5">
        <f>G742*H742</f>
        <v/>
      </c>
      <c r="J742" s="2">
        <f>XLOOKUP(E742, '06_BANG_GIA_VAT_TU_AP_DUNG'!B:B, '06_BANG_GIA_VAT_TU_AP_DUNG'!C:C, "LỖI_MÃ_VT")</f>
        <v/>
      </c>
      <c r="K742" s="2">
        <f>I742*J742</f>
        <v/>
      </c>
      <c r="L742" t="inlineStr">
        <is>
          <t>2 cánh cao 120mm</t>
        </is>
      </c>
    </row>
    <row r="743">
      <c r="A743" t="inlineStr">
        <is>
          <t>SW-DAMPER-211-AXLE</t>
        </is>
      </c>
      <c r="B743" t="inlineStr">
        <is>
          <t>SW-DAMPER-211</t>
        </is>
      </c>
      <c r="C743" t="inlineStr">
        <is>
          <t>Trục Sus 201 D10</t>
        </is>
      </c>
      <c r="D743" t="inlineStr">
        <is>
          <t>PHỤ_KIỆN_VAN</t>
        </is>
      </c>
      <c r="E743" t="inlineStr">
        <is>
          <t>MAT-DAMPER-TRUC-SUS-201-D10</t>
        </is>
      </c>
      <c r="F743" t="inlineStr">
        <is>
          <t>m</t>
        </is>
      </c>
      <c r="G743" s="4" t="n">
        <v>0.72</v>
      </c>
      <c r="H743" s="2">
        <f>XLOOKUP(B743, '00_TONG_HOP_BAO_GIA'!B:B, '00_TONG_HOP_BAO_GIA'!G:G, 1)</f>
        <v/>
      </c>
      <c r="I743" s="5">
        <f>G743*H743</f>
        <v/>
      </c>
      <c r="J743" s="2">
        <f>XLOOKUP(E743, '06_BANG_GIA_VAT_TU_AP_DUNG'!B:B, '06_BANG_GIA_VAT_TU_AP_DUNG'!C:C, "LỖI_MÃ_VT")</f>
        <v/>
      </c>
      <c r="K743" s="2">
        <f>I743*J743</f>
        <v/>
      </c>
      <c r="L743" t="inlineStr">
        <is>
          <t>2 trục dài 360mm</t>
        </is>
      </c>
    </row>
    <row r="744">
      <c r="A744" t="inlineStr">
        <is>
          <t>SW-DAMPER-211-BEARING</t>
        </is>
      </c>
      <c r="B744" t="inlineStr">
        <is>
          <t>SW-DAMPER-211</t>
        </is>
      </c>
      <c r="C744" t="inlineStr">
        <is>
          <t>Bạc đồng D10</t>
        </is>
      </c>
      <c r="D744" t="inlineStr">
        <is>
          <t>PHỤ_KIỆN_VAN</t>
        </is>
      </c>
      <c r="E744" t="inlineStr">
        <is>
          <t>MAT-DAMPER-BAC-DONG-D10</t>
        </is>
      </c>
      <c r="F744" t="inlineStr">
        <is>
          <t>Đôi</t>
        </is>
      </c>
      <c r="G744" s="4" t="n">
        <v>2</v>
      </c>
      <c r="H744" s="2">
        <f>XLOOKUP(B744, '00_TONG_HOP_BAO_GIA'!B:B, '00_TONG_HOP_BAO_GIA'!G:G, 1)</f>
        <v/>
      </c>
      <c r="I744" s="5">
        <f>G744*H744</f>
        <v/>
      </c>
      <c r="J744" s="2">
        <f>XLOOKUP(E744, '06_BANG_GIA_VAT_TU_AP_DUNG'!B:B, '06_BANG_GIA_VAT_TU_AP_DUNG'!C:C, "LỖI_MÃ_VT")</f>
        <v/>
      </c>
      <c r="K744" s="2">
        <f>I744*J744</f>
        <v/>
      </c>
      <c r="L744" t="inlineStr">
        <is>
          <t>2 đôi bạc đỡ 2 bên thân</t>
        </is>
      </c>
    </row>
    <row r="745">
      <c r="A745" t="inlineStr">
        <is>
          <t>SW-DAMPER-211-GEAR</t>
        </is>
      </c>
      <c r="B745" t="inlineStr">
        <is>
          <t>SW-DAMPER-211</t>
        </is>
      </c>
      <c r="C745" t="inlineStr">
        <is>
          <t>Bánh răng van nhôm</t>
        </is>
      </c>
      <c r="D745" t="inlineStr">
        <is>
          <t>PHỤ_KIỆN_VAN</t>
        </is>
      </c>
      <c r="E745" t="inlineStr">
        <is>
          <t>MAT-DAMPER-BANH-RANG-VAN-NHOM</t>
        </is>
      </c>
      <c r="F745" t="inlineStr">
        <is>
          <t>Bộ</t>
        </is>
      </c>
      <c r="G745" s="4" t="n">
        <v>1</v>
      </c>
      <c r="H745" s="2">
        <f>XLOOKUP(B745, '00_TONG_HOP_BAO_GIA'!B:B, '00_TONG_HOP_BAO_GIA'!G:G, 1)</f>
        <v/>
      </c>
      <c r="I745" s="5">
        <f>G745*H745</f>
        <v/>
      </c>
      <c r="J745" s="2">
        <f>XLOOKUP(E745, '06_BANG_GIA_VAT_TU_AP_DUNG'!B:B, '06_BANG_GIA_VAT_TU_AP_DUNG'!C:C, "LỖI_MÃ_VT")</f>
        <v/>
      </c>
      <c r="K745" s="2">
        <f>I745*J745</f>
        <v/>
      </c>
      <c r="L745" t="inlineStr">
        <is>
          <t>Cơ cấu liên động bánh răng van</t>
        </is>
      </c>
    </row>
    <row r="746">
      <c r="A746" t="inlineStr">
        <is>
          <t>SW-DAMPER-211-HANDLE</t>
        </is>
      </c>
      <c r="B746" t="inlineStr">
        <is>
          <t>SW-DAMPER-211</t>
        </is>
      </c>
      <c r="C746" t="inlineStr">
        <is>
          <t>Tay gạt nhỏ</t>
        </is>
      </c>
      <c r="D746" t="inlineStr">
        <is>
          <t>PHỤ_KIỆN_VAN</t>
        </is>
      </c>
      <c r="E746" t="inlineStr">
        <is>
          <t>MAT-DAMPER-TAY-GAT-NHO</t>
        </is>
      </c>
      <c r="F746" t="inlineStr">
        <is>
          <t>Bộ</t>
        </is>
      </c>
      <c r="G746" s="4" t="n">
        <v>1</v>
      </c>
      <c r="H746" s="2">
        <f>XLOOKUP(B746, '00_TONG_HOP_BAO_GIA'!B:B, '00_TONG_HOP_BAO_GIA'!G:G, 1)</f>
        <v/>
      </c>
      <c r="I746" s="5">
        <f>G746*H746</f>
        <v/>
      </c>
      <c r="J746" s="2">
        <f>XLOOKUP(E746, '06_BANG_GIA_VAT_TU_AP_DUNG'!B:B, '06_BANG_GIA_VAT_TU_AP_DUNG'!C:C, "LỖI_MÃ_VT")</f>
        <v/>
      </c>
      <c r="K746" s="2">
        <f>I746*J746</f>
        <v/>
      </c>
      <c r="L746" t="inlineStr">
        <is>
          <t>Tay gạt khóa vị trí nan (S=0.06m2)</t>
        </is>
      </c>
    </row>
    <row r="747">
      <c r="A747" t="inlineStr">
        <is>
          <t>SW-DAMPER-212-BODY</t>
        </is>
      </c>
      <c r="B747" t="inlineStr">
        <is>
          <t>SW-DAMPER-212</t>
        </is>
      </c>
      <c r="C747" t="inlineStr">
        <is>
          <t>Thân vỏ van VCD bích TDF (0.75mm)</t>
        </is>
      </c>
      <c r="D747" t="inlineStr">
        <is>
          <t>TÔN_CUỘN_MẠ_KẼM</t>
        </is>
      </c>
      <c r="E747" t="inlineStr">
        <is>
          <t>MAT-STEEL-PN-0.75</t>
        </is>
      </c>
      <c r="F747" t="inlineStr">
        <is>
          <t>kg</t>
        </is>
      </c>
      <c r="G747" s="4" t="n">
        <v>2.146347</v>
      </c>
      <c r="H747" s="2">
        <f>XLOOKUP(B747, '00_TONG_HOP_BAO_GIA'!B:B, '00_TONG_HOP_BAO_GIA'!G:G, 1)</f>
        <v/>
      </c>
      <c r="I747" s="5">
        <f>G747*H747</f>
        <v/>
      </c>
      <c r="J747" s="2">
        <f>XLOOKUP(E747, '06_BANG_GIA_VAT_TU_AP_DUNG'!B:B, '06_BANG_GIA_VAT_TU_AP_DUNG'!C:C, "LỖI_MÃ_VT")</f>
        <v/>
      </c>
      <c r="K747" s="2">
        <f>I747*J747</f>
        <v/>
      </c>
      <c r="L747" t="inlineStr">
        <is>
          <t>Kích thước vỏ 300.0x300.0x210mm</t>
        </is>
      </c>
    </row>
    <row r="748">
      <c r="A748" t="inlineStr">
        <is>
          <t>SW-DAMPER-212-BLADE</t>
        </is>
      </c>
      <c r="B748" t="inlineStr">
        <is>
          <t>SW-DAMPER-212</t>
        </is>
      </c>
      <c r="C748" t="inlineStr">
        <is>
          <t>Lá cánh van (2 cánh overlap)</t>
        </is>
      </c>
      <c r="D748" t="inlineStr">
        <is>
          <t>TÔN_CUỘN_MẠ_KẼM</t>
        </is>
      </c>
      <c r="E748" t="inlineStr">
        <is>
          <t>MAT-STEEL-PN-0.75</t>
        </is>
      </c>
      <c r="F748" t="inlineStr">
        <is>
          <t>kg</t>
        </is>
      </c>
      <c r="G748" s="4" t="n">
        <v>0.648567</v>
      </c>
      <c r="H748" s="2">
        <f>XLOOKUP(B748, '00_TONG_HOP_BAO_GIA'!B:B, '00_TONG_HOP_BAO_GIA'!G:G, 1)</f>
        <v/>
      </c>
      <c r="I748" s="5">
        <f>G748*H748</f>
        <v/>
      </c>
      <c r="J748" s="2">
        <f>XLOOKUP(E748, '06_BANG_GIA_VAT_TU_AP_DUNG'!B:B, '06_BANG_GIA_VAT_TU_AP_DUNG'!C:C, "LỖI_MÃ_VT")</f>
        <v/>
      </c>
      <c r="K748" s="2">
        <f>I748*J748</f>
        <v/>
      </c>
      <c r="L748" t="inlineStr">
        <is>
          <t>2 cánh cao 170mm</t>
        </is>
      </c>
    </row>
    <row r="749">
      <c r="A749" t="inlineStr">
        <is>
          <t>SW-DAMPER-212-AXLE</t>
        </is>
      </c>
      <c r="B749" t="inlineStr">
        <is>
          <t>SW-DAMPER-212</t>
        </is>
      </c>
      <c r="C749" t="inlineStr">
        <is>
          <t>Trục Sus 201 D10</t>
        </is>
      </c>
      <c r="D749" t="inlineStr">
        <is>
          <t>PHỤ_KIỆN_VAN</t>
        </is>
      </c>
      <c r="E749" t="inlineStr">
        <is>
          <t>MAT-DAMPER-TRUC-SUS-201-D10</t>
        </is>
      </c>
      <c r="F749" t="inlineStr">
        <is>
          <t>m</t>
        </is>
      </c>
      <c r="G749" s="4" t="n">
        <v>0.72</v>
      </c>
      <c r="H749" s="2">
        <f>XLOOKUP(B749, '00_TONG_HOP_BAO_GIA'!B:B, '00_TONG_HOP_BAO_GIA'!G:G, 1)</f>
        <v/>
      </c>
      <c r="I749" s="5">
        <f>G749*H749</f>
        <v/>
      </c>
      <c r="J749" s="2">
        <f>XLOOKUP(E749, '06_BANG_GIA_VAT_TU_AP_DUNG'!B:B, '06_BANG_GIA_VAT_TU_AP_DUNG'!C:C, "LỖI_MÃ_VT")</f>
        <v/>
      </c>
      <c r="K749" s="2">
        <f>I749*J749</f>
        <v/>
      </c>
      <c r="L749" t="inlineStr">
        <is>
          <t>2 trục dài 360mm</t>
        </is>
      </c>
    </row>
    <row r="750">
      <c r="A750" t="inlineStr">
        <is>
          <t>SW-DAMPER-212-BEARING</t>
        </is>
      </c>
      <c r="B750" t="inlineStr">
        <is>
          <t>SW-DAMPER-212</t>
        </is>
      </c>
      <c r="C750" t="inlineStr">
        <is>
          <t>Bạc đồng D10</t>
        </is>
      </c>
      <c r="D750" t="inlineStr">
        <is>
          <t>PHỤ_KIỆN_VAN</t>
        </is>
      </c>
      <c r="E750" t="inlineStr">
        <is>
          <t>MAT-DAMPER-BAC-DONG-D10</t>
        </is>
      </c>
      <c r="F750" t="inlineStr">
        <is>
          <t>Đôi</t>
        </is>
      </c>
      <c r="G750" s="4" t="n">
        <v>2</v>
      </c>
      <c r="H750" s="2">
        <f>XLOOKUP(B750, '00_TONG_HOP_BAO_GIA'!B:B, '00_TONG_HOP_BAO_GIA'!G:G, 1)</f>
        <v/>
      </c>
      <c r="I750" s="5">
        <f>G750*H750</f>
        <v/>
      </c>
      <c r="J750" s="2">
        <f>XLOOKUP(E750, '06_BANG_GIA_VAT_TU_AP_DUNG'!B:B, '06_BANG_GIA_VAT_TU_AP_DUNG'!C:C, "LỖI_MÃ_VT")</f>
        <v/>
      </c>
      <c r="K750" s="2">
        <f>I750*J750</f>
        <v/>
      </c>
      <c r="L750" t="inlineStr">
        <is>
          <t>2 đôi bạc đỡ 2 bên thân</t>
        </is>
      </c>
    </row>
    <row r="751">
      <c r="A751" t="inlineStr">
        <is>
          <t>SW-DAMPER-212-GEAR</t>
        </is>
      </c>
      <c r="B751" t="inlineStr">
        <is>
          <t>SW-DAMPER-212</t>
        </is>
      </c>
      <c r="C751" t="inlineStr">
        <is>
          <t>Bánh răng van nhôm</t>
        </is>
      </c>
      <c r="D751" t="inlineStr">
        <is>
          <t>PHỤ_KIỆN_VAN</t>
        </is>
      </c>
      <c r="E751" t="inlineStr">
        <is>
          <t>MAT-DAMPER-BANH-RANG-VAN-NHOM</t>
        </is>
      </c>
      <c r="F751" t="inlineStr">
        <is>
          <t>Bộ</t>
        </is>
      </c>
      <c r="G751" s="4" t="n">
        <v>1</v>
      </c>
      <c r="H751" s="2">
        <f>XLOOKUP(B751, '00_TONG_HOP_BAO_GIA'!B:B, '00_TONG_HOP_BAO_GIA'!G:G, 1)</f>
        <v/>
      </c>
      <c r="I751" s="5">
        <f>G751*H751</f>
        <v/>
      </c>
      <c r="J751" s="2">
        <f>XLOOKUP(E751, '06_BANG_GIA_VAT_TU_AP_DUNG'!B:B, '06_BANG_GIA_VAT_TU_AP_DUNG'!C:C, "LỖI_MÃ_VT")</f>
        <v/>
      </c>
      <c r="K751" s="2">
        <f>I751*J751</f>
        <v/>
      </c>
      <c r="L751" t="inlineStr">
        <is>
          <t>Cơ cấu liên động bánh răng van</t>
        </is>
      </c>
    </row>
    <row r="752">
      <c r="A752" t="inlineStr">
        <is>
          <t>SW-DAMPER-212-HANDLE</t>
        </is>
      </c>
      <c r="B752" t="inlineStr">
        <is>
          <t>SW-DAMPER-212</t>
        </is>
      </c>
      <c r="C752" t="inlineStr">
        <is>
          <t>Tay gạt nhỏ</t>
        </is>
      </c>
      <c r="D752" t="inlineStr">
        <is>
          <t>PHỤ_KIỆN_VAN</t>
        </is>
      </c>
      <c r="E752" t="inlineStr">
        <is>
          <t>MAT-DAMPER-TAY-GAT-NHO</t>
        </is>
      </c>
      <c r="F752" t="inlineStr">
        <is>
          <t>Bộ</t>
        </is>
      </c>
      <c r="G752" s="4" t="n">
        <v>1</v>
      </c>
      <c r="H752" s="2">
        <f>XLOOKUP(B752, '00_TONG_HOP_BAO_GIA'!B:B, '00_TONG_HOP_BAO_GIA'!G:G, 1)</f>
        <v/>
      </c>
      <c r="I752" s="5">
        <f>G752*H752</f>
        <v/>
      </c>
      <c r="J752" s="2">
        <f>XLOOKUP(E752, '06_BANG_GIA_VAT_TU_AP_DUNG'!B:B, '06_BANG_GIA_VAT_TU_AP_DUNG'!C:C, "LỖI_MÃ_VT")</f>
        <v/>
      </c>
      <c r="K752" s="2">
        <f>I752*J752</f>
        <v/>
      </c>
      <c r="L752" t="inlineStr">
        <is>
          <t>Tay gạt khóa vị trí nan (S=0.09m2)</t>
        </is>
      </c>
    </row>
    <row r="753">
      <c r="A753" t="inlineStr">
        <is>
          <t>SW-DAMPER-213-BODY</t>
        </is>
      </c>
      <c r="B753" t="inlineStr">
        <is>
          <t>SW-DAMPER-213</t>
        </is>
      </c>
      <c r="C753" t="inlineStr">
        <is>
          <t>Thân vỏ van VCD bích TDF (0.75mm)</t>
        </is>
      </c>
      <c r="D753" t="inlineStr">
        <is>
          <t>TÔN_CUỘN_MẠ_KẼM</t>
        </is>
      </c>
      <c r="E753" t="inlineStr">
        <is>
          <t>MAT-STEEL-PN-0.75</t>
        </is>
      </c>
      <c r="F753" t="inlineStr">
        <is>
          <t>kg</t>
        </is>
      </c>
      <c r="G753" s="4" t="n">
        <v>2.3194395</v>
      </c>
      <c r="H753" s="2">
        <f>XLOOKUP(B753, '00_TONG_HOP_BAO_GIA'!B:B, '00_TONG_HOP_BAO_GIA'!G:G, 1)</f>
        <v/>
      </c>
      <c r="I753" s="5">
        <f>G753*H753</f>
        <v/>
      </c>
      <c r="J753" s="2">
        <f>XLOOKUP(E753, '06_BANG_GIA_VAT_TU_AP_DUNG'!B:B, '06_BANG_GIA_VAT_TU_AP_DUNG'!C:C, "LỖI_MÃ_VT")</f>
        <v/>
      </c>
      <c r="K753" s="2">
        <f>I753*J753</f>
        <v/>
      </c>
      <c r="L753" t="inlineStr">
        <is>
          <t>Kích thước vỏ 350.0x300.0x210mm</t>
        </is>
      </c>
    </row>
    <row r="754">
      <c r="A754" t="inlineStr">
        <is>
          <t>SW-DAMPER-213-BLADE</t>
        </is>
      </c>
      <c r="B754" t="inlineStr">
        <is>
          <t>SW-DAMPER-213</t>
        </is>
      </c>
      <c r="C754" t="inlineStr">
        <is>
          <t>Lá cánh van (2 cánh overlap)</t>
        </is>
      </c>
      <c r="D754" t="inlineStr">
        <is>
          <t>TÔN_CUỘN_MẠ_KẼM</t>
        </is>
      </c>
      <c r="E754" t="inlineStr">
        <is>
          <t>MAT-STEEL-PN-0.75</t>
        </is>
      </c>
      <c r="F754" t="inlineStr">
        <is>
          <t>kg</t>
        </is>
      </c>
      <c r="G754" s="4" t="n">
        <v>0.7566614999999999</v>
      </c>
      <c r="H754" s="2">
        <f>XLOOKUP(B754, '00_TONG_HOP_BAO_GIA'!B:B, '00_TONG_HOP_BAO_GIA'!G:G, 1)</f>
        <v/>
      </c>
      <c r="I754" s="5">
        <f>G754*H754</f>
        <v/>
      </c>
      <c r="J754" s="2">
        <f>XLOOKUP(E754, '06_BANG_GIA_VAT_TU_AP_DUNG'!B:B, '06_BANG_GIA_VAT_TU_AP_DUNG'!C:C, "LỖI_MÃ_VT")</f>
        <v/>
      </c>
      <c r="K754" s="2">
        <f>I754*J754</f>
        <v/>
      </c>
      <c r="L754" t="inlineStr">
        <is>
          <t>2 cánh cao 170mm</t>
        </is>
      </c>
    </row>
    <row r="755">
      <c r="A755" t="inlineStr">
        <is>
          <t>SW-DAMPER-213-AXLE</t>
        </is>
      </c>
      <c r="B755" t="inlineStr">
        <is>
          <t>SW-DAMPER-213</t>
        </is>
      </c>
      <c r="C755" t="inlineStr">
        <is>
          <t>Trục Sus 201 D10</t>
        </is>
      </c>
      <c r="D755" t="inlineStr">
        <is>
          <t>PHỤ_KIỆN_VAN</t>
        </is>
      </c>
      <c r="E755" t="inlineStr">
        <is>
          <t>MAT-DAMPER-TRUC-SUS-201-D10</t>
        </is>
      </c>
      <c r="F755" t="inlineStr">
        <is>
          <t>m</t>
        </is>
      </c>
      <c r="G755" s="4" t="n">
        <v>0.82</v>
      </c>
      <c r="H755" s="2">
        <f>XLOOKUP(B755, '00_TONG_HOP_BAO_GIA'!B:B, '00_TONG_HOP_BAO_GIA'!G:G, 1)</f>
        <v/>
      </c>
      <c r="I755" s="5">
        <f>G755*H755</f>
        <v/>
      </c>
      <c r="J755" s="2">
        <f>XLOOKUP(E755, '06_BANG_GIA_VAT_TU_AP_DUNG'!B:B, '06_BANG_GIA_VAT_TU_AP_DUNG'!C:C, "LỖI_MÃ_VT")</f>
        <v/>
      </c>
      <c r="K755" s="2">
        <f>I755*J755</f>
        <v/>
      </c>
      <c r="L755" t="inlineStr">
        <is>
          <t>2 trục dài 410mm</t>
        </is>
      </c>
    </row>
    <row r="756">
      <c r="A756" t="inlineStr">
        <is>
          <t>SW-DAMPER-213-BEARING</t>
        </is>
      </c>
      <c r="B756" t="inlineStr">
        <is>
          <t>SW-DAMPER-213</t>
        </is>
      </c>
      <c r="C756" t="inlineStr">
        <is>
          <t>Bạc đồng D10</t>
        </is>
      </c>
      <c r="D756" t="inlineStr">
        <is>
          <t>PHỤ_KIỆN_VAN</t>
        </is>
      </c>
      <c r="E756" t="inlineStr">
        <is>
          <t>MAT-DAMPER-BAC-DONG-D10</t>
        </is>
      </c>
      <c r="F756" t="inlineStr">
        <is>
          <t>Đôi</t>
        </is>
      </c>
      <c r="G756" s="4" t="n">
        <v>2</v>
      </c>
      <c r="H756" s="2">
        <f>XLOOKUP(B756, '00_TONG_HOP_BAO_GIA'!B:B, '00_TONG_HOP_BAO_GIA'!G:G, 1)</f>
        <v/>
      </c>
      <c r="I756" s="5">
        <f>G756*H756</f>
        <v/>
      </c>
      <c r="J756" s="2">
        <f>XLOOKUP(E756, '06_BANG_GIA_VAT_TU_AP_DUNG'!B:B, '06_BANG_GIA_VAT_TU_AP_DUNG'!C:C, "LỖI_MÃ_VT")</f>
        <v/>
      </c>
      <c r="K756" s="2">
        <f>I756*J756</f>
        <v/>
      </c>
      <c r="L756" t="inlineStr">
        <is>
          <t>2 đôi bạc đỡ 2 bên thân</t>
        </is>
      </c>
    </row>
    <row r="757">
      <c r="A757" t="inlineStr">
        <is>
          <t>SW-DAMPER-213-GEAR</t>
        </is>
      </c>
      <c r="B757" t="inlineStr">
        <is>
          <t>SW-DAMPER-213</t>
        </is>
      </c>
      <c r="C757" t="inlineStr">
        <is>
          <t>Bánh răng van nhôm</t>
        </is>
      </c>
      <c r="D757" t="inlineStr">
        <is>
          <t>PHỤ_KIỆN_VAN</t>
        </is>
      </c>
      <c r="E757" t="inlineStr">
        <is>
          <t>MAT-DAMPER-BANH-RANG-VAN-NHOM</t>
        </is>
      </c>
      <c r="F757" t="inlineStr">
        <is>
          <t>Bộ</t>
        </is>
      </c>
      <c r="G757" s="4" t="n">
        <v>1</v>
      </c>
      <c r="H757" s="2">
        <f>XLOOKUP(B757, '00_TONG_HOP_BAO_GIA'!B:B, '00_TONG_HOP_BAO_GIA'!G:G, 1)</f>
        <v/>
      </c>
      <c r="I757" s="5">
        <f>G757*H757</f>
        <v/>
      </c>
      <c r="J757" s="2">
        <f>XLOOKUP(E757, '06_BANG_GIA_VAT_TU_AP_DUNG'!B:B, '06_BANG_GIA_VAT_TU_AP_DUNG'!C:C, "LỖI_MÃ_VT")</f>
        <v/>
      </c>
      <c r="K757" s="2">
        <f>I757*J757</f>
        <v/>
      </c>
      <c r="L757" t="inlineStr">
        <is>
          <t>Cơ cấu liên động bánh răng van</t>
        </is>
      </c>
    </row>
    <row r="758">
      <c r="A758" t="inlineStr">
        <is>
          <t>SW-DAMPER-213-HANDLE</t>
        </is>
      </c>
      <c r="B758" t="inlineStr">
        <is>
          <t>SW-DAMPER-213</t>
        </is>
      </c>
      <c r="C758" t="inlineStr">
        <is>
          <t>Tay gạt nhỏ</t>
        </is>
      </c>
      <c r="D758" t="inlineStr">
        <is>
          <t>PHỤ_KIỆN_VAN</t>
        </is>
      </c>
      <c r="E758" t="inlineStr">
        <is>
          <t>MAT-DAMPER-TAY-GAT-NHO</t>
        </is>
      </c>
      <c r="F758" t="inlineStr">
        <is>
          <t>Bộ</t>
        </is>
      </c>
      <c r="G758" s="4" t="n">
        <v>1</v>
      </c>
      <c r="H758" s="2">
        <f>XLOOKUP(B758, '00_TONG_HOP_BAO_GIA'!B:B, '00_TONG_HOP_BAO_GIA'!G:G, 1)</f>
        <v/>
      </c>
      <c r="I758" s="5">
        <f>G758*H758</f>
        <v/>
      </c>
      <c r="J758" s="2">
        <f>XLOOKUP(E758, '06_BANG_GIA_VAT_TU_AP_DUNG'!B:B, '06_BANG_GIA_VAT_TU_AP_DUNG'!C:C, "LỖI_MÃ_VT")</f>
        <v/>
      </c>
      <c r="K758" s="2">
        <f>I758*J758</f>
        <v/>
      </c>
      <c r="L758" t="inlineStr">
        <is>
          <t>Tay gạt khóa vị trí nan (S=0.10m2)</t>
        </is>
      </c>
    </row>
    <row r="759">
      <c r="A759" t="inlineStr">
        <is>
          <t>SW-DAMPER-214-BODY</t>
        </is>
      </c>
      <c r="B759" t="inlineStr">
        <is>
          <t>SW-DAMPER-214</t>
        </is>
      </c>
      <c r="C759" t="inlineStr">
        <is>
          <t>Thân vỏ van VCD bích TDF (0.75mm)</t>
        </is>
      </c>
      <c r="D759" t="inlineStr">
        <is>
          <t>TÔN_CUỘN_MẠ_KẼM</t>
        </is>
      </c>
      <c r="E759" t="inlineStr">
        <is>
          <t>MAT-STEEL-PN-0.75</t>
        </is>
      </c>
      <c r="F759" t="inlineStr">
        <is>
          <t>kg</t>
        </is>
      </c>
      <c r="G759" s="4" t="n">
        <v>2.492532</v>
      </c>
      <c r="H759" s="2">
        <f>XLOOKUP(B759, '00_TONG_HOP_BAO_GIA'!B:B, '00_TONG_HOP_BAO_GIA'!G:G, 1)</f>
        <v/>
      </c>
      <c r="I759" s="5">
        <f>G759*H759</f>
        <v/>
      </c>
      <c r="J759" s="2">
        <f>XLOOKUP(E759, '06_BANG_GIA_VAT_TU_AP_DUNG'!B:B, '06_BANG_GIA_VAT_TU_AP_DUNG'!C:C, "LỖI_MÃ_VT")</f>
        <v/>
      </c>
      <c r="K759" s="2">
        <f>I759*J759</f>
        <v/>
      </c>
      <c r="L759" t="inlineStr">
        <is>
          <t>Kích thước vỏ 350.0x350.0x210mm</t>
        </is>
      </c>
    </row>
    <row r="760">
      <c r="A760" t="inlineStr">
        <is>
          <t>SW-DAMPER-214-BLADE</t>
        </is>
      </c>
      <c r="B760" t="inlineStr">
        <is>
          <t>SW-DAMPER-214</t>
        </is>
      </c>
      <c r="C760" t="inlineStr">
        <is>
          <t>Lá cánh van (2 cánh overlap)</t>
        </is>
      </c>
      <c r="D760" t="inlineStr">
        <is>
          <t>TÔN_CUỘN_MẠ_KẼM</t>
        </is>
      </c>
      <c r="E760" t="inlineStr">
        <is>
          <t>MAT-STEEL-PN-0.75</t>
        </is>
      </c>
      <c r="F760" t="inlineStr">
        <is>
          <t>kg</t>
        </is>
      </c>
      <c r="G760" s="4" t="n">
        <v>0.8679352499999998</v>
      </c>
      <c r="H760" s="2">
        <f>XLOOKUP(B760, '00_TONG_HOP_BAO_GIA'!B:B, '00_TONG_HOP_BAO_GIA'!G:G, 1)</f>
        <v/>
      </c>
      <c r="I760" s="5">
        <f>G760*H760</f>
        <v/>
      </c>
      <c r="J760" s="2">
        <f>XLOOKUP(E760, '06_BANG_GIA_VAT_TU_AP_DUNG'!B:B, '06_BANG_GIA_VAT_TU_AP_DUNG'!C:C, "LỖI_MÃ_VT")</f>
        <v/>
      </c>
      <c r="K760" s="2">
        <f>I760*J760</f>
        <v/>
      </c>
      <c r="L760" t="inlineStr">
        <is>
          <t>2 cánh cao 195mm</t>
        </is>
      </c>
    </row>
    <row r="761">
      <c r="A761" t="inlineStr">
        <is>
          <t>SW-DAMPER-214-AXLE</t>
        </is>
      </c>
      <c r="B761" t="inlineStr">
        <is>
          <t>SW-DAMPER-214</t>
        </is>
      </c>
      <c r="C761" t="inlineStr">
        <is>
          <t>Trục Sus 201 D10</t>
        </is>
      </c>
      <c r="D761" t="inlineStr">
        <is>
          <t>PHỤ_KIỆN_VAN</t>
        </is>
      </c>
      <c r="E761" t="inlineStr">
        <is>
          <t>MAT-DAMPER-TRUC-SUS-201-D10</t>
        </is>
      </c>
      <c r="F761" t="inlineStr">
        <is>
          <t>m</t>
        </is>
      </c>
      <c r="G761" s="4" t="n">
        <v>0.82</v>
      </c>
      <c r="H761" s="2">
        <f>XLOOKUP(B761, '00_TONG_HOP_BAO_GIA'!B:B, '00_TONG_HOP_BAO_GIA'!G:G, 1)</f>
        <v/>
      </c>
      <c r="I761" s="5">
        <f>G761*H761</f>
        <v/>
      </c>
      <c r="J761" s="2">
        <f>XLOOKUP(E761, '06_BANG_GIA_VAT_TU_AP_DUNG'!B:B, '06_BANG_GIA_VAT_TU_AP_DUNG'!C:C, "LỖI_MÃ_VT")</f>
        <v/>
      </c>
      <c r="K761" s="2">
        <f>I761*J761</f>
        <v/>
      </c>
      <c r="L761" t="inlineStr">
        <is>
          <t>2 trục dài 410mm</t>
        </is>
      </c>
    </row>
    <row r="762">
      <c r="A762" t="inlineStr">
        <is>
          <t>SW-DAMPER-214-BEARING</t>
        </is>
      </c>
      <c r="B762" t="inlineStr">
        <is>
          <t>SW-DAMPER-214</t>
        </is>
      </c>
      <c r="C762" t="inlineStr">
        <is>
          <t>Bạc đồng D10</t>
        </is>
      </c>
      <c r="D762" t="inlineStr">
        <is>
          <t>PHỤ_KIỆN_VAN</t>
        </is>
      </c>
      <c r="E762" t="inlineStr">
        <is>
          <t>MAT-DAMPER-BAC-DONG-D10</t>
        </is>
      </c>
      <c r="F762" t="inlineStr">
        <is>
          <t>Đôi</t>
        </is>
      </c>
      <c r="G762" s="4" t="n">
        <v>2</v>
      </c>
      <c r="H762" s="2">
        <f>XLOOKUP(B762, '00_TONG_HOP_BAO_GIA'!B:B, '00_TONG_HOP_BAO_GIA'!G:G, 1)</f>
        <v/>
      </c>
      <c r="I762" s="5">
        <f>G762*H762</f>
        <v/>
      </c>
      <c r="J762" s="2">
        <f>XLOOKUP(E762, '06_BANG_GIA_VAT_TU_AP_DUNG'!B:B, '06_BANG_GIA_VAT_TU_AP_DUNG'!C:C, "LỖI_MÃ_VT")</f>
        <v/>
      </c>
      <c r="K762" s="2">
        <f>I762*J762</f>
        <v/>
      </c>
      <c r="L762" t="inlineStr">
        <is>
          <t>2 đôi bạc đỡ 2 bên thân</t>
        </is>
      </c>
    </row>
    <row r="763">
      <c r="A763" t="inlineStr">
        <is>
          <t>SW-DAMPER-214-GEAR</t>
        </is>
      </c>
      <c r="B763" t="inlineStr">
        <is>
          <t>SW-DAMPER-214</t>
        </is>
      </c>
      <c r="C763" t="inlineStr">
        <is>
          <t>Bánh răng van nhôm</t>
        </is>
      </c>
      <c r="D763" t="inlineStr">
        <is>
          <t>PHỤ_KIỆN_VAN</t>
        </is>
      </c>
      <c r="E763" t="inlineStr">
        <is>
          <t>MAT-DAMPER-BANH-RANG-VAN-NHOM</t>
        </is>
      </c>
      <c r="F763" t="inlineStr">
        <is>
          <t>Bộ</t>
        </is>
      </c>
      <c r="G763" s="4" t="n">
        <v>1</v>
      </c>
      <c r="H763" s="2">
        <f>XLOOKUP(B763, '00_TONG_HOP_BAO_GIA'!B:B, '00_TONG_HOP_BAO_GIA'!G:G, 1)</f>
        <v/>
      </c>
      <c r="I763" s="5">
        <f>G763*H763</f>
        <v/>
      </c>
      <c r="J763" s="2">
        <f>XLOOKUP(E763, '06_BANG_GIA_VAT_TU_AP_DUNG'!B:B, '06_BANG_GIA_VAT_TU_AP_DUNG'!C:C, "LỖI_MÃ_VT")</f>
        <v/>
      </c>
      <c r="K763" s="2">
        <f>I763*J763</f>
        <v/>
      </c>
      <c r="L763" t="inlineStr">
        <is>
          <t>Cơ cấu liên động bánh răng van</t>
        </is>
      </c>
    </row>
    <row r="764">
      <c r="A764" t="inlineStr">
        <is>
          <t>SW-DAMPER-214-HANDLE</t>
        </is>
      </c>
      <c r="B764" t="inlineStr">
        <is>
          <t>SW-DAMPER-214</t>
        </is>
      </c>
      <c r="C764" t="inlineStr">
        <is>
          <t>Tay gạt nhỏ</t>
        </is>
      </c>
      <c r="D764" t="inlineStr">
        <is>
          <t>PHỤ_KIỆN_VAN</t>
        </is>
      </c>
      <c r="E764" t="inlineStr">
        <is>
          <t>MAT-DAMPER-TAY-GAT-NHO</t>
        </is>
      </c>
      <c r="F764" t="inlineStr">
        <is>
          <t>Bộ</t>
        </is>
      </c>
      <c r="G764" s="4" t="n">
        <v>1</v>
      </c>
      <c r="H764" s="2">
        <f>XLOOKUP(B764, '00_TONG_HOP_BAO_GIA'!B:B, '00_TONG_HOP_BAO_GIA'!G:G, 1)</f>
        <v/>
      </c>
      <c r="I764" s="5">
        <f>G764*H764</f>
        <v/>
      </c>
      <c r="J764" s="2">
        <f>XLOOKUP(E764, '06_BANG_GIA_VAT_TU_AP_DUNG'!B:B, '06_BANG_GIA_VAT_TU_AP_DUNG'!C:C, "LỖI_MÃ_VT")</f>
        <v/>
      </c>
      <c r="K764" s="2">
        <f>I764*J764</f>
        <v/>
      </c>
      <c r="L764" t="inlineStr">
        <is>
          <t>Tay gạt khóa vị trí nan (S=0.12m2)</t>
        </is>
      </c>
    </row>
    <row r="765">
      <c r="A765" t="inlineStr">
        <is>
          <t>SW-DAMPER-215-BODY</t>
        </is>
      </c>
      <c r="B765" t="inlineStr">
        <is>
          <t>SW-DAMPER-215</t>
        </is>
      </c>
      <c r="C765" t="inlineStr">
        <is>
          <t>Thân vỏ van VCD bích TDF (0.75mm)</t>
        </is>
      </c>
      <c r="D765" t="inlineStr">
        <is>
          <t>TÔN_CUỘN_MẠ_KẼM</t>
        </is>
      </c>
      <c r="E765" t="inlineStr">
        <is>
          <t>MAT-STEEL-PN-0.75</t>
        </is>
      </c>
      <c r="F765" t="inlineStr">
        <is>
          <t>kg</t>
        </is>
      </c>
      <c r="G765" s="4" t="n">
        <v>2.6656245</v>
      </c>
      <c r="H765" s="2">
        <f>XLOOKUP(B765, '00_TONG_HOP_BAO_GIA'!B:B, '00_TONG_HOP_BAO_GIA'!G:G, 1)</f>
        <v/>
      </c>
      <c r="I765" s="5">
        <f>G765*H765</f>
        <v/>
      </c>
      <c r="J765" s="2">
        <f>XLOOKUP(E765, '06_BANG_GIA_VAT_TU_AP_DUNG'!B:B, '06_BANG_GIA_VAT_TU_AP_DUNG'!C:C, "LỖI_MÃ_VT")</f>
        <v/>
      </c>
      <c r="K765" s="2">
        <f>I765*J765</f>
        <v/>
      </c>
      <c r="L765" t="inlineStr">
        <is>
          <t>Kích thước vỏ 400.0x350.0x210mm</t>
        </is>
      </c>
    </row>
    <row r="766">
      <c r="A766" t="inlineStr">
        <is>
          <t>SW-DAMPER-215-BLADE</t>
        </is>
      </c>
      <c r="B766" t="inlineStr">
        <is>
          <t>SW-DAMPER-215</t>
        </is>
      </c>
      <c r="C766" t="inlineStr">
        <is>
          <t>Lá cánh van (2 cánh overlap)</t>
        </is>
      </c>
      <c r="D766" t="inlineStr">
        <is>
          <t>TÔN_CUỘN_MẠ_KẼM</t>
        </is>
      </c>
      <c r="E766" t="inlineStr">
        <is>
          <t>MAT-STEEL-PN-0.75</t>
        </is>
      </c>
      <c r="F766" t="inlineStr">
        <is>
          <t>kg</t>
        </is>
      </c>
      <c r="G766" s="4" t="n">
        <v>0.9919260000000002</v>
      </c>
      <c r="H766" s="2">
        <f>XLOOKUP(B766, '00_TONG_HOP_BAO_GIA'!B:B, '00_TONG_HOP_BAO_GIA'!G:G, 1)</f>
        <v/>
      </c>
      <c r="I766" s="5">
        <f>G766*H766</f>
        <v/>
      </c>
      <c r="J766" s="2">
        <f>XLOOKUP(E766, '06_BANG_GIA_VAT_TU_AP_DUNG'!B:B, '06_BANG_GIA_VAT_TU_AP_DUNG'!C:C, "LỖI_MÃ_VT")</f>
        <v/>
      </c>
      <c r="K766" s="2">
        <f>I766*J766</f>
        <v/>
      </c>
      <c r="L766" t="inlineStr">
        <is>
          <t>2 cánh cao 195mm</t>
        </is>
      </c>
    </row>
    <row r="767">
      <c r="A767" t="inlineStr">
        <is>
          <t>SW-DAMPER-215-AXLE</t>
        </is>
      </c>
      <c r="B767" t="inlineStr">
        <is>
          <t>SW-DAMPER-215</t>
        </is>
      </c>
      <c r="C767" t="inlineStr">
        <is>
          <t>Trục Sus 201 D10</t>
        </is>
      </c>
      <c r="D767" t="inlineStr">
        <is>
          <t>PHỤ_KIỆN_VAN</t>
        </is>
      </c>
      <c r="E767" t="inlineStr">
        <is>
          <t>MAT-DAMPER-TRUC-SUS-201-D10</t>
        </is>
      </c>
      <c r="F767" t="inlineStr">
        <is>
          <t>m</t>
        </is>
      </c>
      <c r="G767" s="4" t="n">
        <v>0.92</v>
      </c>
      <c r="H767" s="2">
        <f>XLOOKUP(B767, '00_TONG_HOP_BAO_GIA'!B:B, '00_TONG_HOP_BAO_GIA'!G:G, 1)</f>
        <v/>
      </c>
      <c r="I767" s="5">
        <f>G767*H767</f>
        <v/>
      </c>
      <c r="J767" s="2">
        <f>XLOOKUP(E767, '06_BANG_GIA_VAT_TU_AP_DUNG'!B:B, '06_BANG_GIA_VAT_TU_AP_DUNG'!C:C, "LỖI_MÃ_VT")</f>
        <v/>
      </c>
      <c r="K767" s="2">
        <f>I767*J767</f>
        <v/>
      </c>
      <c r="L767" t="inlineStr">
        <is>
          <t>2 trục dài 460mm</t>
        </is>
      </c>
    </row>
    <row r="768">
      <c r="A768" t="inlineStr">
        <is>
          <t>SW-DAMPER-215-BEARING</t>
        </is>
      </c>
      <c r="B768" t="inlineStr">
        <is>
          <t>SW-DAMPER-215</t>
        </is>
      </c>
      <c r="C768" t="inlineStr">
        <is>
          <t>Bạc đồng D10</t>
        </is>
      </c>
      <c r="D768" t="inlineStr">
        <is>
          <t>PHỤ_KIỆN_VAN</t>
        </is>
      </c>
      <c r="E768" t="inlineStr">
        <is>
          <t>MAT-DAMPER-BAC-DONG-D10</t>
        </is>
      </c>
      <c r="F768" t="inlineStr">
        <is>
          <t>Đôi</t>
        </is>
      </c>
      <c r="G768" s="4" t="n">
        <v>2</v>
      </c>
      <c r="H768" s="2">
        <f>XLOOKUP(B768, '00_TONG_HOP_BAO_GIA'!B:B, '00_TONG_HOP_BAO_GIA'!G:G, 1)</f>
        <v/>
      </c>
      <c r="I768" s="5">
        <f>G768*H768</f>
        <v/>
      </c>
      <c r="J768" s="2">
        <f>XLOOKUP(E768, '06_BANG_GIA_VAT_TU_AP_DUNG'!B:B, '06_BANG_GIA_VAT_TU_AP_DUNG'!C:C, "LỖI_MÃ_VT")</f>
        <v/>
      </c>
      <c r="K768" s="2">
        <f>I768*J768</f>
        <v/>
      </c>
      <c r="L768" t="inlineStr">
        <is>
          <t>2 đôi bạc đỡ 2 bên thân</t>
        </is>
      </c>
    </row>
    <row r="769">
      <c r="A769" t="inlineStr">
        <is>
          <t>SW-DAMPER-215-GEAR</t>
        </is>
      </c>
      <c r="B769" t="inlineStr">
        <is>
          <t>SW-DAMPER-215</t>
        </is>
      </c>
      <c r="C769" t="inlineStr">
        <is>
          <t>Bánh răng van nhôm</t>
        </is>
      </c>
      <c r="D769" t="inlineStr">
        <is>
          <t>PHỤ_KIỆN_VAN</t>
        </is>
      </c>
      <c r="E769" t="inlineStr">
        <is>
          <t>MAT-DAMPER-BANH-RANG-VAN-NHOM</t>
        </is>
      </c>
      <c r="F769" t="inlineStr">
        <is>
          <t>Bộ</t>
        </is>
      </c>
      <c r="G769" s="4" t="n">
        <v>1</v>
      </c>
      <c r="H769" s="2">
        <f>XLOOKUP(B769, '00_TONG_HOP_BAO_GIA'!B:B, '00_TONG_HOP_BAO_GIA'!G:G, 1)</f>
        <v/>
      </c>
      <c r="I769" s="5">
        <f>G769*H769</f>
        <v/>
      </c>
      <c r="J769" s="2">
        <f>XLOOKUP(E769, '06_BANG_GIA_VAT_TU_AP_DUNG'!B:B, '06_BANG_GIA_VAT_TU_AP_DUNG'!C:C, "LỖI_MÃ_VT")</f>
        <v/>
      </c>
      <c r="K769" s="2">
        <f>I769*J769</f>
        <v/>
      </c>
      <c r="L769" t="inlineStr">
        <is>
          <t>Cơ cấu liên động bánh răng van</t>
        </is>
      </c>
    </row>
    <row r="770">
      <c r="A770" t="inlineStr">
        <is>
          <t>SW-DAMPER-215-HANDLE</t>
        </is>
      </c>
      <c r="B770" t="inlineStr">
        <is>
          <t>SW-DAMPER-215</t>
        </is>
      </c>
      <c r="C770" t="inlineStr">
        <is>
          <t>Tay gạt nhỏ</t>
        </is>
      </c>
      <c r="D770" t="inlineStr">
        <is>
          <t>PHỤ_KIỆN_VAN</t>
        </is>
      </c>
      <c r="E770" t="inlineStr">
        <is>
          <t>MAT-DAMPER-TAY-GAT-NHO</t>
        </is>
      </c>
      <c r="F770" t="inlineStr">
        <is>
          <t>Bộ</t>
        </is>
      </c>
      <c r="G770" s="4" t="n">
        <v>1</v>
      </c>
      <c r="H770" s="2">
        <f>XLOOKUP(B770, '00_TONG_HOP_BAO_GIA'!B:B, '00_TONG_HOP_BAO_GIA'!G:G, 1)</f>
        <v/>
      </c>
      <c r="I770" s="5">
        <f>G770*H770</f>
        <v/>
      </c>
      <c r="J770" s="2">
        <f>XLOOKUP(E770, '06_BANG_GIA_VAT_TU_AP_DUNG'!B:B, '06_BANG_GIA_VAT_TU_AP_DUNG'!C:C, "LỖI_MÃ_VT")</f>
        <v/>
      </c>
      <c r="K770" s="2">
        <f>I770*J770</f>
        <v/>
      </c>
      <c r="L770" t="inlineStr">
        <is>
          <t>Tay gạt khóa vị trí nan (S=0.14m2)</t>
        </is>
      </c>
    </row>
    <row r="771">
      <c r="A771" t="inlineStr">
        <is>
          <t>SW-DAMPER-216-BODY</t>
        </is>
      </c>
      <c r="B771" t="inlineStr">
        <is>
          <t>SW-DAMPER-216</t>
        </is>
      </c>
      <c r="C771" t="inlineStr">
        <is>
          <t>Thân vỏ van VCD bích TDF (0.75mm)</t>
        </is>
      </c>
      <c r="D771" t="inlineStr">
        <is>
          <t>TÔN_CUỘN_MẠ_KẼM</t>
        </is>
      </c>
      <c r="E771" t="inlineStr">
        <is>
          <t>MAT-STEEL-PN-0.75</t>
        </is>
      </c>
      <c r="F771" t="inlineStr">
        <is>
          <t>kg</t>
        </is>
      </c>
      <c r="G771" s="4" t="n">
        <v>2.3194395</v>
      </c>
      <c r="H771" s="2">
        <f>XLOOKUP(B771, '00_TONG_HOP_BAO_GIA'!B:B, '00_TONG_HOP_BAO_GIA'!G:G, 1)</f>
        <v/>
      </c>
      <c r="I771" s="5">
        <f>G771*H771</f>
        <v/>
      </c>
      <c r="J771" s="2">
        <f>XLOOKUP(E771, '06_BANG_GIA_VAT_TU_AP_DUNG'!B:B, '06_BANG_GIA_VAT_TU_AP_DUNG'!C:C, "LỖI_MÃ_VT")</f>
        <v/>
      </c>
      <c r="K771" s="2">
        <f>I771*J771</f>
        <v/>
      </c>
      <c r="L771" t="inlineStr">
        <is>
          <t>Kích thước vỏ 450.0x200.0x210mm</t>
        </is>
      </c>
    </row>
    <row r="772">
      <c r="A772" t="inlineStr">
        <is>
          <t>SW-DAMPER-216-BLADE</t>
        </is>
      </c>
      <c r="B772" t="inlineStr">
        <is>
          <t>SW-DAMPER-216</t>
        </is>
      </c>
      <c r="C772" t="inlineStr">
        <is>
          <t>Lá cánh van (2 cánh overlap)</t>
        </is>
      </c>
      <c r="D772" t="inlineStr">
        <is>
          <t>TÔN_CUỘN_MẠ_KẼM</t>
        </is>
      </c>
      <c r="E772" t="inlineStr">
        <is>
          <t>MAT-STEEL-PN-0.75</t>
        </is>
      </c>
      <c r="F772" t="inlineStr">
        <is>
          <t>kg</t>
        </is>
      </c>
      <c r="G772" s="4" t="n">
        <v>0.6867179999999999</v>
      </c>
      <c r="H772" s="2">
        <f>XLOOKUP(B772, '00_TONG_HOP_BAO_GIA'!B:B, '00_TONG_HOP_BAO_GIA'!G:G, 1)</f>
        <v/>
      </c>
      <c r="I772" s="5">
        <f>G772*H772</f>
        <v/>
      </c>
      <c r="J772" s="2">
        <f>XLOOKUP(E772, '06_BANG_GIA_VAT_TU_AP_DUNG'!B:B, '06_BANG_GIA_VAT_TU_AP_DUNG'!C:C, "LỖI_MÃ_VT")</f>
        <v/>
      </c>
      <c r="K772" s="2">
        <f>I772*J772</f>
        <v/>
      </c>
      <c r="L772" t="inlineStr">
        <is>
          <t>2 cánh cao 120mm</t>
        </is>
      </c>
    </row>
    <row r="773">
      <c r="A773" t="inlineStr">
        <is>
          <t>SW-DAMPER-216-AXLE</t>
        </is>
      </c>
      <c r="B773" t="inlineStr">
        <is>
          <t>SW-DAMPER-216</t>
        </is>
      </c>
      <c r="C773" t="inlineStr">
        <is>
          <t>Trục Sus 201 D10</t>
        </is>
      </c>
      <c r="D773" t="inlineStr">
        <is>
          <t>PHỤ_KIỆN_VAN</t>
        </is>
      </c>
      <c r="E773" t="inlineStr">
        <is>
          <t>MAT-DAMPER-TRUC-SUS-201-D10</t>
        </is>
      </c>
      <c r="F773" t="inlineStr">
        <is>
          <t>m</t>
        </is>
      </c>
      <c r="G773" s="4" t="n">
        <v>1.02</v>
      </c>
      <c r="H773" s="2">
        <f>XLOOKUP(B773, '00_TONG_HOP_BAO_GIA'!B:B, '00_TONG_HOP_BAO_GIA'!G:G, 1)</f>
        <v/>
      </c>
      <c r="I773" s="5">
        <f>G773*H773</f>
        <v/>
      </c>
      <c r="J773" s="2">
        <f>XLOOKUP(E773, '06_BANG_GIA_VAT_TU_AP_DUNG'!B:B, '06_BANG_GIA_VAT_TU_AP_DUNG'!C:C, "LỖI_MÃ_VT")</f>
        <v/>
      </c>
      <c r="K773" s="2">
        <f>I773*J773</f>
        <v/>
      </c>
      <c r="L773" t="inlineStr">
        <is>
          <t>2 trục dài 510mm</t>
        </is>
      </c>
    </row>
    <row r="774">
      <c r="A774" t="inlineStr">
        <is>
          <t>SW-DAMPER-216-BEARING</t>
        </is>
      </c>
      <c r="B774" t="inlineStr">
        <is>
          <t>SW-DAMPER-216</t>
        </is>
      </c>
      <c r="C774" t="inlineStr">
        <is>
          <t>Bạc đồng D10</t>
        </is>
      </c>
      <c r="D774" t="inlineStr">
        <is>
          <t>PHỤ_KIỆN_VAN</t>
        </is>
      </c>
      <c r="E774" t="inlineStr">
        <is>
          <t>MAT-DAMPER-BAC-DONG-D10</t>
        </is>
      </c>
      <c r="F774" t="inlineStr">
        <is>
          <t>Đôi</t>
        </is>
      </c>
      <c r="G774" s="4" t="n">
        <v>2</v>
      </c>
      <c r="H774" s="2">
        <f>XLOOKUP(B774, '00_TONG_HOP_BAO_GIA'!B:B, '00_TONG_HOP_BAO_GIA'!G:G, 1)</f>
        <v/>
      </c>
      <c r="I774" s="5">
        <f>G774*H774</f>
        <v/>
      </c>
      <c r="J774" s="2">
        <f>XLOOKUP(E774, '06_BANG_GIA_VAT_TU_AP_DUNG'!B:B, '06_BANG_GIA_VAT_TU_AP_DUNG'!C:C, "LỖI_MÃ_VT")</f>
        <v/>
      </c>
      <c r="K774" s="2">
        <f>I774*J774</f>
        <v/>
      </c>
      <c r="L774" t="inlineStr">
        <is>
          <t>2 đôi bạc đỡ 2 bên thân</t>
        </is>
      </c>
    </row>
    <row r="775">
      <c r="A775" t="inlineStr">
        <is>
          <t>SW-DAMPER-216-GEAR</t>
        </is>
      </c>
      <c r="B775" t="inlineStr">
        <is>
          <t>SW-DAMPER-216</t>
        </is>
      </c>
      <c r="C775" t="inlineStr">
        <is>
          <t>Bánh răng van nhôm</t>
        </is>
      </c>
      <c r="D775" t="inlineStr">
        <is>
          <t>PHỤ_KIỆN_VAN</t>
        </is>
      </c>
      <c r="E775" t="inlineStr">
        <is>
          <t>MAT-DAMPER-BANH-RANG-VAN-NHOM</t>
        </is>
      </c>
      <c r="F775" t="inlineStr">
        <is>
          <t>Bộ</t>
        </is>
      </c>
      <c r="G775" s="4" t="n">
        <v>1</v>
      </c>
      <c r="H775" s="2">
        <f>XLOOKUP(B775, '00_TONG_HOP_BAO_GIA'!B:B, '00_TONG_HOP_BAO_GIA'!G:G, 1)</f>
        <v/>
      </c>
      <c r="I775" s="5">
        <f>G775*H775</f>
        <v/>
      </c>
      <c r="J775" s="2">
        <f>XLOOKUP(E775, '06_BANG_GIA_VAT_TU_AP_DUNG'!B:B, '06_BANG_GIA_VAT_TU_AP_DUNG'!C:C, "LỖI_MÃ_VT")</f>
        <v/>
      </c>
      <c r="K775" s="2">
        <f>I775*J775</f>
        <v/>
      </c>
      <c r="L775" t="inlineStr">
        <is>
          <t>Cơ cấu liên động bánh răng van</t>
        </is>
      </c>
    </row>
    <row r="776">
      <c r="A776" t="inlineStr">
        <is>
          <t>SW-DAMPER-216-HANDLE</t>
        </is>
      </c>
      <c r="B776" t="inlineStr">
        <is>
          <t>SW-DAMPER-216</t>
        </is>
      </c>
      <c r="C776" t="inlineStr">
        <is>
          <t>Tay gạt nhỏ</t>
        </is>
      </c>
      <c r="D776" t="inlineStr">
        <is>
          <t>PHỤ_KIỆN_VAN</t>
        </is>
      </c>
      <c r="E776" t="inlineStr">
        <is>
          <t>MAT-DAMPER-TAY-GAT-NHO</t>
        </is>
      </c>
      <c r="F776" t="inlineStr">
        <is>
          <t>Bộ</t>
        </is>
      </c>
      <c r="G776" s="4" t="n">
        <v>1</v>
      </c>
      <c r="H776" s="2">
        <f>XLOOKUP(B776, '00_TONG_HOP_BAO_GIA'!B:B, '00_TONG_HOP_BAO_GIA'!G:G, 1)</f>
        <v/>
      </c>
      <c r="I776" s="5">
        <f>G776*H776</f>
        <v/>
      </c>
      <c r="J776" s="2">
        <f>XLOOKUP(E776, '06_BANG_GIA_VAT_TU_AP_DUNG'!B:B, '06_BANG_GIA_VAT_TU_AP_DUNG'!C:C, "LỖI_MÃ_VT")</f>
        <v/>
      </c>
      <c r="K776" s="2">
        <f>I776*J776</f>
        <v/>
      </c>
      <c r="L776" t="inlineStr">
        <is>
          <t>Tay gạt khóa vị trí nan (S=0.09m2)</t>
        </is>
      </c>
    </row>
    <row r="777">
      <c r="A777" t="inlineStr">
        <is>
          <t>SW-DAMPER-217-BODY</t>
        </is>
      </c>
      <c r="B777" t="inlineStr">
        <is>
          <t>SW-DAMPER-217</t>
        </is>
      </c>
      <c r="C777" t="inlineStr">
        <is>
          <t>Thân vỏ van VCD bích TDF (0.75mm)</t>
        </is>
      </c>
      <c r="D777" t="inlineStr">
        <is>
          <t>TÔN_CUỘN_MẠ_KẼM</t>
        </is>
      </c>
      <c r="E777" t="inlineStr">
        <is>
          <t>MAT-STEEL-PN-0.75</t>
        </is>
      </c>
      <c r="F777" t="inlineStr">
        <is>
          <t>kg</t>
        </is>
      </c>
      <c r="G777" s="4" t="n">
        <v>2.838717</v>
      </c>
      <c r="H777" s="2">
        <f>XLOOKUP(B777, '00_TONG_HOP_BAO_GIA'!B:B, '00_TONG_HOP_BAO_GIA'!G:G, 1)</f>
        <v/>
      </c>
      <c r="I777" s="5">
        <f>G777*H777</f>
        <v/>
      </c>
      <c r="J777" s="2">
        <f>XLOOKUP(E777, '06_BANG_GIA_VAT_TU_AP_DUNG'!B:B, '06_BANG_GIA_VAT_TU_AP_DUNG'!C:C, "LỖI_MÃ_VT")</f>
        <v/>
      </c>
      <c r="K777" s="2">
        <f>I777*J777</f>
        <v/>
      </c>
      <c r="L777" t="inlineStr">
        <is>
          <t>Kích thước vỏ 600.0x200.0x210mm</t>
        </is>
      </c>
    </row>
    <row r="778">
      <c r="A778" t="inlineStr">
        <is>
          <t>SW-DAMPER-217-BLADE</t>
        </is>
      </c>
      <c r="B778" t="inlineStr">
        <is>
          <t>SW-DAMPER-217</t>
        </is>
      </c>
      <c r="C778" t="inlineStr">
        <is>
          <t>Lá cánh van (2 cánh overlap)</t>
        </is>
      </c>
      <c r="D778" t="inlineStr">
        <is>
          <t>TÔN_CUỘN_MẠ_KẼM</t>
        </is>
      </c>
      <c r="E778" t="inlineStr">
        <is>
          <t>MAT-STEEL-PN-0.75</t>
        </is>
      </c>
      <c r="F778" t="inlineStr">
        <is>
          <t>kg</t>
        </is>
      </c>
      <c r="G778" s="4" t="n">
        <v>0.9156239999999999</v>
      </c>
      <c r="H778" s="2">
        <f>XLOOKUP(B778, '00_TONG_HOP_BAO_GIA'!B:B, '00_TONG_HOP_BAO_GIA'!G:G, 1)</f>
        <v/>
      </c>
      <c r="I778" s="5">
        <f>G778*H778</f>
        <v/>
      </c>
      <c r="J778" s="2">
        <f>XLOOKUP(E778, '06_BANG_GIA_VAT_TU_AP_DUNG'!B:B, '06_BANG_GIA_VAT_TU_AP_DUNG'!C:C, "LỖI_MÃ_VT")</f>
        <v/>
      </c>
      <c r="K778" s="2">
        <f>I778*J778</f>
        <v/>
      </c>
      <c r="L778" t="inlineStr">
        <is>
          <t>2 cánh cao 120mm</t>
        </is>
      </c>
    </row>
    <row r="779">
      <c r="A779" t="inlineStr">
        <is>
          <t>SW-DAMPER-217-AXLE</t>
        </is>
      </c>
      <c r="B779" t="inlineStr">
        <is>
          <t>SW-DAMPER-217</t>
        </is>
      </c>
      <c r="C779" t="inlineStr">
        <is>
          <t>Trục Sus 201 D10</t>
        </is>
      </c>
      <c r="D779" t="inlineStr">
        <is>
          <t>PHỤ_KIỆN_VAN</t>
        </is>
      </c>
      <c r="E779" t="inlineStr">
        <is>
          <t>MAT-DAMPER-TRUC-SUS-201-D10</t>
        </is>
      </c>
      <c r="F779" t="inlineStr">
        <is>
          <t>m</t>
        </is>
      </c>
      <c r="G779" s="4" t="n">
        <v>1.32</v>
      </c>
      <c r="H779" s="2">
        <f>XLOOKUP(B779, '00_TONG_HOP_BAO_GIA'!B:B, '00_TONG_HOP_BAO_GIA'!G:G, 1)</f>
        <v/>
      </c>
      <c r="I779" s="5">
        <f>G779*H779</f>
        <v/>
      </c>
      <c r="J779" s="2">
        <f>XLOOKUP(E779, '06_BANG_GIA_VAT_TU_AP_DUNG'!B:B, '06_BANG_GIA_VAT_TU_AP_DUNG'!C:C, "LỖI_MÃ_VT")</f>
        <v/>
      </c>
      <c r="K779" s="2">
        <f>I779*J779</f>
        <v/>
      </c>
      <c r="L779" t="inlineStr">
        <is>
          <t>2 trục dài 660mm</t>
        </is>
      </c>
    </row>
    <row r="780">
      <c r="A780" t="inlineStr">
        <is>
          <t>SW-DAMPER-217-BEARING</t>
        </is>
      </c>
      <c r="B780" t="inlineStr">
        <is>
          <t>SW-DAMPER-217</t>
        </is>
      </c>
      <c r="C780" t="inlineStr">
        <is>
          <t>Bạc đồng D10</t>
        </is>
      </c>
      <c r="D780" t="inlineStr">
        <is>
          <t>PHỤ_KIỆN_VAN</t>
        </is>
      </c>
      <c r="E780" t="inlineStr">
        <is>
          <t>MAT-DAMPER-BAC-DONG-D10</t>
        </is>
      </c>
      <c r="F780" t="inlineStr">
        <is>
          <t>Đôi</t>
        </is>
      </c>
      <c r="G780" s="4" t="n">
        <v>2</v>
      </c>
      <c r="H780" s="2">
        <f>XLOOKUP(B780, '00_TONG_HOP_BAO_GIA'!B:B, '00_TONG_HOP_BAO_GIA'!G:G, 1)</f>
        <v/>
      </c>
      <c r="I780" s="5">
        <f>G780*H780</f>
        <v/>
      </c>
      <c r="J780" s="2">
        <f>XLOOKUP(E780, '06_BANG_GIA_VAT_TU_AP_DUNG'!B:B, '06_BANG_GIA_VAT_TU_AP_DUNG'!C:C, "LỖI_MÃ_VT")</f>
        <v/>
      </c>
      <c r="K780" s="2">
        <f>I780*J780</f>
        <v/>
      </c>
      <c r="L780" t="inlineStr">
        <is>
          <t>2 đôi bạc đỡ 2 bên thân</t>
        </is>
      </c>
    </row>
    <row r="781">
      <c r="A781" t="inlineStr">
        <is>
          <t>SW-DAMPER-217-GEAR</t>
        </is>
      </c>
      <c r="B781" t="inlineStr">
        <is>
          <t>SW-DAMPER-217</t>
        </is>
      </c>
      <c r="C781" t="inlineStr">
        <is>
          <t>Bánh răng van nhôm</t>
        </is>
      </c>
      <c r="D781" t="inlineStr">
        <is>
          <t>PHỤ_KIỆN_VAN</t>
        </is>
      </c>
      <c r="E781" t="inlineStr">
        <is>
          <t>MAT-DAMPER-BANH-RANG-VAN-NHOM</t>
        </is>
      </c>
      <c r="F781" t="inlineStr">
        <is>
          <t>Bộ</t>
        </is>
      </c>
      <c r="G781" s="4" t="n">
        <v>1</v>
      </c>
      <c r="H781" s="2">
        <f>XLOOKUP(B781, '00_TONG_HOP_BAO_GIA'!B:B, '00_TONG_HOP_BAO_GIA'!G:G, 1)</f>
        <v/>
      </c>
      <c r="I781" s="5">
        <f>G781*H781</f>
        <v/>
      </c>
      <c r="J781" s="2">
        <f>XLOOKUP(E781, '06_BANG_GIA_VAT_TU_AP_DUNG'!B:B, '06_BANG_GIA_VAT_TU_AP_DUNG'!C:C, "LỖI_MÃ_VT")</f>
        <v/>
      </c>
      <c r="K781" s="2">
        <f>I781*J781</f>
        <v/>
      </c>
      <c r="L781" t="inlineStr">
        <is>
          <t>Cơ cấu liên động bánh răng van</t>
        </is>
      </c>
    </row>
    <row r="782">
      <c r="A782" t="inlineStr">
        <is>
          <t>SW-DAMPER-217-HANDLE</t>
        </is>
      </c>
      <c r="B782" t="inlineStr">
        <is>
          <t>SW-DAMPER-217</t>
        </is>
      </c>
      <c r="C782" t="inlineStr">
        <is>
          <t>Tay gạt nhỏ</t>
        </is>
      </c>
      <c r="D782" t="inlineStr">
        <is>
          <t>PHỤ_KIỆN_VAN</t>
        </is>
      </c>
      <c r="E782" t="inlineStr">
        <is>
          <t>MAT-DAMPER-TAY-GAT-NHO</t>
        </is>
      </c>
      <c r="F782" t="inlineStr">
        <is>
          <t>Bộ</t>
        </is>
      </c>
      <c r="G782" s="4" t="n">
        <v>1</v>
      </c>
      <c r="H782" s="2">
        <f>XLOOKUP(B782, '00_TONG_HOP_BAO_GIA'!B:B, '00_TONG_HOP_BAO_GIA'!G:G, 1)</f>
        <v/>
      </c>
      <c r="I782" s="5">
        <f>G782*H782</f>
        <v/>
      </c>
      <c r="J782" s="2">
        <f>XLOOKUP(E782, '06_BANG_GIA_VAT_TU_AP_DUNG'!B:B, '06_BANG_GIA_VAT_TU_AP_DUNG'!C:C, "LỖI_MÃ_VT")</f>
        <v/>
      </c>
      <c r="K782" s="2">
        <f>I782*J782</f>
        <v/>
      </c>
      <c r="L782" t="inlineStr">
        <is>
          <t>Tay gạt khóa vị trí nan (S=0.12m2)</t>
        </is>
      </c>
    </row>
    <row r="783">
      <c r="A783" t="inlineStr">
        <is>
          <t>SW-DAMPER-218-BODY</t>
        </is>
      </c>
      <c r="B783" t="inlineStr">
        <is>
          <t>SW-DAMPER-218</t>
        </is>
      </c>
      <c r="C783" t="inlineStr">
        <is>
          <t>Thân vỏ van VCD bích TDF (0.75mm)</t>
        </is>
      </c>
      <c r="D783" t="inlineStr">
        <is>
          <t>TÔN_CUỘN_MẠ_KẼM</t>
        </is>
      </c>
      <c r="E783" t="inlineStr">
        <is>
          <t>MAT-STEEL-PN-0.75</t>
        </is>
      </c>
      <c r="F783" t="inlineStr">
        <is>
          <t>kg</t>
        </is>
      </c>
      <c r="G783" s="4" t="n">
        <v>3.184902</v>
      </c>
      <c r="H783" s="2">
        <f>XLOOKUP(B783, '00_TONG_HOP_BAO_GIA'!B:B, '00_TONG_HOP_BAO_GIA'!G:G, 1)</f>
        <v/>
      </c>
      <c r="I783" s="5">
        <f>G783*H783</f>
        <v/>
      </c>
      <c r="J783" s="2">
        <f>XLOOKUP(E783, '06_BANG_GIA_VAT_TU_AP_DUNG'!B:B, '06_BANG_GIA_VAT_TU_AP_DUNG'!C:C, "LỖI_MÃ_VT")</f>
        <v/>
      </c>
      <c r="K783" s="2">
        <f>I783*J783</f>
        <v/>
      </c>
      <c r="L783" t="inlineStr">
        <is>
          <t>Kích thước vỏ 600.0x300.0x210mm</t>
        </is>
      </c>
    </row>
    <row r="784">
      <c r="A784" t="inlineStr">
        <is>
          <t>SW-DAMPER-218-BLADE</t>
        </is>
      </c>
      <c r="B784" t="inlineStr">
        <is>
          <t>SW-DAMPER-218</t>
        </is>
      </c>
      <c r="C784" t="inlineStr">
        <is>
          <t>Lá cánh van (2 cánh overlap)</t>
        </is>
      </c>
      <c r="D784" t="inlineStr">
        <is>
          <t>TÔN_CUỘN_MẠ_KẼM</t>
        </is>
      </c>
      <c r="E784" t="inlineStr">
        <is>
          <t>MAT-STEEL-PN-0.75</t>
        </is>
      </c>
      <c r="F784" t="inlineStr">
        <is>
          <t>kg</t>
        </is>
      </c>
      <c r="G784" s="4" t="n">
        <v>1.297134</v>
      </c>
      <c r="H784" s="2">
        <f>XLOOKUP(B784, '00_TONG_HOP_BAO_GIA'!B:B, '00_TONG_HOP_BAO_GIA'!G:G, 1)</f>
        <v/>
      </c>
      <c r="I784" s="5">
        <f>G784*H784</f>
        <v/>
      </c>
      <c r="J784" s="2">
        <f>XLOOKUP(E784, '06_BANG_GIA_VAT_TU_AP_DUNG'!B:B, '06_BANG_GIA_VAT_TU_AP_DUNG'!C:C, "LỖI_MÃ_VT")</f>
        <v/>
      </c>
      <c r="K784" s="2">
        <f>I784*J784</f>
        <v/>
      </c>
      <c r="L784" t="inlineStr">
        <is>
          <t>2 cánh cao 170mm</t>
        </is>
      </c>
    </row>
    <row r="785">
      <c r="A785" t="inlineStr">
        <is>
          <t>SW-DAMPER-218-AXLE</t>
        </is>
      </c>
      <c r="B785" t="inlineStr">
        <is>
          <t>SW-DAMPER-218</t>
        </is>
      </c>
      <c r="C785" t="inlineStr">
        <is>
          <t>Trục Sus 201 D10</t>
        </is>
      </c>
      <c r="D785" t="inlineStr">
        <is>
          <t>PHỤ_KIỆN_VAN</t>
        </is>
      </c>
      <c r="E785" t="inlineStr">
        <is>
          <t>MAT-DAMPER-TRUC-SUS-201-D10</t>
        </is>
      </c>
      <c r="F785" t="inlineStr">
        <is>
          <t>m</t>
        </is>
      </c>
      <c r="G785" s="4" t="n">
        <v>1.32</v>
      </c>
      <c r="H785" s="2">
        <f>XLOOKUP(B785, '00_TONG_HOP_BAO_GIA'!B:B, '00_TONG_HOP_BAO_GIA'!G:G, 1)</f>
        <v/>
      </c>
      <c r="I785" s="5">
        <f>G785*H785</f>
        <v/>
      </c>
      <c r="J785" s="2">
        <f>XLOOKUP(E785, '06_BANG_GIA_VAT_TU_AP_DUNG'!B:B, '06_BANG_GIA_VAT_TU_AP_DUNG'!C:C, "LỖI_MÃ_VT")</f>
        <v/>
      </c>
      <c r="K785" s="2">
        <f>I785*J785</f>
        <v/>
      </c>
      <c r="L785" t="inlineStr">
        <is>
          <t>2 trục dài 660mm</t>
        </is>
      </c>
    </row>
    <row r="786">
      <c r="A786" t="inlineStr">
        <is>
          <t>SW-DAMPER-218-BEARING</t>
        </is>
      </c>
      <c r="B786" t="inlineStr">
        <is>
          <t>SW-DAMPER-218</t>
        </is>
      </c>
      <c r="C786" t="inlineStr">
        <is>
          <t>Bạc đồng D10</t>
        </is>
      </c>
      <c r="D786" t="inlineStr">
        <is>
          <t>PHỤ_KIỆN_VAN</t>
        </is>
      </c>
      <c r="E786" t="inlineStr">
        <is>
          <t>MAT-DAMPER-BAC-DONG-D10</t>
        </is>
      </c>
      <c r="F786" t="inlineStr">
        <is>
          <t>Đôi</t>
        </is>
      </c>
      <c r="G786" s="4" t="n">
        <v>2</v>
      </c>
      <c r="H786" s="2">
        <f>XLOOKUP(B786, '00_TONG_HOP_BAO_GIA'!B:B, '00_TONG_HOP_BAO_GIA'!G:G, 1)</f>
        <v/>
      </c>
      <c r="I786" s="5">
        <f>G786*H786</f>
        <v/>
      </c>
      <c r="J786" s="2">
        <f>XLOOKUP(E786, '06_BANG_GIA_VAT_TU_AP_DUNG'!B:B, '06_BANG_GIA_VAT_TU_AP_DUNG'!C:C, "LỖI_MÃ_VT")</f>
        <v/>
      </c>
      <c r="K786" s="2">
        <f>I786*J786</f>
        <v/>
      </c>
      <c r="L786" t="inlineStr">
        <is>
          <t>2 đôi bạc đỡ 2 bên thân</t>
        </is>
      </c>
    </row>
    <row r="787">
      <c r="A787" t="inlineStr">
        <is>
          <t>SW-DAMPER-218-GEAR</t>
        </is>
      </c>
      <c r="B787" t="inlineStr">
        <is>
          <t>SW-DAMPER-218</t>
        </is>
      </c>
      <c r="C787" t="inlineStr">
        <is>
          <t>Bánh răng van nhôm</t>
        </is>
      </c>
      <c r="D787" t="inlineStr">
        <is>
          <t>PHỤ_KIỆN_VAN</t>
        </is>
      </c>
      <c r="E787" t="inlineStr">
        <is>
          <t>MAT-DAMPER-BANH-RANG-VAN-NHOM</t>
        </is>
      </c>
      <c r="F787" t="inlineStr">
        <is>
          <t>Bộ</t>
        </is>
      </c>
      <c r="G787" s="4" t="n">
        <v>1</v>
      </c>
      <c r="H787" s="2">
        <f>XLOOKUP(B787, '00_TONG_HOP_BAO_GIA'!B:B, '00_TONG_HOP_BAO_GIA'!G:G, 1)</f>
        <v/>
      </c>
      <c r="I787" s="5">
        <f>G787*H787</f>
        <v/>
      </c>
      <c r="J787" s="2">
        <f>XLOOKUP(E787, '06_BANG_GIA_VAT_TU_AP_DUNG'!B:B, '06_BANG_GIA_VAT_TU_AP_DUNG'!C:C, "LỖI_MÃ_VT")</f>
        <v/>
      </c>
      <c r="K787" s="2">
        <f>I787*J787</f>
        <v/>
      </c>
      <c r="L787" t="inlineStr">
        <is>
          <t>Cơ cấu liên động bánh răng van</t>
        </is>
      </c>
    </row>
    <row r="788">
      <c r="A788" t="inlineStr">
        <is>
          <t>SW-DAMPER-218-HANDLE</t>
        </is>
      </c>
      <c r="B788" t="inlineStr">
        <is>
          <t>SW-DAMPER-218</t>
        </is>
      </c>
      <c r="C788" t="inlineStr">
        <is>
          <t>Tay gạt nhỏ</t>
        </is>
      </c>
      <c r="D788" t="inlineStr">
        <is>
          <t>PHỤ_KIỆN_VAN</t>
        </is>
      </c>
      <c r="E788" t="inlineStr">
        <is>
          <t>MAT-DAMPER-TAY-GAT-NHO</t>
        </is>
      </c>
      <c r="F788" t="inlineStr">
        <is>
          <t>Bộ</t>
        </is>
      </c>
      <c r="G788" s="4" t="n">
        <v>1</v>
      </c>
      <c r="H788" s="2">
        <f>XLOOKUP(B788, '00_TONG_HOP_BAO_GIA'!B:B, '00_TONG_HOP_BAO_GIA'!G:G, 1)</f>
        <v/>
      </c>
      <c r="I788" s="5">
        <f>G788*H788</f>
        <v/>
      </c>
      <c r="J788" s="2">
        <f>XLOOKUP(E788, '06_BANG_GIA_VAT_TU_AP_DUNG'!B:B, '06_BANG_GIA_VAT_TU_AP_DUNG'!C:C, "LỖI_MÃ_VT")</f>
        <v/>
      </c>
      <c r="K788" s="2">
        <f>I788*J788</f>
        <v/>
      </c>
      <c r="L788" t="inlineStr">
        <is>
          <t>Tay gạt khóa vị trí nan (S=0.18m2)</t>
        </is>
      </c>
    </row>
    <row r="789">
      <c r="A789" t="inlineStr">
        <is>
          <t>SW-DAMPER-219-BODY</t>
        </is>
      </c>
      <c r="B789" t="inlineStr">
        <is>
          <t>SW-DAMPER-219</t>
        </is>
      </c>
      <c r="C789" t="inlineStr">
        <is>
          <t>Thân vỏ van VCD bích TDF (0.75mm)</t>
        </is>
      </c>
      <c r="D789" t="inlineStr">
        <is>
          <t>TÔN_CUỘN_MẠ_KẼM</t>
        </is>
      </c>
      <c r="E789" t="inlineStr">
        <is>
          <t>MAT-STEEL-PN-0.75</t>
        </is>
      </c>
      <c r="F789" t="inlineStr">
        <is>
          <t>kg</t>
        </is>
      </c>
      <c r="G789" s="4" t="n">
        <v>3.877272</v>
      </c>
      <c r="H789" s="2">
        <f>XLOOKUP(B789, '00_TONG_HOP_BAO_GIA'!B:B, '00_TONG_HOP_BAO_GIA'!G:G, 1)</f>
        <v/>
      </c>
      <c r="I789" s="5">
        <f>G789*H789</f>
        <v/>
      </c>
      <c r="J789" s="2">
        <f>XLOOKUP(E789, '06_BANG_GIA_VAT_TU_AP_DUNG'!B:B, '06_BANG_GIA_VAT_TU_AP_DUNG'!C:C, "LỖI_MÃ_VT")</f>
        <v/>
      </c>
      <c r="K789" s="2">
        <f>I789*J789</f>
        <v/>
      </c>
      <c r="L789" t="inlineStr">
        <is>
          <t>Kích thước vỏ 700.0x400.0x210mm</t>
        </is>
      </c>
    </row>
    <row r="790">
      <c r="A790" t="inlineStr">
        <is>
          <t>SW-DAMPER-219-BLADE</t>
        </is>
      </c>
      <c r="B790" t="inlineStr">
        <is>
          <t>SW-DAMPER-219</t>
        </is>
      </c>
      <c r="C790" t="inlineStr">
        <is>
          <t>Lá cánh van (3 cánh overlap)</t>
        </is>
      </c>
      <c r="D790" t="inlineStr">
        <is>
          <t>TÔN_CUỘN_MẠ_KẼM</t>
        </is>
      </c>
      <c r="E790" t="inlineStr">
        <is>
          <t>MAT-STEEL-PN-0.75</t>
        </is>
      </c>
      <c r="F790" t="inlineStr">
        <is>
          <t>kg</t>
        </is>
      </c>
      <c r="G790" s="4" t="n">
        <v>2.047437</v>
      </c>
      <c r="H790" s="2">
        <f>XLOOKUP(B790, '00_TONG_HOP_BAO_GIA'!B:B, '00_TONG_HOP_BAO_GIA'!G:G, 1)</f>
        <v/>
      </c>
      <c r="I790" s="5">
        <f>G790*H790</f>
        <v/>
      </c>
      <c r="J790" s="2">
        <f>XLOOKUP(E790, '06_BANG_GIA_VAT_TU_AP_DUNG'!B:B, '06_BANG_GIA_VAT_TU_AP_DUNG'!C:C, "LỖI_MÃ_VT")</f>
        <v/>
      </c>
      <c r="K790" s="2">
        <f>I790*J790</f>
        <v/>
      </c>
      <c r="L790" t="inlineStr">
        <is>
          <t>3 cánh cao 153mm</t>
        </is>
      </c>
    </row>
    <row r="791">
      <c r="A791" t="inlineStr">
        <is>
          <t>SW-DAMPER-219-AXLE</t>
        </is>
      </c>
      <c r="B791" t="inlineStr">
        <is>
          <t>SW-DAMPER-219</t>
        </is>
      </c>
      <c r="C791" t="inlineStr">
        <is>
          <t>Trục Sus 201 D10</t>
        </is>
      </c>
      <c r="D791" t="inlineStr">
        <is>
          <t>PHỤ_KIỆN_VAN</t>
        </is>
      </c>
      <c r="E791" t="inlineStr">
        <is>
          <t>MAT-DAMPER-TRUC-SUS-201-D10</t>
        </is>
      </c>
      <c r="F791" t="inlineStr">
        <is>
          <t>m</t>
        </is>
      </c>
      <c r="G791" s="4" t="n">
        <v>2.28</v>
      </c>
      <c r="H791" s="2">
        <f>XLOOKUP(B791, '00_TONG_HOP_BAO_GIA'!B:B, '00_TONG_HOP_BAO_GIA'!G:G, 1)</f>
        <v/>
      </c>
      <c r="I791" s="5">
        <f>G791*H791</f>
        <v/>
      </c>
      <c r="J791" s="2">
        <f>XLOOKUP(E791, '06_BANG_GIA_VAT_TU_AP_DUNG'!B:B, '06_BANG_GIA_VAT_TU_AP_DUNG'!C:C, "LỖI_MÃ_VT")</f>
        <v/>
      </c>
      <c r="K791" s="2">
        <f>I791*J791</f>
        <v/>
      </c>
      <c r="L791" t="inlineStr">
        <is>
          <t>3 trục dài 760mm</t>
        </is>
      </c>
    </row>
    <row r="792">
      <c r="A792" t="inlineStr">
        <is>
          <t>SW-DAMPER-219-BEARING</t>
        </is>
      </c>
      <c r="B792" t="inlineStr">
        <is>
          <t>SW-DAMPER-219</t>
        </is>
      </c>
      <c r="C792" t="inlineStr">
        <is>
          <t>Bạc đồng D10</t>
        </is>
      </c>
      <c r="D792" t="inlineStr">
        <is>
          <t>PHỤ_KIỆN_VAN</t>
        </is>
      </c>
      <c r="E792" t="inlineStr">
        <is>
          <t>MAT-DAMPER-BAC-DONG-D10</t>
        </is>
      </c>
      <c r="F792" t="inlineStr">
        <is>
          <t>Đôi</t>
        </is>
      </c>
      <c r="G792" s="4" t="n">
        <v>3</v>
      </c>
      <c r="H792" s="2">
        <f>XLOOKUP(B792, '00_TONG_HOP_BAO_GIA'!B:B, '00_TONG_HOP_BAO_GIA'!G:G, 1)</f>
        <v/>
      </c>
      <c r="I792" s="5">
        <f>G792*H792</f>
        <v/>
      </c>
      <c r="J792" s="2">
        <f>XLOOKUP(E792, '06_BANG_GIA_VAT_TU_AP_DUNG'!B:B, '06_BANG_GIA_VAT_TU_AP_DUNG'!C:C, "LỖI_MÃ_VT")</f>
        <v/>
      </c>
      <c r="K792" s="2">
        <f>I792*J792</f>
        <v/>
      </c>
      <c r="L792" t="inlineStr">
        <is>
          <t>3 đôi bạc đỡ 2 bên thân</t>
        </is>
      </c>
    </row>
    <row r="793">
      <c r="A793" t="inlineStr">
        <is>
          <t>SW-DAMPER-219-GEAR</t>
        </is>
      </c>
      <c r="B793" t="inlineStr">
        <is>
          <t>SW-DAMPER-219</t>
        </is>
      </c>
      <c r="C793" t="inlineStr">
        <is>
          <t>Bánh răng van nhôm</t>
        </is>
      </c>
      <c r="D793" t="inlineStr">
        <is>
          <t>PHỤ_KIỆN_VAN</t>
        </is>
      </c>
      <c r="E793" t="inlineStr">
        <is>
          <t>MAT-DAMPER-BANH-RANG-VAN-NHOM</t>
        </is>
      </c>
      <c r="F793" t="inlineStr">
        <is>
          <t>Bộ</t>
        </is>
      </c>
      <c r="G793" s="4" t="n">
        <v>1</v>
      </c>
      <c r="H793" s="2">
        <f>XLOOKUP(B793, '00_TONG_HOP_BAO_GIA'!B:B, '00_TONG_HOP_BAO_GIA'!G:G, 1)</f>
        <v/>
      </c>
      <c r="I793" s="5">
        <f>G793*H793</f>
        <v/>
      </c>
      <c r="J793" s="2">
        <f>XLOOKUP(E793, '06_BANG_GIA_VAT_TU_AP_DUNG'!B:B, '06_BANG_GIA_VAT_TU_AP_DUNG'!C:C, "LỖI_MÃ_VT")</f>
        <v/>
      </c>
      <c r="K793" s="2">
        <f>I793*J793</f>
        <v/>
      </c>
      <c r="L793" t="inlineStr">
        <is>
          <t>Cơ cấu liên động bánh răng van</t>
        </is>
      </c>
    </row>
    <row r="794">
      <c r="A794" t="inlineStr">
        <is>
          <t>SW-DAMPER-219-HANDLE</t>
        </is>
      </c>
      <c r="B794" t="inlineStr">
        <is>
          <t>SW-DAMPER-219</t>
        </is>
      </c>
      <c r="C794" t="inlineStr">
        <is>
          <t>Tay gạt nhỏ</t>
        </is>
      </c>
      <c r="D794" t="inlineStr">
        <is>
          <t>PHỤ_KIỆN_VAN</t>
        </is>
      </c>
      <c r="E794" t="inlineStr">
        <is>
          <t>MAT-DAMPER-TAY-GAT-NHO</t>
        </is>
      </c>
      <c r="F794" t="inlineStr">
        <is>
          <t>Bộ</t>
        </is>
      </c>
      <c r="G794" s="4" t="n">
        <v>1</v>
      </c>
      <c r="H794" s="2">
        <f>XLOOKUP(B794, '00_TONG_HOP_BAO_GIA'!B:B, '00_TONG_HOP_BAO_GIA'!G:G, 1)</f>
        <v/>
      </c>
      <c r="I794" s="5">
        <f>G794*H794</f>
        <v/>
      </c>
      <c r="J794" s="2">
        <f>XLOOKUP(E794, '06_BANG_GIA_VAT_TU_AP_DUNG'!B:B, '06_BANG_GIA_VAT_TU_AP_DUNG'!C:C, "LỖI_MÃ_VT")</f>
        <v/>
      </c>
      <c r="K794" s="2">
        <f>I794*J794</f>
        <v/>
      </c>
      <c r="L794" t="inlineStr">
        <is>
          <t>Tay gạt khóa vị trí nan (S=0.28m2)</t>
        </is>
      </c>
    </row>
    <row r="795">
      <c r="A795" t="inlineStr">
        <is>
          <t>SW-DAMPER-220-BODY</t>
        </is>
      </c>
      <c r="B795" t="inlineStr">
        <is>
          <t>SW-DAMPER-220</t>
        </is>
      </c>
      <c r="C795" t="inlineStr">
        <is>
          <t>Thân vỏ van VCD bích TDF (0.95mm)</t>
        </is>
      </c>
      <c r="D795" t="inlineStr">
        <is>
          <t>TÔN_CUỘN_MẠ_KẼM</t>
        </is>
      </c>
      <c r="E795" t="inlineStr">
        <is>
          <t>MAT-STEEL-PN-0.95</t>
        </is>
      </c>
      <c r="F795" t="inlineStr">
        <is>
          <t>kg</t>
        </is>
      </c>
      <c r="G795" s="4" t="n">
        <v>6.2267142</v>
      </c>
      <c r="H795" s="2">
        <f>XLOOKUP(B795, '00_TONG_HOP_BAO_GIA'!B:B, '00_TONG_HOP_BAO_GIA'!G:G, 1)</f>
        <v/>
      </c>
      <c r="I795" s="5">
        <f>G795*H795</f>
        <v/>
      </c>
      <c r="J795" s="2">
        <f>XLOOKUP(E795, '06_BANG_GIA_VAT_TU_AP_DUNG'!B:B, '06_BANG_GIA_VAT_TU_AP_DUNG'!C:C, "LỖI_MÃ_VT")</f>
        <v/>
      </c>
      <c r="K795" s="2">
        <f>I795*J795</f>
        <v/>
      </c>
      <c r="L795" t="inlineStr">
        <is>
          <t>Kích thước vỏ 900.0x500.0x210mm</t>
        </is>
      </c>
    </row>
    <row r="796">
      <c r="A796" t="inlineStr">
        <is>
          <t>SW-DAMPER-220-BLADE</t>
        </is>
      </c>
      <c r="B796" t="inlineStr">
        <is>
          <t>SW-DAMPER-220</t>
        </is>
      </c>
      <c r="C796" t="inlineStr">
        <is>
          <t>Lá cánh van (3 cánh overlap)</t>
        </is>
      </c>
      <c r="D796" t="inlineStr">
        <is>
          <t>TÔN_CUỘN_MẠ_KẼM</t>
        </is>
      </c>
      <c r="E796" t="inlineStr">
        <is>
          <t>MAT-STEEL-PN-0.75</t>
        </is>
      </c>
      <c r="F796" t="inlineStr">
        <is>
          <t>kg</t>
        </is>
      </c>
      <c r="G796" s="4" t="n">
        <v>3.204684</v>
      </c>
      <c r="H796" s="2">
        <f>XLOOKUP(B796, '00_TONG_HOP_BAO_GIA'!B:B, '00_TONG_HOP_BAO_GIA'!G:G, 1)</f>
        <v/>
      </c>
      <c r="I796" s="5">
        <f>G796*H796</f>
        <v/>
      </c>
      <c r="J796" s="2">
        <f>XLOOKUP(E796, '06_BANG_GIA_VAT_TU_AP_DUNG'!B:B, '06_BANG_GIA_VAT_TU_AP_DUNG'!C:C, "LỖI_MÃ_VT")</f>
        <v/>
      </c>
      <c r="K796" s="2">
        <f>I796*J796</f>
        <v/>
      </c>
      <c r="L796" t="inlineStr">
        <is>
          <t>3 cánh cao 187mm</t>
        </is>
      </c>
    </row>
    <row r="797">
      <c r="A797" t="inlineStr">
        <is>
          <t>SW-DAMPER-220-AXLE</t>
        </is>
      </c>
      <c r="B797" t="inlineStr">
        <is>
          <t>SW-DAMPER-220</t>
        </is>
      </c>
      <c r="C797" t="inlineStr">
        <is>
          <t>Trục Sus 201 D10</t>
        </is>
      </c>
      <c r="D797" t="inlineStr">
        <is>
          <t>PHỤ_KIỆN_VAN</t>
        </is>
      </c>
      <c r="E797" t="inlineStr">
        <is>
          <t>MAT-DAMPER-TRUC-SUS-201-D10</t>
        </is>
      </c>
      <c r="F797" t="inlineStr">
        <is>
          <t>m</t>
        </is>
      </c>
      <c r="G797" s="4" t="n">
        <v>2.88</v>
      </c>
      <c r="H797" s="2">
        <f>XLOOKUP(B797, '00_TONG_HOP_BAO_GIA'!B:B, '00_TONG_HOP_BAO_GIA'!G:G, 1)</f>
        <v/>
      </c>
      <c r="I797" s="5">
        <f>G797*H797</f>
        <v/>
      </c>
      <c r="J797" s="2">
        <f>XLOOKUP(E797, '06_BANG_GIA_VAT_TU_AP_DUNG'!B:B, '06_BANG_GIA_VAT_TU_AP_DUNG'!C:C, "LỖI_MÃ_VT")</f>
        <v/>
      </c>
      <c r="K797" s="2">
        <f>I797*J797</f>
        <v/>
      </c>
      <c r="L797" t="inlineStr">
        <is>
          <t>3 trục dài 960mm</t>
        </is>
      </c>
    </row>
    <row r="798">
      <c r="A798" t="inlineStr">
        <is>
          <t>SW-DAMPER-220-BEARING</t>
        </is>
      </c>
      <c r="B798" t="inlineStr">
        <is>
          <t>SW-DAMPER-220</t>
        </is>
      </c>
      <c r="C798" t="inlineStr">
        <is>
          <t>Bạc đồng D10</t>
        </is>
      </c>
      <c r="D798" t="inlineStr">
        <is>
          <t>PHỤ_KIỆN_VAN</t>
        </is>
      </c>
      <c r="E798" t="inlineStr">
        <is>
          <t>MAT-DAMPER-BAC-DONG-D10</t>
        </is>
      </c>
      <c r="F798" t="inlineStr">
        <is>
          <t>Đôi</t>
        </is>
      </c>
      <c r="G798" s="4" t="n">
        <v>3</v>
      </c>
      <c r="H798" s="2">
        <f>XLOOKUP(B798, '00_TONG_HOP_BAO_GIA'!B:B, '00_TONG_HOP_BAO_GIA'!G:G, 1)</f>
        <v/>
      </c>
      <c r="I798" s="5">
        <f>G798*H798</f>
        <v/>
      </c>
      <c r="J798" s="2">
        <f>XLOOKUP(E798, '06_BANG_GIA_VAT_TU_AP_DUNG'!B:B, '06_BANG_GIA_VAT_TU_AP_DUNG'!C:C, "LỖI_MÃ_VT")</f>
        <v/>
      </c>
      <c r="K798" s="2">
        <f>I798*J798</f>
        <v/>
      </c>
      <c r="L798" t="inlineStr">
        <is>
          <t>3 đôi bạc đỡ 2 bên thân</t>
        </is>
      </c>
    </row>
    <row r="799">
      <c r="A799" t="inlineStr">
        <is>
          <t>SW-DAMPER-220-GEAR</t>
        </is>
      </c>
      <c r="B799" t="inlineStr">
        <is>
          <t>SW-DAMPER-220</t>
        </is>
      </c>
      <c r="C799" t="inlineStr">
        <is>
          <t>Bánh răng van nhôm</t>
        </is>
      </c>
      <c r="D799" t="inlineStr">
        <is>
          <t>PHỤ_KIỆN_VAN</t>
        </is>
      </c>
      <c r="E799" t="inlineStr">
        <is>
          <t>MAT-DAMPER-BANH-RANG-VAN-NHOM</t>
        </is>
      </c>
      <c r="F799" t="inlineStr">
        <is>
          <t>Bộ</t>
        </is>
      </c>
      <c r="G799" s="4" t="n">
        <v>1</v>
      </c>
      <c r="H799" s="2">
        <f>XLOOKUP(B799, '00_TONG_HOP_BAO_GIA'!B:B, '00_TONG_HOP_BAO_GIA'!G:G, 1)</f>
        <v/>
      </c>
      <c r="I799" s="5">
        <f>G799*H799</f>
        <v/>
      </c>
      <c r="J799" s="2">
        <f>XLOOKUP(E799, '06_BANG_GIA_VAT_TU_AP_DUNG'!B:B, '06_BANG_GIA_VAT_TU_AP_DUNG'!C:C, "LỖI_MÃ_VT")</f>
        <v/>
      </c>
      <c r="K799" s="2">
        <f>I799*J799</f>
        <v/>
      </c>
      <c r="L799" t="inlineStr">
        <is>
          <t>Cơ cấu liên động bánh răng van</t>
        </is>
      </c>
    </row>
    <row r="800">
      <c r="A800" t="inlineStr">
        <is>
          <t>SW-DAMPER-220-HANDLE</t>
        </is>
      </c>
      <c r="B800" t="inlineStr">
        <is>
          <t>SW-DAMPER-220</t>
        </is>
      </c>
      <c r="C800" t="inlineStr">
        <is>
          <t>Tay gạt nhỏ</t>
        </is>
      </c>
      <c r="D800" t="inlineStr">
        <is>
          <t>PHỤ_KIỆN_VAN</t>
        </is>
      </c>
      <c r="E800" t="inlineStr">
        <is>
          <t>MAT-DAMPER-TAY-GAT-NHO</t>
        </is>
      </c>
      <c r="F800" t="inlineStr">
        <is>
          <t>Bộ</t>
        </is>
      </c>
      <c r="G800" s="4" t="n">
        <v>1</v>
      </c>
      <c r="H800" s="2">
        <f>XLOOKUP(B800, '00_TONG_HOP_BAO_GIA'!B:B, '00_TONG_HOP_BAO_GIA'!G:G, 1)</f>
        <v/>
      </c>
      <c r="I800" s="5">
        <f>G800*H800</f>
        <v/>
      </c>
      <c r="J800" s="2">
        <f>XLOOKUP(E800, '06_BANG_GIA_VAT_TU_AP_DUNG'!B:B, '06_BANG_GIA_VAT_TU_AP_DUNG'!C:C, "LỖI_MÃ_VT")</f>
        <v/>
      </c>
      <c r="K800" s="2">
        <f>I800*J800</f>
        <v/>
      </c>
      <c r="L800" t="inlineStr">
        <is>
          <t>Tay gạt khóa vị trí nan (S=0.45m2)</t>
        </is>
      </c>
    </row>
    <row r="801">
      <c r="A801" t="inlineStr">
        <is>
          <t>SW-DAMPER-221-BODY</t>
        </is>
      </c>
      <c r="B801" t="inlineStr">
        <is>
          <t>SW-DAMPER-221</t>
        </is>
      </c>
      <c r="C801" t="inlineStr">
        <is>
          <t>Thân vỏ van VCD bích TDF (0.95mm)</t>
        </is>
      </c>
      <c r="D801" t="inlineStr">
        <is>
          <t>TÔN_CUỘN_MẠ_KẼM</t>
        </is>
      </c>
      <c r="E801" t="inlineStr">
        <is>
          <t>MAT-STEEL-PN-0.95</t>
        </is>
      </c>
      <c r="F801" t="inlineStr">
        <is>
          <t>kg</t>
        </is>
      </c>
      <c r="G801" s="4" t="n">
        <v>7.3229667</v>
      </c>
      <c r="H801" s="2">
        <f>XLOOKUP(B801, '00_TONG_HOP_BAO_GIA'!B:B, '00_TONG_HOP_BAO_GIA'!G:G, 1)</f>
        <v/>
      </c>
      <c r="I801" s="5">
        <f>G801*H801</f>
        <v/>
      </c>
      <c r="J801" s="2">
        <f>XLOOKUP(E801, '06_BANG_GIA_VAT_TU_AP_DUNG'!B:B, '06_BANG_GIA_VAT_TU_AP_DUNG'!C:C, "LỖI_MÃ_VT")</f>
        <v/>
      </c>
      <c r="K801" s="2">
        <f>I801*J801</f>
        <v/>
      </c>
      <c r="L801" t="inlineStr">
        <is>
          <t>Kích thước vỏ 1100.0x550.0x210mm</t>
        </is>
      </c>
    </row>
    <row r="802">
      <c r="A802" t="inlineStr">
        <is>
          <t>SW-DAMPER-221-BLADE</t>
        </is>
      </c>
      <c r="B802" t="inlineStr">
        <is>
          <t>SW-DAMPER-221</t>
        </is>
      </c>
      <c r="C802" t="inlineStr">
        <is>
          <t>Lá cánh van (4 cánh overlap)</t>
        </is>
      </c>
      <c r="D802" t="inlineStr">
        <is>
          <t>TÔN_CUỘN_MẠ_KẼM</t>
        </is>
      </c>
      <c r="E802" t="inlineStr">
        <is>
          <t>MAT-STEEL-PN-0.75</t>
        </is>
      </c>
      <c r="F802" t="inlineStr">
        <is>
          <t>kg</t>
        </is>
      </c>
      <c r="G802" s="4" t="n">
        <v>4.4064405</v>
      </c>
      <c r="H802" s="2">
        <f>XLOOKUP(B802, '00_TONG_HOP_BAO_GIA'!B:B, '00_TONG_HOP_BAO_GIA'!G:G, 1)</f>
        <v/>
      </c>
      <c r="I802" s="5">
        <f>G802*H802</f>
        <v/>
      </c>
      <c r="J802" s="2">
        <f>XLOOKUP(E802, '06_BANG_GIA_VAT_TU_AP_DUNG'!B:B, '06_BANG_GIA_VAT_TU_AP_DUNG'!C:C, "LỖI_MÃ_VT")</f>
        <v/>
      </c>
      <c r="K802" s="2">
        <f>I802*J802</f>
        <v/>
      </c>
      <c r="L802" t="inlineStr">
        <is>
          <t>4 cánh cao 158mm</t>
        </is>
      </c>
    </row>
    <row r="803">
      <c r="A803" t="inlineStr">
        <is>
          <t>SW-DAMPER-221-AXLE</t>
        </is>
      </c>
      <c r="B803" t="inlineStr">
        <is>
          <t>SW-DAMPER-221</t>
        </is>
      </c>
      <c r="C803" t="inlineStr">
        <is>
          <t>Trục Sus 201 D10</t>
        </is>
      </c>
      <c r="D803" t="inlineStr">
        <is>
          <t>PHỤ_KIỆN_VAN</t>
        </is>
      </c>
      <c r="E803" t="inlineStr">
        <is>
          <t>MAT-DAMPER-TRUC-SUS-201-D10</t>
        </is>
      </c>
      <c r="F803" t="inlineStr">
        <is>
          <t>m</t>
        </is>
      </c>
      <c r="G803" s="4" t="n">
        <v>4.64</v>
      </c>
      <c r="H803" s="2">
        <f>XLOOKUP(B803, '00_TONG_HOP_BAO_GIA'!B:B, '00_TONG_HOP_BAO_GIA'!G:G, 1)</f>
        <v/>
      </c>
      <c r="I803" s="5">
        <f>G803*H803</f>
        <v/>
      </c>
      <c r="J803" s="2">
        <f>XLOOKUP(E803, '06_BANG_GIA_VAT_TU_AP_DUNG'!B:B, '06_BANG_GIA_VAT_TU_AP_DUNG'!C:C, "LỖI_MÃ_VT")</f>
        <v/>
      </c>
      <c r="K803" s="2">
        <f>I803*J803</f>
        <v/>
      </c>
      <c r="L803" t="inlineStr">
        <is>
          <t>4 trục dài 1160mm</t>
        </is>
      </c>
    </row>
    <row r="804">
      <c r="A804" t="inlineStr">
        <is>
          <t>SW-DAMPER-221-BEARING</t>
        </is>
      </c>
      <c r="B804" t="inlineStr">
        <is>
          <t>SW-DAMPER-221</t>
        </is>
      </c>
      <c r="C804" t="inlineStr">
        <is>
          <t>Bạc đồng D10</t>
        </is>
      </c>
      <c r="D804" t="inlineStr">
        <is>
          <t>PHỤ_KIỆN_VAN</t>
        </is>
      </c>
      <c r="E804" t="inlineStr">
        <is>
          <t>MAT-DAMPER-BAC-DONG-D10</t>
        </is>
      </c>
      <c r="F804" t="inlineStr">
        <is>
          <t>Đôi</t>
        </is>
      </c>
      <c r="G804" s="4" t="n">
        <v>4</v>
      </c>
      <c r="H804" s="2">
        <f>XLOOKUP(B804, '00_TONG_HOP_BAO_GIA'!B:B, '00_TONG_HOP_BAO_GIA'!G:G, 1)</f>
        <v/>
      </c>
      <c r="I804" s="5">
        <f>G804*H804</f>
        <v/>
      </c>
      <c r="J804" s="2">
        <f>XLOOKUP(E804, '06_BANG_GIA_VAT_TU_AP_DUNG'!B:B, '06_BANG_GIA_VAT_TU_AP_DUNG'!C:C, "LỖI_MÃ_VT")</f>
        <v/>
      </c>
      <c r="K804" s="2">
        <f>I804*J804</f>
        <v/>
      </c>
      <c r="L804" t="inlineStr">
        <is>
          <t>4 đôi bạc đỡ 2 bên thân</t>
        </is>
      </c>
    </row>
    <row r="805">
      <c r="A805" t="inlineStr">
        <is>
          <t>SW-DAMPER-221-GEAR</t>
        </is>
      </c>
      <c r="B805" t="inlineStr">
        <is>
          <t>SW-DAMPER-221</t>
        </is>
      </c>
      <c r="C805" t="inlineStr">
        <is>
          <t>Bánh răng van nhôm</t>
        </is>
      </c>
      <c r="D805" t="inlineStr">
        <is>
          <t>PHỤ_KIỆN_VAN</t>
        </is>
      </c>
      <c r="E805" t="inlineStr">
        <is>
          <t>MAT-DAMPER-BANH-RANG-VAN-NHOM</t>
        </is>
      </c>
      <c r="F805" t="inlineStr">
        <is>
          <t>Bộ</t>
        </is>
      </c>
      <c r="G805" s="4" t="n">
        <v>1</v>
      </c>
      <c r="H805" s="2">
        <f>XLOOKUP(B805, '00_TONG_HOP_BAO_GIA'!B:B, '00_TONG_HOP_BAO_GIA'!G:G, 1)</f>
        <v/>
      </c>
      <c r="I805" s="5">
        <f>G805*H805</f>
        <v/>
      </c>
      <c r="J805" s="2">
        <f>XLOOKUP(E805, '06_BANG_GIA_VAT_TU_AP_DUNG'!B:B, '06_BANG_GIA_VAT_TU_AP_DUNG'!C:C, "LỖI_MÃ_VT")</f>
        <v/>
      </c>
      <c r="K805" s="2">
        <f>I805*J805</f>
        <v/>
      </c>
      <c r="L805" t="inlineStr">
        <is>
          <t>Cơ cấu liên động bánh răng van</t>
        </is>
      </c>
    </row>
    <row r="806">
      <c r="A806" t="inlineStr">
        <is>
          <t>SW-DAMPER-221-HANDLE</t>
        </is>
      </c>
      <c r="B806" t="inlineStr">
        <is>
          <t>SW-DAMPER-221</t>
        </is>
      </c>
      <c r="C806" t="inlineStr">
        <is>
          <t>Tay gạt trung bình</t>
        </is>
      </c>
      <c r="D806" t="inlineStr">
        <is>
          <t>PHỤ_KIỆN_VAN</t>
        </is>
      </c>
      <c r="E806" t="inlineStr">
        <is>
          <t>MAT-DAMPER-TAY-GAT-TRUNG-BINH</t>
        </is>
      </c>
      <c r="F806" t="inlineStr">
        <is>
          <t>Bộ</t>
        </is>
      </c>
      <c r="G806" s="4" t="n">
        <v>1</v>
      </c>
      <c r="H806" s="2">
        <f>XLOOKUP(B806, '00_TONG_HOP_BAO_GIA'!B:B, '00_TONG_HOP_BAO_GIA'!G:G, 1)</f>
        <v/>
      </c>
      <c r="I806" s="5">
        <f>G806*H806</f>
        <v/>
      </c>
      <c r="J806" s="2">
        <f>XLOOKUP(E806, '06_BANG_GIA_VAT_TU_AP_DUNG'!B:B, '06_BANG_GIA_VAT_TU_AP_DUNG'!C:C, "LỖI_MÃ_VT")</f>
        <v/>
      </c>
      <c r="K806" s="2">
        <f>I806*J806</f>
        <v/>
      </c>
      <c r="L806" t="inlineStr">
        <is>
          <t>Tay gạt khóa vị trí nan (S=0.60m2)</t>
        </is>
      </c>
    </row>
    <row r="807">
      <c r="A807" t="inlineStr">
        <is>
          <t>SW-DAMPER-222-BODY</t>
        </is>
      </c>
      <c r="B807" t="inlineStr">
        <is>
          <t>SW-DAMPER-222</t>
        </is>
      </c>
      <c r="C807" t="inlineStr">
        <is>
          <t>Thân vỏ van VCD bích TDF (0.95mm)</t>
        </is>
      </c>
      <c r="D807" t="inlineStr">
        <is>
          <t>TÔN_CUỘN_MẠ_KẼM</t>
        </is>
      </c>
      <c r="E807" t="inlineStr">
        <is>
          <t>MAT-STEEL-PN-0.95</t>
        </is>
      </c>
      <c r="F807" t="inlineStr">
        <is>
          <t>kg</t>
        </is>
      </c>
      <c r="G807" s="4" t="n">
        <v>7.761467700000001</v>
      </c>
      <c r="H807" s="2">
        <f>XLOOKUP(B807, '00_TONG_HOP_BAO_GIA'!B:B, '00_TONG_HOP_BAO_GIA'!G:G, 1)</f>
        <v/>
      </c>
      <c r="I807" s="5">
        <f>G807*H807</f>
        <v/>
      </c>
      <c r="J807" s="2">
        <f>XLOOKUP(E807, '06_BANG_GIA_VAT_TU_AP_DUNG'!B:B, '06_BANG_GIA_VAT_TU_AP_DUNG'!C:C, "LỖI_MÃ_VT")</f>
        <v/>
      </c>
      <c r="K807" s="2">
        <f>I807*J807</f>
        <v/>
      </c>
      <c r="L807" t="inlineStr">
        <is>
          <t>Kích thước vỏ 1200.0x550.0x210mm</t>
        </is>
      </c>
    </row>
    <row r="808">
      <c r="A808" t="inlineStr">
        <is>
          <t>SW-DAMPER-222-BLADE</t>
        </is>
      </c>
      <c r="B808" t="inlineStr">
        <is>
          <t>SW-DAMPER-222</t>
        </is>
      </c>
      <c r="C808" t="inlineStr">
        <is>
          <t>Lá cánh van (4 cánh overlap)</t>
        </is>
      </c>
      <c r="D808" t="inlineStr">
        <is>
          <t>TÔN_CUỘN_MẠ_KẼM</t>
        </is>
      </c>
      <c r="E808" t="inlineStr">
        <is>
          <t>MAT-STEEL-PN-0.75</t>
        </is>
      </c>
      <c r="F808" t="inlineStr">
        <is>
          <t>kg</t>
        </is>
      </c>
      <c r="G808" s="4" t="n">
        <v>4.807026</v>
      </c>
      <c r="H808" s="2">
        <f>XLOOKUP(B808, '00_TONG_HOP_BAO_GIA'!B:B, '00_TONG_HOP_BAO_GIA'!G:G, 1)</f>
        <v/>
      </c>
      <c r="I808" s="5">
        <f>G808*H808</f>
        <v/>
      </c>
      <c r="J808" s="2">
        <f>XLOOKUP(E808, '06_BANG_GIA_VAT_TU_AP_DUNG'!B:B, '06_BANG_GIA_VAT_TU_AP_DUNG'!C:C, "LỖI_MÃ_VT")</f>
        <v/>
      </c>
      <c r="K808" s="2">
        <f>I808*J808</f>
        <v/>
      </c>
      <c r="L808" t="inlineStr">
        <is>
          <t>4 cánh cao 158mm</t>
        </is>
      </c>
    </row>
    <row r="809">
      <c r="A809" t="inlineStr">
        <is>
          <t>SW-DAMPER-222-AXLE</t>
        </is>
      </c>
      <c r="B809" t="inlineStr">
        <is>
          <t>SW-DAMPER-222</t>
        </is>
      </c>
      <c r="C809" t="inlineStr">
        <is>
          <t>Trục Sus 201 D10</t>
        </is>
      </c>
      <c r="D809" t="inlineStr">
        <is>
          <t>PHỤ_KIỆN_VAN</t>
        </is>
      </c>
      <c r="E809" t="inlineStr">
        <is>
          <t>MAT-DAMPER-TRUC-SUS-201-D10</t>
        </is>
      </c>
      <c r="F809" t="inlineStr">
        <is>
          <t>m</t>
        </is>
      </c>
      <c r="G809" s="4" t="n">
        <v>5.04</v>
      </c>
      <c r="H809" s="2">
        <f>XLOOKUP(B809, '00_TONG_HOP_BAO_GIA'!B:B, '00_TONG_HOP_BAO_GIA'!G:G, 1)</f>
        <v/>
      </c>
      <c r="I809" s="5">
        <f>G809*H809</f>
        <v/>
      </c>
      <c r="J809" s="2">
        <f>XLOOKUP(E809, '06_BANG_GIA_VAT_TU_AP_DUNG'!B:B, '06_BANG_GIA_VAT_TU_AP_DUNG'!C:C, "LỖI_MÃ_VT")</f>
        <v/>
      </c>
      <c r="K809" s="2">
        <f>I809*J809</f>
        <v/>
      </c>
      <c r="L809" t="inlineStr">
        <is>
          <t>4 trục dài 1260mm</t>
        </is>
      </c>
    </row>
    <row r="810">
      <c r="A810" t="inlineStr">
        <is>
          <t>SW-DAMPER-222-BEARING</t>
        </is>
      </c>
      <c r="B810" t="inlineStr">
        <is>
          <t>SW-DAMPER-222</t>
        </is>
      </c>
      <c r="C810" t="inlineStr">
        <is>
          <t>Bạc đồng D10</t>
        </is>
      </c>
      <c r="D810" t="inlineStr">
        <is>
          <t>PHỤ_KIỆN_VAN</t>
        </is>
      </c>
      <c r="E810" t="inlineStr">
        <is>
          <t>MAT-DAMPER-BAC-DONG-D10</t>
        </is>
      </c>
      <c r="F810" t="inlineStr">
        <is>
          <t>Đôi</t>
        </is>
      </c>
      <c r="G810" s="4" t="n">
        <v>4</v>
      </c>
      <c r="H810" s="2">
        <f>XLOOKUP(B810, '00_TONG_HOP_BAO_GIA'!B:B, '00_TONG_HOP_BAO_GIA'!G:G, 1)</f>
        <v/>
      </c>
      <c r="I810" s="5">
        <f>G810*H810</f>
        <v/>
      </c>
      <c r="J810" s="2">
        <f>XLOOKUP(E810, '06_BANG_GIA_VAT_TU_AP_DUNG'!B:B, '06_BANG_GIA_VAT_TU_AP_DUNG'!C:C, "LỖI_MÃ_VT")</f>
        <v/>
      </c>
      <c r="K810" s="2">
        <f>I810*J810</f>
        <v/>
      </c>
      <c r="L810" t="inlineStr">
        <is>
          <t>4 đôi bạc đỡ 2 bên thân</t>
        </is>
      </c>
    </row>
    <row r="811">
      <c r="A811" t="inlineStr">
        <is>
          <t>SW-DAMPER-222-GEAR</t>
        </is>
      </c>
      <c r="B811" t="inlineStr">
        <is>
          <t>SW-DAMPER-222</t>
        </is>
      </c>
      <c r="C811" t="inlineStr">
        <is>
          <t>Bánh răng van nhôm</t>
        </is>
      </c>
      <c r="D811" t="inlineStr">
        <is>
          <t>PHỤ_KIỆN_VAN</t>
        </is>
      </c>
      <c r="E811" t="inlineStr">
        <is>
          <t>MAT-DAMPER-BANH-RANG-VAN-NHOM</t>
        </is>
      </c>
      <c r="F811" t="inlineStr">
        <is>
          <t>Bộ</t>
        </is>
      </c>
      <c r="G811" s="4" t="n">
        <v>1</v>
      </c>
      <c r="H811" s="2">
        <f>XLOOKUP(B811, '00_TONG_HOP_BAO_GIA'!B:B, '00_TONG_HOP_BAO_GIA'!G:G, 1)</f>
        <v/>
      </c>
      <c r="I811" s="5">
        <f>G811*H811</f>
        <v/>
      </c>
      <c r="J811" s="2">
        <f>XLOOKUP(E811, '06_BANG_GIA_VAT_TU_AP_DUNG'!B:B, '06_BANG_GIA_VAT_TU_AP_DUNG'!C:C, "LỖI_MÃ_VT")</f>
        <v/>
      </c>
      <c r="K811" s="2">
        <f>I811*J811</f>
        <v/>
      </c>
      <c r="L811" t="inlineStr">
        <is>
          <t>Cơ cấu liên động bánh răng van</t>
        </is>
      </c>
    </row>
    <row r="812">
      <c r="A812" t="inlineStr">
        <is>
          <t>SW-DAMPER-222-HANDLE</t>
        </is>
      </c>
      <c r="B812" t="inlineStr">
        <is>
          <t>SW-DAMPER-222</t>
        </is>
      </c>
      <c r="C812" t="inlineStr">
        <is>
          <t>Tay gạt trung bình</t>
        </is>
      </c>
      <c r="D812" t="inlineStr">
        <is>
          <t>PHỤ_KIỆN_VAN</t>
        </is>
      </c>
      <c r="E812" t="inlineStr">
        <is>
          <t>MAT-DAMPER-TAY-GAT-TRUNG-BINH</t>
        </is>
      </c>
      <c r="F812" t="inlineStr">
        <is>
          <t>Bộ</t>
        </is>
      </c>
      <c r="G812" s="4" t="n">
        <v>1</v>
      </c>
      <c r="H812" s="2">
        <f>XLOOKUP(B812, '00_TONG_HOP_BAO_GIA'!B:B, '00_TONG_HOP_BAO_GIA'!G:G, 1)</f>
        <v/>
      </c>
      <c r="I812" s="5">
        <f>G812*H812</f>
        <v/>
      </c>
      <c r="J812" s="2">
        <f>XLOOKUP(E812, '06_BANG_GIA_VAT_TU_AP_DUNG'!B:B, '06_BANG_GIA_VAT_TU_AP_DUNG'!C:C, "LỖI_MÃ_VT")</f>
        <v/>
      </c>
      <c r="K812" s="2">
        <f>I812*J812</f>
        <v/>
      </c>
      <c r="L812" t="inlineStr">
        <is>
          <t>Tay gạt khóa vị trí nan (S=0.66m2)</t>
        </is>
      </c>
    </row>
    <row r="813">
      <c r="A813" t="inlineStr">
        <is>
          <t>SW-DAMPER-223-BODY</t>
        </is>
      </c>
      <c r="B813" t="inlineStr">
        <is>
          <t>SW-DAMPER-223</t>
        </is>
      </c>
      <c r="C813" t="inlineStr">
        <is>
          <t>Thân vỏ van VCD bích TDF (0.95mm)</t>
        </is>
      </c>
      <c r="D813" t="inlineStr">
        <is>
          <t>TÔN_CUỘN_MẠ_KẼM</t>
        </is>
      </c>
      <c r="E813" t="inlineStr">
        <is>
          <t>MAT-STEEL-PN-0.95</t>
        </is>
      </c>
      <c r="F813" t="inlineStr">
        <is>
          <t>kg</t>
        </is>
      </c>
      <c r="G813" s="4" t="n">
        <v>8.199968699999999</v>
      </c>
      <c r="H813" s="2">
        <f>XLOOKUP(B813, '00_TONG_HOP_BAO_GIA'!B:B, '00_TONG_HOP_BAO_GIA'!G:G, 1)</f>
        <v/>
      </c>
      <c r="I813" s="5">
        <f>G813*H813</f>
        <v/>
      </c>
      <c r="J813" s="2">
        <f>XLOOKUP(E813, '06_BANG_GIA_VAT_TU_AP_DUNG'!B:B, '06_BANG_GIA_VAT_TU_AP_DUNG'!C:C, "LỖI_MÃ_VT")</f>
        <v/>
      </c>
      <c r="K813" s="2">
        <f>I813*J813</f>
        <v/>
      </c>
      <c r="L813" t="inlineStr">
        <is>
          <t>Kích thước vỏ 1250.0x600.0x210mm</t>
        </is>
      </c>
    </row>
    <row r="814">
      <c r="A814" t="inlineStr">
        <is>
          <t>SW-DAMPER-223-BLADE</t>
        </is>
      </c>
      <c r="B814" t="inlineStr">
        <is>
          <t>SW-DAMPER-223</t>
        </is>
      </c>
      <c r="C814" t="inlineStr">
        <is>
          <t>Lá cánh van (4 cánh overlap)</t>
        </is>
      </c>
      <c r="D814" t="inlineStr">
        <is>
          <t>TÔN_CUỘN_MẠ_KẼM</t>
        </is>
      </c>
      <c r="E814" t="inlineStr">
        <is>
          <t>MAT-STEEL-PN-0.75</t>
        </is>
      </c>
      <c r="F814" t="inlineStr">
        <is>
          <t>kg</t>
        </is>
      </c>
      <c r="G814" s="4" t="n">
        <v>5.404725</v>
      </c>
      <c r="H814" s="2">
        <f>XLOOKUP(B814, '00_TONG_HOP_BAO_GIA'!B:B, '00_TONG_HOP_BAO_GIA'!G:G, 1)</f>
        <v/>
      </c>
      <c r="I814" s="5">
        <f>G814*H814</f>
        <v/>
      </c>
      <c r="J814" s="2">
        <f>XLOOKUP(E814, '06_BANG_GIA_VAT_TU_AP_DUNG'!B:B, '06_BANG_GIA_VAT_TU_AP_DUNG'!C:C, "LỖI_MÃ_VT")</f>
        <v/>
      </c>
      <c r="K814" s="2">
        <f>I814*J814</f>
        <v/>
      </c>
      <c r="L814" t="inlineStr">
        <is>
          <t>4 cánh cao 170mm</t>
        </is>
      </c>
    </row>
    <row r="815">
      <c r="A815" t="inlineStr">
        <is>
          <t>SW-DAMPER-223-AXLE</t>
        </is>
      </c>
      <c r="B815" t="inlineStr">
        <is>
          <t>SW-DAMPER-223</t>
        </is>
      </c>
      <c r="C815" t="inlineStr">
        <is>
          <t>Trục Sus 201 D10</t>
        </is>
      </c>
      <c r="D815" t="inlineStr">
        <is>
          <t>PHỤ_KIỆN_VAN</t>
        </is>
      </c>
      <c r="E815" t="inlineStr">
        <is>
          <t>MAT-DAMPER-TRUC-SUS-201-D10</t>
        </is>
      </c>
      <c r="F815" t="inlineStr">
        <is>
          <t>m</t>
        </is>
      </c>
      <c r="G815" s="4" t="n">
        <v>5.24</v>
      </c>
      <c r="H815" s="2">
        <f>XLOOKUP(B815, '00_TONG_HOP_BAO_GIA'!B:B, '00_TONG_HOP_BAO_GIA'!G:G, 1)</f>
        <v/>
      </c>
      <c r="I815" s="5">
        <f>G815*H815</f>
        <v/>
      </c>
      <c r="J815" s="2">
        <f>XLOOKUP(E815, '06_BANG_GIA_VAT_TU_AP_DUNG'!B:B, '06_BANG_GIA_VAT_TU_AP_DUNG'!C:C, "LỖI_MÃ_VT")</f>
        <v/>
      </c>
      <c r="K815" s="2">
        <f>I815*J815</f>
        <v/>
      </c>
      <c r="L815" t="inlineStr">
        <is>
          <t>4 trục dài 1310mm</t>
        </is>
      </c>
    </row>
    <row r="816">
      <c r="A816" t="inlineStr">
        <is>
          <t>SW-DAMPER-223-BEARING</t>
        </is>
      </c>
      <c r="B816" t="inlineStr">
        <is>
          <t>SW-DAMPER-223</t>
        </is>
      </c>
      <c r="C816" t="inlineStr">
        <is>
          <t>Bạc đồng D10</t>
        </is>
      </c>
      <c r="D816" t="inlineStr">
        <is>
          <t>PHỤ_KIỆN_VAN</t>
        </is>
      </c>
      <c r="E816" t="inlineStr">
        <is>
          <t>MAT-DAMPER-BAC-DONG-D10</t>
        </is>
      </c>
      <c r="F816" t="inlineStr">
        <is>
          <t>Đôi</t>
        </is>
      </c>
      <c r="G816" s="4" t="n">
        <v>4</v>
      </c>
      <c r="H816" s="2">
        <f>XLOOKUP(B816, '00_TONG_HOP_BAO_GIA'!B:B, '00_TONG_HOP_BAO_GIA'!G:G, 1)</f>
        <v/>
      </c>
      <c r="I816" s="5">
        <f>G816*H816</f>
        <v/>
      </c>
      <c r="J816" s="2">
        <f>XLOOKUP(E816, '06_BANG_GIA_VAT_TU_AP_DUNG'!B:B, '06_BANG_GIA_VAT_TU_AP_DUNG'!C:C, "LỖI_MÃ_VT")</f>
        <v/>
      </c>
      <c r="K816" s="2">
        <f>I816*J816</f>
        <v/>
      </c>
      <c r="L816" t="inlineStr">
        <is>
          <t>4 đôi bạc đỡ 2 bên thân</t>
        </is>
      </c>
    </row>
    <row r="817">
      <c r="A817" t="inlineStr">
        <is>
          <t>SW-DAMPER-223-GEAR</t>
        </is>
      </c>
      <c r="B817" t="inlineStr">
        <is>
          <t>SW-DAMPER-223</t>
        </is>
      </c>
      <c r="C817" t="inlineStr">
        <is>
          <t>Bánh răng van nhôm</t>
        </is>
      </c>
      <c r="D817" t="inlineStr">
        <is>
          <t>PHỤ_KIỆN_VAN</t>
        </is>
      </c>
      <c r="E817" t="inlineStr">
        <is>
          <t>MAT-DAMPER-BANH-RANG-VAN-NHOM</t>
        </is>
      </c>
      <c r="F817" t="inlineStr">
        <is>
          <t>Bộ</t>
        </is>
      </c>
      <c r="G817" s="4" t="n">
        <v>1</v>
      </c>
      <c r="H817" s="2">
        <f>XLOOKUP(B817, '00_TONG_HOP_BAO_GIA'!B:B, '00_TONG_HOP_BAO_GIA'!G:G, 1)</f>
        <v/>
      </c>
      <c r="I817" s="5">
        <f>G817*H817</f>
        <v/>
      </c>
      <c r="J817" s="2">
        <f>XLOOKUP(E817, '06_BANG_GIA_VAT_TU_AP_DUNG'!B:B, '06_BANG_GIA_VAT_TU_AP_DUNG'!C:C, "LỖI_MÃ_VT")</f>
        <v/>
      </c>
      <c r="K817" s="2">
        <f>I817*J817</f>
        <v/>
      </c>
      <c r="L817" t="inlineStr">
        <is>
          <t>Cơ cấu liên động bánh răng van</t>
        </is>
      </c>
    </row>
    <row r="818">
      <c r="A818" t="inlineStr">
        <is>
          <t>SW-DAMPER-223-HANDLE</t>
        </is>
      </c>
      <c r="B818" t="inlineStr">
        <is>
          <t>SW-DAMPER-223</t>
        </is>
      </c>
      <c r="C818" t="inlineStr">
        <is>
          <t>Tay gạt trung bình</t>
        </is>
      </c>
      <c r="D818" t="inlineStr">
        <is>
          <t>PHỤ_KIỆN_VAN</t>
        </is>
      </c>
      <c r="E818" t="inlineStr">
        <is>
          <t>MAT-DAMPER-TAY-GAT-TRUNG-BINH</t>
        </is>
      </c>
      <c r="F818" t="inlineStr">
        <is>
          <t>Bộ</t>
        </is>
      </c>
      <c r="G818" s="4" t="n">
        <v>1</v>
      </c>
      <c r="H818" s="2">
        <f>XLOOKUP(B818, '00_TONG_HOP_BAO_GIA'!B:B, '00_TONG_HOP_BAO_GIA'!G:G, 1)</f>
        <v/>
      </c>
      <c r="I818" s="5">
        <f>G818*H818</f>
        <v/>
      </c>
      <c r="J818" s="2">
        <f>XLOOKUP(E818, '06_BANG_GIA_VAT_TU_AP_DUNG'!B:B, '06_BANG_GIA_VAT_TU_AP_DUNG'!C:C, "LỖI_MÃ_VT")</f>
        <v/>
      </c>
      <c r="K818" s="2">
        <f>I818*J818</f>
        <v/>
      </c>
      <c r="L818" t="inlineStr">
        <is>
          <t>Tay gạt khóa vị trí nan (S=0.75m2)</t>
        </is>
      </c>
    </row>
    <row r="819">
      <c r="A819" t="inlineStr">
        <is>
          <t>SW-DAMPER-224-BODY</t>
        </is>
      </c>
      <c r="B819" t="inlineStr">
        <is>
          <t>SW-DAMPER-224</t>
        </is>
      </c>
      <c r="C819" t="inlineStr">
        <is>
          <t>Thân vỏ van VCD bích TDF (0.95mm)</t>
        </is>
      </c>
      <c r="D819" t="inlineStr">
        <is>
          <t>TÔN_CUỘN_MẠ_KẼM</t>
        </is>
      </c>
      <c r="E819" t="inlineStr">
        <is>
          <t>MAT-STEEL-PN-0.95</t>
        </is>
      </c>
      <c r="F819" t="inlineStr">
        <is>
          <t>kg</t>
        </is>
      </c>
      <c r="G819" s="4" t="n">
        <v>8.638469700000002</v>
      </c>
      <c r="H819" s="2">
        <f>XLOOKUP(B819, '00_TONG_HOP_BAO_GIA'!B:B, '00_TONG_HOP_BAO_GIA'!G:G, 1)</f>
        <v/>
      </c>
      <c r="I819" s="5">
        <f>G819*H819</f>
        <v/>
      </c>
      <c r="J819" s="2">
        <f>XLOOKUP(E819, '06_BANG_GIA_VAT_TU_AP_DUNG'!B:B, '06_BANG_GIA_VAT_TU_AP_DUNG'!C:C, "LỖI_MÃ_VT")</f>
        <v/>
      </c>
      <c r="K819" s="2">
        <f>I819*J819</f>
        <v/>
      </c>
      <c r="L819" t="inlineStr">
        <is>
          <t>Kích thước vỏ 1300.0x650.0x210mm</t>
        </is>
      </c>
    </row>
    <row r="820">
      <c r="A820" t="inlineStr">
        <is>
          <t>SW-DAMPER-224-BLADE</t>
        </is>
      </c>
      <c r="B820" t="inlineStr">
        <is>
          <t>SW-DAMPER-224</t>
        </is>
      </c>
      <c r="C820" t="inlineStr">
        <is>
          <t>Lá cánh van (4 cánh overlap)</t>
        </is>
      </c>
      <c r="D820" t="inlineStr">
        <is>
          <t>TÔN_CUỘN_MẠ_KẼM</t>
        </is>
      </c>
      <c r="E820" t="inlineStr">
        <is>
          <t>MAT-STEEL-PN-0.75</t>
        </is>
      </c>
      <c r="F820" t="inlineStr">
        <is>
          <t>kg</t>
        </is>
      </c>
      <c r="G820" s="4" t="n">
        <v>6.034216499999999</v>
      </c>
      <c r="H820" s="2">
        <f>XLOOKUP(B820, '00_TONG_HOP_BAO_GIA'!B:B, '00_TONG_HOP_BAO_GIA'!G:G, 1)</f>
        <v/>
      </c>
      <c r="I820" s="5">
        <f>G820*H820</f>
        <v/>
      </c>
      <c r="J820" s="2">
        <f>XLOOKUP(E820, '06_BANG_GIA_VAT_TU_AP_DUNG'!B:B, '06_BANG_GIA_VAT_TU_AP_DUNG'!C:C, "LỖI_MÃ_VT")</f>
        <v/>
      </c>
      <c r="K820" s="2">
        <f>I820*J820</f>
        <v/>
      </c>
      <c r="L820" t="inlineStr">
        <is>
          <t>4 cánh cao 182mm</t>
        </is>
      </c>
    </row>
    <row r="821">
      <c r="A821" t="inlineStr">
        <is>
          <t>SW-DAMPER-224-AXLE</t>
        </is>
      </c>
      <c r="B821" t="inlineStr">
        <is>
          <t>SW-DAMPER-224</t>
        </is>
      </c>
      <c r="C821" t="inlineStr">
        <is>
          <t>Trục Sus 201 D10</t>
        </is>
      </c>
      <c r="D821" t="inlineStr">
        <is>
          <t>PHỤ_KIỆN_VAN</t>
        </is>
      </c>
      <c r="E821" t="inlineStr">
        <is>
          <t>MAT-DAMPER-TRUC-SUS-201-D10</t>
        </is>
      </c>
      <c r="F821" t="inlineStr">
        <is>
          <t>m</t>
        </is>
      </c>
      <c r="G821" s="4" t="n">
        <v>5.44</v>
      </c>
      <c r="H821" s="2">
        <f>XLOOKUP(B821, '00_TONG_HOP_BAO_GIA'!B:B, '00_TONG_HOP_BAO_GIA'!G:G, 1)</f>
        <v/>
      </c>
      <c r="I821" s="5">
        <f>G821*H821</f>
        <v/>
      </c>
      <c r="J821" s="2">
        <f>XLOOKUP(E821, '06_BANG_GIA_VAT_TU_AP_DUNG'!B:B, '06_BANG_GIA_VAT_TU_AP_DUNG'!C:C, "LỖI_MÃ_VT")</f>
        <v/>
      </c>
      <c r="K821" s="2">
        <f>I821*J821</f>
        <v/>
      </c>
      <c r="L821" t="inlineStr">
        <is>
          <t>4 trục dài 1360mm</t>
        </is>
      </c>
    </row>
    <row r="822">
      <c r="A822" t="inlineStr">
        <is>
          <t>SW-DAMPER-224-BEARING</t>
        </is>
      </c>
      <c r="B822" t="inlineStr">
        <is>
          <t>SW-DAMPER-224</t>
        </is>
      </c>
      <c r="C822" t="inlineStr">
        <is>
          <t>Bạc đồng D10</t>
        </is>
      </c>
      <c r="D822" t="inlineStr">
        <is>
          <t>PHỤ_KIỆN_VAN</t>
        </is>
      </c>
      <c r="E822" t="inlineStr">
        <is>
          <t>MAT-DAMPER-BAC-DONG-D10</t>
        </is>
      </c>
      <c r="F822" t="inlineStr">
        <is>
          <t>Đôi</t>
        </is>
      </c>
      <c r="G822" s="4" t="n">
        <v>4</v>
      </c>
      <c r="H822" s="2">
        <f>XLOOKUP(B822, '00_TONG_HOP_BAO_GIA'!B:B, '00_TONG_HOP_BAO_GIA'!G:G, 1)</f>
        <v/>
      </c>
      <c r="I822" s="5">
        <f>G822*H822</f>
        <v/>
      </c>
      <c r="J822" s="2">
        <f>XLOOKUP(E822, '06_BANG_GIA_VAT_TU_AP_DUNG'!B:B, '06_BANG_GIA_VAT_TU_AP_DUNG'!C:C, "LỖI_MÃ_VT")</f>
        <v/>
      </c>
      <c r="K822" s="2">
        <f>I822*J822</f>
        <v/>
      </c>
      <c r="L822" t="inlineStr">
        <is>
          <t>4 đôi bạc đỡ 2 bên thân</t>
        </is>
      </c>
    </row>
    <row r="823">
      <c r="A823" t="inlineStr">
        <is>
          <t>SW-DAMPER-224-GEAR</t>
        </is>
      </c>
      <c r="B823" t="inlineStr">
        <is>
          <t>SW-DAMPER-224</t>
        </is>
      </c>
      <c r="C823" t="inlineStr">
        <is>
          <t>Bánh răng van nhôm</t>
        </is>
      </c>
      <c r="D823" t="inlineStr">
        <is>
          <t>PHỤ_KIỆN_VAN</t>
        </is>
      </c>
      <c r="E823" t="inlineStr">
        <is>
          <t>MAT-DAMPER-BANH-RANG-VAN-NHOM</t>
        </is>
      </c>
      <c r="F823" t="inlineStr">
        <is>
          <t>Bộ</t>
        </is>
      </c>
      <c r="G823" s="4" t="n">
        <v>1</v>
      </c>
      <c r="H823" s="2">
        <f>XLOOKUP(B823, '00_TONG_HOP_BAO_GIA'!B:B, '00_TONG_HOP_BAO_GIA'!G:G, 1)</f>
        <v/>
      </c>
      <c r="I823" s="5">
        <f>G823*H823</f>
        <v/>
      </c>
      <c r="J823" s="2">
        <f>XLOOKUP(E823, '06_BANG_GIA_VAT_TU_AP_DUNG'!B:B, '06_BANG_GIA_VAT_TU_AP_DUNG'!C:C, "LỖI_MÃ_VT")</f>
        <v/>
      </c>
      <c r="K823" s="2">
        <f>I823*J823</f>
        <v/>
      </c>
      <c r="L823" t="inlineStr">
        <is>
          <t>Cơ cấu liên động bánh răng van</t>
        </is>
      </c>
    </row>
    <row r="824">
      <c r="A824" t="inlineStr">
        <is>
          <t>SW-DAMPER-224-HANDLE</t>
        </is>
      </c>
      <c r="B824" t="inlineStr">
        <is>
          <t>SW-DAMPER-224</t>
        </is>
      </c>
      <c r="C824" t="inlineStr">
        <is>
          <t>Tay gạt trung bình</t>
        </is>
      </c>
      <c r="D824" t="inlineStr">
        <is>
          <t>PHỤ_KIỆN_VAN</t>
        </is>
      </c>
      <c r="E824" t="inlineStr">
        <is>
          <t>MAT-DAMPER-TAY-GAT-TRUNG-BINH</t>
        </is>
      </c>
      <c r="F824" t="inlineStr">
        <is>
          <t>Bộ</t>
        </is>
      </c>
      <c r="G824" s="4" t="n">
        <v>1</v>
      </c>
      <c r="H824" s="2">
        <f>XLOOKUP(B824, '00_TONG_HOP_BAO_GIA'!B:B, '00_TONG_HOP_BAO_GIA'!G:G, 1)</f>
        <v/>
      </c>
      <c r="I824" s="5">
        <f>G824*H824</f>
        <v/>
      </c>
      <c r="J824" s="2">
        <f>XLOOKUP(E824, '06_BANG_GIA_VAT_TU_AP_DUNG'!B:B, '06_BANG_GIA_VAT_TU_AP_DUNG'!C:C, "LỖI_MÃ_VT")</f>
        <v/>
      </c>
      <c r="K824" s="2">
        <f>I824*J824</f>
        <v/>
      </c>
      <c r="L824" t="inlineStr">
        <is>
          <t>Tay gạt khóa vị trí nan (S=0.84m2)</t>
        </is>
      </c>
    </row>
    <row r="825">
      <c r="A825" t="inlineStr">
        <is>
          <t>SW-DAMPER-225-BODY</t>
        </is>
      </c>
      <c r="B825" t="inlineStr">
        <is>
          <t>SW-DAMPER-225</t>
        </is>
      </c>
      <c r="C825" t="inlineStr">
        <is>
          <t>Thân vỏ van FD bích TDF (0.75mm)</t>
        </is>
      </c>
      <c r="D825" t="inlineStr">
        <is>
          <t>TÔN_CUỘN_MẠ_KẼM</t>
        </is>
      </c>
      <c r="E825" t="inlineStr">
        <is>
          <t>MAT-STEEL-PN-0.75</t>
        </is>
      </c>
      <c r="F825" t="inlineStr">
        <is>
          <t>kg</t>
        </is>
      </c>
      <c r="G825" s="4" t="n">
        <v>2.057328</v>
      </c>
      <c r="H825" s="2">
        <f>XLOOKUP(B825, '00_TONG_HOP_BAO_GIA'!B:B, '00_TONG_HOP_BAO_GIA'!G:G, 1)</f>
        <v/>
      </c>
      <c r="I825" s="5">
        <f>G825*H825</f>
        <v/>
      </c>
      <c r="J825" s="2">
        <f>XLOOKUP(E825, '06_BANG_GIA_VAT_TU_AP_DUNG'!B:B, '06_BANG_GIA_VAT_TU_AP_DUNG'!C:C, "LỖI_MÃ_VT")</f>
        <v/>
      </c>
      <c r="K825" s="2">
        <f>I825*J825</f>
        <v/>
      </c>
      <c r="L825" t="inlineStr">
        <is>
          <t>Kích thước vỏ 300.0x200.0x250mm</t>
        </is>
      </c>
    </row>
    <row r="826">
      <c r="A826" t="inlineStr">
        <is>
          <t>SW-DAMPER-225-BLADE</t>
        </is>
      </c>
      <c r="B826" t="inlineStr">
        <is>
          <t>SW-DAMPER-225</t>
        </is>
      </c>
      <c r="C826" t="inlineStr">
        <is>
          <t>Lá cánh van (2 cánh overlap)</t>
        </is>
      </c>
      <c r="D826" t="inlineStr">
        <is>
          <t>TÔN_CUỘN_MẠ_KẼM</t>
        </is>
      </c>
      <c r="E826" t="inlineStr">
        <is>
          <t>MAT-STEEL-PN-0.75</t>
        </is>
      </c>
      <c r="F826" t="inlineStr">
        <is>
          <t>kg</t>
        </is>
      </c>
      <c r="G826" s="4" t="n">
        <v>0.4578119999999999</v>
      </c>
      <c r="H826" s="2">
        <f>XLOOKUP(B826, '00_TONG_HOP_BAO_GIA'!B:B, '00_TONG_HOP_BAO_GIA'!G:G, 1)</f>
        <v/>
      </c>
      <c r="I826" s="5">
        <f>G826*H826</f>
        <v/>
      </c>
      <c r="J826" s="2">
        <f>XLOOKUP(E826, '06_BANG_GIA_VAT_TU_AP_DUNG'!B:B, '06_BANG_GIA_VAT_TU_AP_DUNG'!C:C, "LỖI_MÃ_VT")</f>
        <v/>
      </c>
      <c r="K826" s="2">
        <f>I826*J826</f>
        <v/>
      </c>
      <c r="L826" t="inlineStr">
        <is>
          <t>2 cánh cao 120mm</t>
        </is>
      </c>
    </row>
    <row r="827">
      <c r="A827" t="inlineStr">
        <is>
          <t>SW-DAMPER-225-AXLE</t>
        </is>
      </c>
      <c r="B827" t="inlineStr">
        <is>
          <t>SW-DAMPER-225</t>
        </is>
      </c>
      <c r="C827" t="inlineStr">
        <is>
          <t>Trục Sus 201 D10</t>
        </is>
      </c>
      <c r="D827" t="inlineStr">
        <is>
          <t>PHỤ_KIỆN_VAN</t>
        </is>
      </c>
      <c r="E827" t="inlineStr">
        <is>
          <t>MAT-DAMPER-TRUC-SUS-201-D10</t>
        </is>
      </c>
      <c r="F827" t="inlineStr">
        <is>
          <t>m</t>
        </is>
      </c>
      <c r="G827" s="4" t="n">
        <v>0.72</v>
      </c>
      <c r="H827" s="2">
        <f>XLOOKUP(B827, '00_TONG_HOP_BAO_GIA'!B:B, '00_TONG_HOP_BAO_GIA'!G:G, 1)</f>
        <v/>
      </c>
      <c r="I827" s="5">
        <f>G827*H827</f>
        <v/>
      </c>
      <c r="J827" s="2">
        <f>XLOOKUP(E827, '06_BANG_GIA_VAT_TU_AP_DUNG'!B:B, '06_BANG_GIA_VAT_TU_AP_DUNG'!C:C, "LỖI_MÃ_VT")</f>
        <v/>
      </c>
      <c r="K827" s="2">
        <f>I827*J827</f>
        <v/>
      </c>
      <c r="L827" t="inlineStr">
        <is>
          <t>2 trục dài 360mm</t>
        </is>
      </c>
    </row>
    <row r="828">
      <c r="A828" t="inlineStr">
        <is>
          <t>SW-DAMPER-225-BEARING</t>
        </is>
      </c>
      <c r="B828" t="inlineStr">
        <is>
          <t>SW-DAMPER-225</t>
        </is>
      </c>
      <c r="C828" t="inlineStr">
        <is>
          <t>Bạc đồng D10</t>
        </is>
      </c>
      <c r="D828" t="inlineStr">
        <is>
          <t>PHỤ_KIỆN_VAN</t>
        </is>
      </c>
      <c r="E828" t="inlineStr">
        <is>
          <t>MAT-DAMPER-BAC-DONG-D10</t>
        </is>
      </c>
      <c r="F828" t="inlineStr">
        <is>
          <t>Đôi</t>
        </is>
      </c>
      <c r="G828" s="4" t="n">
        <v>2</v>
      </c>
      <c r="H828" s="2">
        <f>XLOOKUP(B828, '00_TONG_HOP_BAO_GIA'!B:B, '00_TONG_HOP_BAO_GIA'!G:G, 1)</f>
        <v/>
      </c>
      <c r="I828" s="5">
        <f>G828*H828</f>
        <v/>
      </c>
      <c r="J828" s="2">
        <f>XLOOKUP(E828, '06_BANG_GIA_VAT_TU_AP_DUNG'!B:B, '06_BANG_GIA_VAT_TU_AP_DUNG'!C:C, "LỖI_MÃ_VT")</f>
        <v/>
      </c>
      <c r="K828" s="2">
        <f>I828*J828</f>
        <v/>
      </c>
      <c r="L828" t="inlineStr">
        <is>
          <t>2 đôi bạc đỡ 2 bên thân</t>
        </is>
      </c>
    </row>
    <row r="829">
      <c r="A829" t="inlineStr">
        <is>
          <t>SW-DAMPER-225-GEAR</t>
        </is>
      </c>
      <c r="B829" t="inlineStr">
        <is>
          <t>SW-DAMPER-225</t>
        </is>
      </c>
      <c r="C829" t="inlineStr">
        <is>
          <t>Bánh răng van nhôm</t>
        </is>
      </c>
      <c r="D829" t="inlineStr">
        <is>
          <t>PHỤ_KIỆN_VAN</t>
        </is>
      </c>
      <c r="E829" t="inlineStr">
        <is>
          <t>MAT-DAMPER-BANH-RANG-VAN-NHOM</t>
        </is>
      </c>
      <c r="F829" t="inlineStr">
        <is>
          <t>Bộ</t>
        </is>
      </c>
      <c r="G829" s="4" t="n">
        <v>1</v>
      </c>
      <c r="H829" s="2">
        <f>XLOOKUP(B829, '00_TONG_HOP_BAO_GIA'!B:B, '00_TONG_HOP_BAO_GIA'!G:G, 1)</f>
        <v/>
      </c>
      <c r="I829" s="5">
        <f>G829*H829</f>
        <v/>
      </c>
      <c r="J829" s="2">
        <f>XLOOKUP(E829, '06_BANG_GIA_VAT_TU_AP_DUNG'!B:B, '06_BANG_GIA_VAT_TU_AP_DUNG'!C:C, "LỖI_MÃ_VT")</f>
        <v/>
      </c>
      <c r="K829" s="2">
        <f>I829*J829</f>
        <v/>
      </c>
      <c r="L829" t="inlineStr">
        <is>
          <t>Cơ cấu liên động bánh răng van</t>
        </is>
      </c>
    </row>
    <row r="830">
      <c r="A830" t="inlineStr">
        <is>
          <t>SW-DAMPER-225-FUSE</t>
        </is>
      </c>
      <c r="B830" t="inlineStr">
        <is>
          <t>SW-DAMPER-225</t>
        </is>
      </c>
      <c r="C830" t="inlineStr">
        <is>
          <t>Cầu chì nhiệt nóng chảy 70°C (Elsie/USA)</t>
        </is>
      </c>
      <c r="D830" t="inlineStr">
        <is>
          <t>PHỤ_KIỆN_VAN</t>
        </is>
      </c>
      <c r="E830" t="inlineStr">
        <is>
          <t>MAT-DAMPER-CAU-CHI-USA-1-400X400</t>
        </is>
      </c>
      <c r="F830" t="inlineStr">
        <is>
          <t>Cái</t>
        </is>
      </c>
      <c r="G830" s="4" t="n">
        <v>1</v>
      </c>
      <c r="H830" s="2">
        <f>XLOOKUP(B830, '00_TONG_HOP_BAO_GIA'!B:B, '00_TONG_HOP_BAO_GIA'!G:G, 1)</f>
        <v/>
      </c>
      <c r="I830" s="5">
        <f>G830*H830</f>
        <v/>
      </c>
      <c r="J830" s="2">
        <f>XLOOKUP(E830, '06_BANG_GIA_VAT_TU_AP_DUNG'!B:B, '06_BANG_GIA_VAT_TU_AP_DUNG'!C:C, "LỖI_MÃ_VT")</f>
        <v/>
      </c>
      <c r="K830" s="2">
        <f>I830*J830</f>
        <v/>
      </c>
      <c r="L830" t="inlineStr">
        <is>
          <t>Cầu chì kiểm định PCCC</t>
        </is>
      </c>
    </row>
    <row r="831">
      <c r="A831" t="inlineStr">
        <is>
          <t>SW-DAMPER-226-BODY</t>
        </is>
      </c>
      <c r="B831" t="inlineStr">
        <is>
          <t>SW-DAMPER-226</t>
        </is>
      </c>
      <c r="C831" t="inlineStr">
        <is>
          <t>Thân vỏ van FD bích TDF (0.75mm)</t>
        </is>
      </c>
      <c r="D831" t="inlineStr">
        <is>
          <t>TÔN_CUỘN_MẠ_KẼM</t>
        </is>
      </c>
      <c r="E831" t="inlineStr">
        <is>
          <t>MAT-STEEL-PN-0.75</t>
        </is>
      </c>
      <c r="F831" t="inlineStr">
        <is>
          <t>kg</t>
        </is>
      </c>
      <c r="G831" s="4" t="n">
        <v>2.650788</v>
      </c>
      <c r="H831" s="2">
        <f>XLOOKUP(B831, '00_TONG_HOP_BAO_GIA'!B:B, '00_TONG_HOP_BAO_GIA'!G:G, 1)</f>
        <v/>
      </c>
      <c r="I831" s="5">
        <f>G831*H831</f>
        <v/>
      </c>
      <c r="J831" s="2">
        <f>XLOOKUP(E831, '06_BANG_GIA_VAT_TU_AP_DUNG'!B:B, '06_BANG_GIA_VAT_TU_AP_DUNG'!C:C, "LỖI_MÃ_VT")</f>
        <v/>
      </c>
      <c r="K831" s="2">
        <f>I831*J831</f>
        <v/>
      </c>
      <c r="L831" t="inlineStr">
        <is>
          <t>Kích thước vỏ 350.0x300.0x250mm</t>
        </is>
      </c>
    </row>
    <row r="832">
      <c r="A832" t="inlineStr">
        <is>
          <t>SW-DAMPER-226-BLADE</t>
        </is>
      </c>
      <c r="B832" t="inlineStr">
        <is>
          <t>SW-DAMPER-226</t>
        </is>
      </c>
      <c r="C832" t="inlineStr">
        <is>
          <t>Lá cánh van (2 cánh overlap)</t>
        </is>
      </c>
      <c r="D832" t="inlineStr">
        <is>
          <t>TÔN_CUỘN_MẠ_KẼM</t>
        </is>
      </c>
      <c r="E832" t="inlineStr">
        <is>
          <t>MAT-STEEL-PN-0.75</t>
        </is>
      </c>
      <c r="F832" t="inlineStr">
        <is>
          <t>kg</t>
        </is>
      </c>
      <c r="G832" s="4" t="n">
        <v>0.7566614999999999</v>
      </c>
      <c r="H832" s="2">
        <f>XLOOKUP(B832, '00_TONG_HOP_BAO_GIA'!B:B, '00_TONG_HOP_BAO_GIA'!G:G, 1)</f>
        <v/>
      </c>
      <c r="I832" s="5">
        <f>G832*H832</f>
        <v/>
      </c>
      <c r="J832" s="2">
        <f>XLOOKUP(E832, '06_BANG_GIA_VAT_TU_AP_DUNG'!B:B, '06_BANG_GIA_VAT_TU_AP_DUNG'!C:C, "LỖI_MÃ_VT")</f>
        <v/>
      </c>
      <c r="K832" s="2">
        <f>I832*J832</f>
        <v/>
      </c>
      <c r="L832" t="inlineStr">
        <is>
          <t>2 cánh cao 170mm</t>
        </is>
      </c>
    </row>
    <row r="833">
      <c r="A833" t="inlineStr">
        <is>
          <t>SW-DAMPER-226-AXLE</t>
        </is>
      </c>
      <c r="B833" t="inlineStr">
        <is>
          <t>SW-DAMPER-226</t>
        </is>
      </c>
      <c r="C833" t="inlineStr">
        <is>
          <t>Trục Sus 201 D10</t>
        </is>
      </c>
      <c r="D833" t="inlineStr">
        <is>
          <t>PHỤ_KIỆN_VAN</t>
        </is>
      </c>
      <c r="E833" t="inlineStr">
        <is>
          <t>MAT-DAMPER-TRUC-SUS-201-D10</t>
        </is>
      </c>
      <c r="F833" t="inlineStr">
        <is>
          <t>m</t>
        </is>
      </c>
      <c r="G833" s="4" t="n">
        <v>0.82</v>
      </c>
      <c r="H833" s="2">
        <f>XLOOKUP(B833, '00_TONG_HOP_BAO_GIA'!B:B, '00_TONG_HOP_BAO_GIA'!G:G, 1)</f>
        <v/>
      </c>
      <c r="I833" s="5">
        <f>G833*H833</f>
        <v/>
      </c>
      <c r="J833" s="2">
        <f>XLOOKUP(E833, '06_BANG_GIA_VAT_TU_AP_DUNG'!B:B, '06_BANG_GIA_VAT_TU_AP_DUNG'!C:C, "LỖI_MÃ_VT")</f>
        <v/>
      </c>
      <c r="K833" s="2">
        <f>I833*J833</f>
        <v/>
      </c>
      <c r="L833" t="inlineStr">
        <is>
          <t>2 trục dài 410mm</t>
        </is>
      </c>
    </row>
    <row r="834">
      <c r="A834" t="inlineStr">
        <is>
          <t>SW-DAMPER-226-BEARING</t>
        </is>
      </c>
      <c r="B834" t="inlineStr">
        <is>
          <t>SW-DAMPER-226</t>
        </is>
      </c>
      <c r="C834" t="inlineStr">
        <is>
          <t>Bạc đồng D10</t>
        </is>
      </c>
      <c r="D834" t="inlineStr">
        <is>
          <t>PHỤ_KIỆN_VAN</t>
        </is>
      </c>
      <c r="E834" t="inlineStr">
        <is>
          <t>MAT-DAMPER-BAC-DONG-D10</t>
        </is>
      </c>
      <c r="F834" t="inlineStr">
        <is>
          <t>Đôi</t>
        </is>
      </c>
      <c r="G834" s="4" t="n">
        <v>2</v>
      </c>
      <c r="H834" s="2">
        <f>XLOOKUP(B834, '00_TONG_HOP_BAO_GIA'!B:B, '00_TONG_HOP_BAO_GIA'!G:G, 1)</f>
        <v/>
      </c>
      <c r="I834" s="5">
        <f>G834*H834</f>
        <v/>
      </c>
      <c r="J834" s="2">
        <f>XLOOKUP(E834, '06_BANG_GIA_VAT_TU_AP_DUNG'!B:B, '06_BANG_GIA_VAT_TU_AP_DUNG'!C:C, "LỖI_MÃ_VT")</f>
        <v/>
      </c>
      <c r="K834" s="2">
        <f>I834*J834</f>
        <v/>
      </c>
      <c r="L834" t="inlineStr">
        <is>
          <t>2 đôi bạc đỡ 2 bên thân</t>
        </is>
      </c>
    </row>
    <row r="835">
      <c r="A835" t="inlineStr">
        <is>
          <t>SW-DAMPER-226-GEAR</t>
        </is>
      </c>
      <c r="B835" t="inlineStr">
        <is>
          <t>SW-DAMPER-226</t>
        </is>
      </c>
      <c r="C835" t="inlineStr">
        <is>
          <t>Bánh răng van nhôm</t>
        </is>
      </c>
      <c r="D835" t="inlineStr">
        <is>
          <t>PHỤ_KIỆN_VAN</t>
        </is>
      </c>
      <c r="E835" t="inlineStr">
        <is>
          <t>MAT-DAMPER-BANH-RANG-VAN-NHOM</t>
        </is>
      </c>
      <c r="F835" t="inlineStr">
        <is>
          <t>Bộ</t>
        </is>
      </c>
      <c r="G835" s="4" t="n">
        <v>1</v>
      </c>
      <c r="H835" s="2">
        <f>XLOOKUP(B835, '00_TONG_HOP_BAO_GIA'!B:B, '00_TONG_HOP_BAO_GIA'!G:G, 1)</f>
        <v/>
      </c>
      <c r="I835" s="5">
        <f>G835*H835</f>
        <v/>
      </c>
      <c r="J835" s="2">
        <f>XLOOKUP(E835, '06_BANG_GIA_VAT_TU_AP_DUNG'!B:B, '06_BANG_GIA_VAT_TU_AP_DUNG'!C:C, "LỖI_MÃ_VT")</f>
        <v/>
      </c>
      <c r="K835" s="2">
        <f>I835*J835</f>
        <v/>
      </c>
      <c r="L835" t="inlineStr">
        <is>
          <t>Cơ cấu liên động bánh răng van</t>
        </is>
      </c>
    </row>
    <row r="836">
      <c r="A836" t="inlineStr">
        <is>
          <t>SW-DAMPER-226-FUSE</t>
        </is>
      </c>
      <c r="B836" t="inlineStr">
        <is>
          <t>SW-DAMPER-226</t>
        </is>
      </c>
      <c r="C836" t="inlineStr">
        <is>
          <t>Cầu chì nhiệt nóng chảy 70°C (Elsie/USA)</t>
        </is>
      </c>
      <c r="D836" t="inlineStr">
        <is>
          <t>PHỤ_KIỆN_VAN</t>
        </is>
      </c>
      <c r="E836" t="inlineStr">
        <is>
          <t>MAT-DAMPER-CAU-CHI-USA-1-400X400</t>
        </is>
      </c>
      <c r="F836" t="inlineStr">
        <is>
          <t>Cái</t>
        </is>
      </c>
      <c r="G836" s="4" t="n">
        <v>1</v>
      </c>
      <c r="H836" s="2">
        <f>XLOOKUP(B836, '00_TONG_HOP_BAO_GIA'!B:B, '00_TONG_HOP_BAO_GIA'!G:G, 1)</f>
        <v/>
      </c>
      <c r="I836" s="5">
        <f>G836*H836</f>
        <v/>
      </c>
      <c r="J836" s="2">
        <f>XLOOKUP(E836, '06_BANG_GIA_VAT_TU_AP_DUNG'!B:B, '06_BANG_GIA_VAT_TU_AP_DUNG'!C:C, "LỖI_MÃ_VT")</f>
        <v/>
      </c>
      <c r="K836" s="2">
        <f>I836*J836</f>
        <v/>
      </c>
      <c r="L836" t="inlineStr">
        <is>
          <t>Cầu chì kiểm định PCCC</t>
        </is>
      </c>
    </row>
    <row r="837">
      <c r="A837" t="inlineStr">
        <is>
          <t>SW-DAMPER-227-BODY</t>
        </is>
      </c>
      <c r="B837" t="inlineStr">
        <is>
          <t>SW-DAMPER-227</t>
        </is>
      </c>
      <c r="C837" t="inlineStr">
        <is>
          <t>Thân vỏ van FD bích TDF (0.75mm)</t>
        </is>
      </c>
      <c r="D837" t="inlineStr">
        <is>
          <t>TÔN_CUỘN_MẠ_KẼM</t>
        </is>
      </c>
      <c r="E837" t="inlineStr">
        <is>
          <t>MAT-STEEL-PN-0.75</t>
        </is>
      </c>
      <c r="F837" t="inlineStr">
        <is>
          <t>kg</t>
        </is>
      </c>
      <c r="G837" s="4" t="n">
        <v>2.848608</v>
      </c>
      <c r="H837" s="2">
        <f>XLOOKUP(B837, '00_TONG_HOP_BAO_GIA'!B:B, '00_TONG_HOP_BAO_GIA'!G:G, 1)</f>
        <v/>
      </c>
      <c r="I837" s="5">
        <f>G837*H837</f>
        <v/>
      </c>
      <c r="J837" s="2">
        <f>XLOOKUP(E837, '06_BANG_GIA_VAT_TU_AP_DUNG'!B:B, '06_BANG_GIA_VAT_TU_AP_DUNG'!C:C, "LỖI_MÃ_VT")</f>
        <v/>
      </c>
      <c r="K837" s="2">
        <f>I837*J837</f>
        <v/>
      </c>
      <c r="L837" t="inlineStr">
        <is>
          <t>Kích thước vỏ 350.0x350.0x250mm</t>
        </is>
      </c>
    </row>
    <row r="838">
      <c r="A838" t="inlineStr">
        <is>
          <t>SW-DAMPER-227-BLADE</t>
        </is>
      </c>
      <c r="B838" t="inlineStr">
        <is>
          <t>SW-DAMPER-227</t>
        </is>
      </c>
      <c r="C838" t="inlineStr">
        <is>
          <t>Lá cánh van (2 cánh overlap)</t>
        </is>
      </c>
      <c r="D838" t="inlineStr">
        <is>
          <t>TÔN_CUỘN_MẠ_KẼM</t>
        </is>
      </c>
      <c r="E838" t="inlineStr">
        <is>
          <t>MAT-STEEL-PN-0.75</t>
        </is>
      </c>
      <c r="F838" t="inlineStr">
        <is>
          <t>kg</t>
        </is>
      </c>
      <c r="G838" s="4" t="n">
        <v>0.8679352499999998</v>
      </c>
      <c r="H838" s="2">
        <f>XLOOKUP(B838, '00_TONG_HOP_BAO_GIA'!B:B, '00_TONG_HOP_BAO_GIA'!G:G, 1)</f>
        <v/>
      </c>
      <c r="I838" s="5">
        <f>G838*H838</f>
        <v/>
      </c>
      <c r="J838" s="2">
        <f>XLOOKUP(E838, '06_BANG_GIA_VAT_TU_AP_DUNG'!B:B, '06_BANG_GIA_VAT_TU_AP_DUNG'!C:C, "LỖI_MÃ_VT")</f>
        <v/>
      </c>
      <c r="K838" s="2">
        <f>I838*J838</f>
        <v/>
      </c>
      <c r="L838" t="inlineStr">
        <is>
          <t>2 cánh cao 195mm</t>
        </is>
      </c>
    </row>
    <row r="839">
      <c r="A839" t="inlineStr">
        <is>
          <t>SW-DAMPER-227-AXLE</t>
        </is>
      </c>
      <c r="B839" t="inlineStr">
        <is>
          <t>SW-DAMPER-227</t>
        </is>
      </c>
      <c r="C839" t="inlineStr">
        <is>
          <t>Trục Sus 201 D10</t>
        </is>
      </c>
      <c r="D839" t="inlineStr">
        <is>
          <t>PHỤ_KIỆN_VAN</t>
        </is>
      </c>
      <c r="E839" t="inlineStr">
        <is>
          <t>MAT-DAMPER-TRUC-SUS-201-D10</t>
        </is>
      </c>
      <c r="F839" t="inlineStr">
        <is>
          <t>m</t>
        </is>
      </c>
      <c r="G839" s="4" t="n">
        <v>0.82</v>
      </c>
      <c r="H839" s="2">
        <f>XLOOKUP(B839, '00_TONG_HOP_BAO_GIA'!B:B, '00_TONG_HOP_BAO_GIA'!G:G, 1)</f>
        <v/>
      </c>
      <c r="I839" s="5">
        <f>G839*H839</f>
        <v/>
      </c>
      <c r="J839" s="2">
        <f>XLOOKUP(E839, '06_BANG_GIA_VAT_TU_AP_DUNG'!B:B, '06_BANG_GIA_VAT_TU_AP_DUNG'!C:C, "LỖI_MÃ_VT")</f>
        <v/>
      </c>
      <c r="K839" s="2">
        <f>I839*J839</f>
        <v/>
      </c>
      <c r="L839" t="inlineStr">
        <is>
          <t>2 trục dài 410mm</t>
        </is>
      </c>
    </row>
    <row r="840">
      <c r="A840" t="inlineStr">
        <is>
          <t>SW-DAMPER-227-BEARING</t>
        </is>
      </c>
      <c r="B840" t="inlineStr">
        <is>
          <t>SW-DAMPER-227</t>
        </is>
      </c>
      <c r="C840" t="inlineStr">
        <is>
          <t>Bạc đồng D10</t>
        </is>
      </c>
      <c r="D840" t="inlineStr">
        <is>
          <t>PHỤ_KIỆN_VAN</t>
        </is>
      </c>
      <c r="E840" t="inlineStr">
        <is>
          <t>MAT-DAMPER-BAC-DONG-D10</t>
        </is>
      </c>
      <c r="F840" t="inlineStr">
        <is>
          <t>Đôi</t>
        </is>
      </c>
      <c r="G840" s="4" t="n">
        <v>2</v>
      </c>
      <c r="H840" s="2">
        <f>XLOOKUP(B840, '00_TONG_HOP_BAO_GIA'!B:B, '00_TONG_HOP_BAO_GIA'!G:G, 1)</f>
        <v/>
      </c>
      <c r="I840" s="5">
        <f>G840*H840</f>
        <v/>
      </c>
      <c r="J840" s="2">
        <f>XLOOKUP(E840, '06_BANG_GIA_VAT_TU_AP_DUNG'!B:B, '06_BANG_GIA_VAT_TU_AP_DUNG'!C:C, "LỖI_MÃ_VT")</f>
        <v/>
      </c>
      <c r="K840" s="2">
        <f>I840*J840</f>
        <v/>
      </c>
      <c r="L840" t="inlineStr">
        <is>
          <t>2 đôi bạc đỡ 2 bên thân</t>
        </is>
      </c>
    </row>
    <row r="841">
      <c r="A841" t="inlineStr">
        <is>
          <t>SW-DAMPER-227-GEAR</t>
        </is>
      </c>
      <c r="B841" t="inlineStr">
        <is>
          <t>SW-DAMPER-227</t>
        </is>
      </c>
      <c r="C841" t="inlineStr">
        <is>
          <t>Bánh răng van nhôm</t>
        </is>
      </c>
      <c r="D841" t="inlineStr">
        <is>
          <t>PHỤ_KIỆN_VAN</t>
        </is>
      </c>
      <c r="E841" t="inlineStr">
        <is>
          <t>MAT-DAMPER-BANH-RANG-VAN-NHOM</t>
        </is>
      </c>
      <c r="F841" t="inlineStr">
        <is>
          <t>Bộ</t>
        </is>
      </c>
      <c r="G841" s="4" t="n">
        <v>1</v>
      </c>
      <c r="H841" s="2">
        <f>XLOOKUP(B841, '00_TONG_HOP_BAO_GIA'!B:B, '00_TONG_HOP_BAO_GIA'!G:G, 1)</f>
        <v/>
      </c>
      <c r="I841" s="5">
        <f>G841*H841</f>
        <v/>
      </c>
      <c r="J841" s="2">
        <f>XLOOKUP(E841, '06_BANG_GIA_VAT_TU_AP_DUNG'!B:B, '06_BANG_GIA_VAT_TU_AP_DUNG'!C:C, "LỖI_MÃ_VT")</f>
        <v/>
      </c>
      <c r="K841" s="2">
        <f>I841*J841</f>
        <v/>
      </c>
      <c r="L841" t="inlineStr">
        <is>
          <t>Cơ cấu liên động bánh răng van</t>
        </is>
      </c>
    </row>
    <row r="842">
      <c r="A842" t="inlineStr">
        <is>
          <t>SW-DAMPER-227-FUSE</t>
        </is>
      </c>
      <c r="B842" t="inlineStr">
        <is>
          <t>SW-DAMPER-227</t>
        </is>
      </c>
      <c r="C842" t="inlineStr">
        <is>
          <t>Cầu chì nhiệt nóng chảy 70°C (Elsie/USA)</t>
        </is>
      </c>
      <c r="D842" t="inlineStr">
        <is>
          <t>PHỤ_KIỆN_VAN</t>
        </is>
      </c>
      <c r="E842" t="inlineStr">
        <is>
          <t>MAT-DAMPER-CAU-CHI-USA-1-400X400</t>
        </is>
      </c>
      <c r="F842" t="inlineStr">
        <is>
          <t>Cái</t>
        </is>
      </c>
      <c r="G842" s="4" t="n">
        <v>1</v>
      </c>
      <c r="H842" s="2">
        <f>XLOOKUP(B842, '00_TONG_HOP_BAO_GIA'!B:B, '00_TONG_HOP_BAO_GIA'!G:G, 1)</f>
        <v/>
      </c>
      <c r="I842" s="5">
        <f>G842*H842</f>
        <v/>
      </c>
      <c r="J842" s="2">
        <f>XLOOKUP(E842, '06_BANG_GIA_VAT_TU_AP_DUNG'!B:B, '06_BANG_GIA_VAT_TU_AP_DUNG'!C:C, "LỖI_MÃ_VT")</f>
        <v/>
      </c>
      <c r="K842" s="2">
        <f>I842*J842</f>
        <v/>
      </c>
      <c r="L842" t="inlineStr">
        <is>
          <t>Cầu chì kiểm định PCCC</t>
        </is>
      </c>
    </row>
    <row r="843">
      <c r="A843" t="inlineStr">
        <is>
          <t>SW-DAMPER-228-BODY</t>
        </is>
      </c>
      <c r="B843" t="inlineStr">
        <is>
          <t>SW-DAMPER-228</t>
        </is>
      </c>
      <c r="C843" t="inlineStr">
        <is>
          <t>Thân vỏ van FD bích TDF (0.75mm)</t>
        </is>
      </c>
      <c r="D843" t="inlineStr">
        <is>
          <t>TÔN_CUỘN_MẠ_KẼM</t>
        </is>
      </c>
      <c r="E843" t="inlineStr">
        <is>
          <t>MAT-STEEL-PN-0.75</t>
        </is>
      </c>
      <c r="F843" t="inlineStr">
        <is>
          <t>kg</t>
        </is>
      </c>
      <c r="G843" s="4" t="n">
        <v>2.848608</v>
      </c>
      <c r="H843" s="2">
        <f>XLOOKUP(B843, '00_TONG_HOP_BAO_GIA'!B:B, '00_TONG_HOP_BAO_GIA'!G:G, 1)</f>
        <v/>
      </c>
      <c r="I843" s="5">
        <f>G843*H843</f>
        <v/>
      </c>
      <c r="J843" s="2">
        <f>XLOOKUP(E843, '06_BANG_GIA_VAT_TU_AP_DUNG'!B:B, '06_BANG_GIA_VAT_TU_AP_DUNG'!C:C, "LỖI_MÃ_VT")</f>
        <v/>
      </c>
      <c r="K843" s="2">
        <f>I843*J843</f>
        <v/>
      </c>
      <c r="L843" t="inlineStr">
        <is>
          <t>Kích thước vỏ 400.0x300.0x250mm</t>
        </is>
      </c>
    </row>
    <row r="844">
      <c r="A844" t="inlineStr">
        <is>
          <t>SW-DAMPER-228-BLADE</t>
        </is>
      </c>
      <c r="B844" t="inlineStr">
        <is>
          <t>SW-DAMPER-228</t>
        </is>
      </c>
      <c r="C844" t="inlineStr">
        <is>
          <t>Lá cánh van (2 cánh overlap)</t>
        </is>
      </c>
      <c r="D844" t="inlineStr">
        <is>
          <t>TÔN_CUỘN_MẠ_KẼM</t>
        </is>
      </c>
      <c r="E844" t="inlineStr">
        <is>
          <t>MAT-STEEL-PN-0.75</t>
        </is>
      </c>
      <c r="F844" t="inlineStr">
        <is>
          <t>kg</t>
        </is>
      </c>
      <c r="G844" s="4" t="n">
        <v>0.864756</v>
      </c>
      <c r="H844" s="2">
        <f>XLOOKUP(B844, '00_TONG_HOP_BAO_GIA'!B:B, '00_TONG_HOP_BAO_GIA'!G:G, 1)</f>
        <v/>
      </c>
      <c r="I844" s="5">
        <f>G844*H844</f>
        <v/>
      </c>
      <c r="J844" s="2">
        <f>XLOOKUP(E844, '06_BANG_GIA_VAT_TU_AP_DUNG'!B:B, '06_BANG_GIA_VAT_TU_AP_DUNG'!C:C, "LỖI_MÃ_VT")</f>
        <v/>
      </c>
      <c r="K844" s="2">
        <f>I844*J844</f>
        <v/>
      </c>
      <c r="L844" t="inlineStr">
        <is>
          <t>2 cánh cao 170mm</t>
        </is>
      </c>
    </row>
    <row r="845">
      <c r="A845" t="inlineStr">
        <is>
          <t>SW-DAMPER-228-AXLE</t>
        </is>
      </c>
      <c r="B845" t="inlineStr">
        <is>
          <t>SW-DAMPER-228</t>
        </is>
      </c>
      <c r="C845" t="inlineStr">
        <is>
          <t>Trục Sus 201 D10</t>
        </is>
      </c>
      <c r="D845" t="inlineStr">
        <is>
          <t>PHỤ_KIỆN_VAN</t>
        </is>
      </c>
      <c r="E845" t="inlineStr">
        <is>
          <t>MAT-DAMPER-TRUC-SUS-201-D10</t>
        </is>
      </c>
      <c r="F845" t="inlineStr">
        <is>
          <t>m</t>
        </is>
      </c>
      <c r="G845" s="4" t="n">
        <v>0.92</v>
      </c>
      <c r="H845" s="2">
        <f>XLOOKUP(B845, '00_TONG_HOP_BAO_GIA'!B:B, '00_TONG_HOP_BAO_GIA'!G:G, 1)</f>
        <v/>
      </c>
      <c r="I845" s="5">
        <f>G845*H845</f>
        <v/>
      </c>
      <c r="J845" s="2">
        <f>XLOOKUP(E845, '06_BANG_GIA_VAT_TU_AP_DUNG'!B:B, '06_BANG_GIA_VAT_TU_AP_DUNG'!C:C, "LỖI_MÃ_VT")</f>
        <v/>
      </c>
      <c r="K845" s="2">
        <f>I845*J845</f>
        <v/>
      </c>
      <c r="L845" t="inlineStr">
        <is>
          <t>2 trục dài 460mm</t>
        </is>
      </c>
    </row>
    <row r="846">
      <c r="A846" t="inlineStr">
        <is>
          <t>SW-DAMPER-228-BEARING</t>
        </is>
      </c>
      <c r="B846" t="inlineStr">
        <is>
          <t>SW-DAMPER-228</t>
        </is>
      </c>
      <c r="C846" t="inlineStr">
        <is>
          <t>Bạc đồng D10</t>
        </is>
      </c>
      <c r="D846" t="inlineStr">
        <is>
          <t>PHỤ_KIỆN_VAN</t>
        </is>
      </c>
      <c r="E846" t="inlineStr">
        <is>
          <t>MAT-DAMPER-BAC-DONG-D10</t>
        </is>
      </c>
      <c r="F846" t="inlineStr">
        <is>
          <t>Đôi</t>
        </is>
      </c>
      <c r="G846" s="4" t="n">
        <v>2</v>
      </c>
      <c r="H846" s="2">
        <f>XLOOKUP(B846, '00_TONG_HOP_BAO_GIA'!B:B, '00_TONG_HOP_BAO_GIA'!G:G, 1)</f>
        <v/>
      </c>
      <c r="I846" s="5">
        <f>G846*H846</f>
        <v/>
      </c>
      <c r="J846" s="2">
        <f>XLOOKUP(E846, '06_BANG_GIA_VAT_TU_AP_DUNG'!B:B, '06_BANG_GIA_VAT_TU_AP_DUNG'!C:C, "LỖI_MÃ_VT")</f>
        <v/>
      </c>
      <c r="K846" s="2">
        <f>I846*J846</f>
        <v/>
      </c>
      <c r="L846" t="inlineStr">
        <is>
          <t>2 đôi bạc đỡ 2 bên thân</t>
        </is>
      </c>
    </row>
    <row r="847">
      <c r="A847" t="inlineStr">
        <is>
          <t>SW-DAMPER-228-GEAR</t>
        </is>
      </c>
      <c r="B847" t="inlineStr">
        <is>
          <t>SW-DAMPER-228</t>
        </is>
      </c>
      <c r="C847" t="inlineStr">
        <is>
          <t>Bánh răng van nhôm</t>
        </is>
      </c>
      <c r="D847" t="inlineStr">
        <is>
          <t>PHỤ_KIỆN_VAN</t>
        </is>
      </c>
      <c r="E847" t="inlineStr">
        <is>
          <t>MAT-DAMPER-BANH-RANG-VAN-NHOM</t>
        </is>
      </c>
      <c r="F847" t="inlineStr">
        <is>
          <t>Bộ</t>
        </is>
      </c>
      <c r="G847" s="4" t="n">
        <v>1</v>
      </c>
      <c r="H847" s="2">
        <f>XLOOKUP(B847, '00_TONG_HOP_BAO_GIA'!B:B, '00_TONG_HOP_BAO_GIA'!G:G, 1)</f>
        <v/>
      </c>
      <c r="I847" s="5">
        <f>G847*H847</f>
        <v/>
      </c>
      <c r="J847" s="2">
        <f>XLOOKUP(E847, '06_BANG_GIA_VAT_TU_AP_DUNG'!B:B, '06_BANG_GIA_VAT_TU_AP_DUNG'!C:C, "LỖI_MÃ_VT")</f>
        <v/>
      </c>
      <c r="K847" s="2">
        <f>I847*J847</f>
        <v/>
      </c>
      <c r="L847" t="inlineStr">
        <is>
          <t>Cơ cấu liên động bánh răng van</t>
        </is>
      </c>
    </row>
    <row r="848">
      <c r="A848" t="inlineStr">
        <is>
          <t>SW-DAMPER-228-FUSE</t>
        </is>
      </c>
      <c r="B848" t="inlineStr">
        <is>
          <t>SW-DAMPER-228</t>
        </is>
      </c>
      <c r="C848" t="inlineStr">
        <is>
          <t>Cầu chì nhiệt nóng chảy 70°C (Elsie/USA)</t>
        </is>
      </c>
      <c r="D848" t="inlineStr">
        <is>
          <t>PHỤ_KIỆN_VAN</t>
        </is>
      </c>
      <c r="E848" t="inlineStr">
        <is>
          <t>MAT-DAMPER-CAU-CHI-USA-2-400X400</t>
        </is>
      </c>
      <c r="F848" t="inlineStr">
        <is>
          <t>Cái</t>
        </is>
      </c>
      <c r="G848" s="4" t="n">
        <v>1</v>
      </c>
      <c r="H848" s="2">
        <f>XLOOKUP(B848, '00_TONG_HOP_BAO_GIA'!B:B, '00_TONG_HOP_BAO_GIA'!G:G, 1)</f>
        <v/>
      </c>
      <c r="I848" s="5">
        <f>G848*H848</f>
        <v/>
      </c>
      <c r="J848" s="2">
        <f>XLOOKUP(E848, '06_BANG_GIA_VAT_TU_AP_DUNG'!B:B, '06_BANG_GIA_VAT_TU_AP_DUNG'!C:C, "LỖI_MÃ_VT")</f>
        <v/>
      </c>
      <c r="K848" s="2">
        <f>I848*J848</f>
        <v/>
      </c>
      <c r="L848" t="inlineStr">
        <is>
          <t>Cầu chì kiểm định PCCC</t>
        </is>
      </c>
    </row>
    <row r="849">
      <c r="A849" t="inlineStr">
        <is>
          <t>SW-DAMPER-229-BODY</t>
        </is>
      </c>
      <c r="B849" t="inlineStr">
        <is>
          <t>SW-DAMPER-229</t>
        </is>
      </c>
      <c r="C849" t="inlineStr">
        <is>
          <t>Thân vỏ van FD bích TDF (0.75mm)</t>
        </is>
      </c>
      <c r="D849" t="inlineStr">
        <is>
          <t>TÔN_CUỘN_MẠ_KẼM</t>
        </is>
      </c>
      <c r="E849" t="inlineStr">
        <is>
          <t>MAT-STEEL-PN-0.75</t>
        </is>
      </c>
      <c r="F849" t="inlineStr">
        <is>
          <t>kg</t>
        </is>
      </c>
      <c r="G849" s="4" t="n">
        <v>2.650788</v>
      </c>
      <c r="H849" s="2">
        <f>XLOOKUP(B849, '00_TONG_HOP_BAO_GIA'!B:B, '00_TONG_HOP_BAO_GIA'!G:G, 1)</f>
        <v/>
      </c>
      <c r="I849" s="5">
        <f>G849*H849</f>
        <v/>
      </c>
      <c r="J849" s="2">
        <f>XLOOKUP(E849, '06_BANG_GIA_VAT_TU_AP_DUNG'!B:B, '06_BANG_GIA_VAT_TU_AP_DUNG'!C:C, "LỖI_MÃ_VT")</f>
        <v/>
      </c>
      <c r="K849" s="2">
        <f>I849*J849</f>
        <v/>
      </c>
      <c r="L849" t="inlineStr">
        <is>
          <t>Kích thước vỏ 450.0x200.0x250mm</t>
        </is>
      </c>
    </row>
    <row r="850">
      <c r="A850" t="inlineStr">
        <is>
          <t>SW-DAMPER-229-BLADE</t>
        </is>
      </c>
      <c r="B850" t="inlineStr">
        <is>
          <t>SW-DAMPER-229</t>
        </is>
      </c>
      <c r="C850" t="inlineStr">
        <is>
          <t>Lá cánh van (2 cánh overlap)</t>
        </is>
      </c>
      <c r="D850" t="inlineStr">
        <is>
          <t>TÔN_CUỘN_MẠ_KẼM</t>
        </is>
      </c>
      <c r="E850" t="inlineStr">
        <is>
          <t>MAT-STEEL-PN-0.75</t>
        </is>
      </c>
      <c r="F850" t="inlineStr">
        <is>
          <t>kg</t>
        </is>
      </c>
      <c r="G850" s="4" t="n">
        <v>0.6867179999999999</v>
      </c>
      <c r="H850" s="2">
        <f>XLOOKUP(B850, '00_TONG_HOP_BAO_GIA'!B:B, '00_TONG_HOP_BAO_GIA'!G:G, 1)</f>
        <v/>
      </c>
      <c r="I850" s="5">
        <f>G850*H850</f>
        <v/>
      </c>
      <c r="J850" s="2">
        <f>XLOOKUP(E850, '06_BANG_GIA_VAT_TU_AP_DUNG'!B:B, '06_BANG_GIA_VAT_TU_AP_DUNG'!C:C, "LỖI_MÃ_VT")</f>
        <v/>
      </c>
      <c r="K850" s="2">
        <f>I850*J850</f>
        <v/>
      </c>
      <c r="L850" t="inlineStr">
        <is>
          <t>2 cánh cao 120mm</t>
        </is>
      </c>
    </row>
    <row r="851">
      <c r="A851" t="inlineStr">
        <is>
          <t>SW-DAMPER-229-AXLE</t>
        </is>
      </c>
      <c r="B851" t="inlineStr">
        <is>
          <t>SW-DAMPER-229</t>
        </is>
      </c>
      <c r="C851" t="inlineStr">
        <is>
          <t>Trục Sus 201 D10</t>
        </is>
      </c>
      <c r="D851" t="inlineStr">
        <is>
          <t>PHỤ_KIỆN_VAN</t>
        </is>
      </c>
      <c r="E851" t="inlineStr">
        <is>
          <t>MAT-DAMPER-TRUC-SUS-201-D10</t>
        </is>
      </c>
      <c r="F851" t="inlineStr">
        <is>
          <t>m</t>
        </is>
      </c>
      <c r="G851" s="4" t="n">
        <v>1.02</v>
      </c>
      <c r="H851" s="2">
        <f>XLOOKUP(B851, '00_TONG_HOP_BAO_GIA'!B:B, '00_TONG_HOP_BAO_GIA'!G:G, 1)</f>
        <v/>
      </c>
      <c r="I851" s="5">
        <f>G851*H851</f>
        <v/>
      </c>
      <c r="J851" s="2">
        <f>XLOOKUP(E851, '06_BANG_GIA_VAT_TU_AP_DUNG'!B:B, '06_BANG_GIA_VAT_TU_AP_DUNG'!C:C, "LỖI_MÃ_VT")</f>
        <v/>
      </c>
      <c r="K851" s="2">
        <f>I851*J851</f>
        <v/>
      </c>
      <c r="L851" t="inlineStr">
        <is>
          <t>2 trục dài 510mm</t>
        </is>
      </c>
    </row>
    <row r="852">
      <c r="A852" t="inlineStr">
        <is>
          <t>SW-DAMPER-229-BEARING</t>
        </is>
      </c>
      <c r="B852" t="inlineStr">
        <is>
          <t>SW-DAMPER-229</t>
        </is>
      </c>
      <c r="C852" t="inlineStr">
        <is>
          <t>Bạc đồng D10</t>
        </is>
      </c>
      <c r="D852" t="inlineStr">
        <is>
          <t>PHỤ_KIỆN_VAN</t>
        </is>
      </c>
      <c r="E852" t="inlineStr">
        <is>
          <t>MAT-DAMPER-BAC-DONG-D10</t>
        </is>
      </c>
      <c r="F852" t="inlineStr">
        <is>
          <t>Đôi</t>
        </is>
      </c>
      <c r="G852" s="4" t="n">
        <v>2</v>
      </c>
      <c r="H852" s="2">
        <f>XLOOKUP(B852, '00_TONG_HOP_BAO_GIA'!B:B, '00_TONG_HOP_BAO_GIA'!G:G, 1)</f>
        <v/>
      </c>
      <c r="I852" s="5">
        <f>G852*H852</f>
        <v/>
      </c>
      <c r="J852" s="2">
        <f>XLOOKUP(E852, '06_BANG_GIA_VAT_TU_AP_DUNG'!B:B, '06_BANG_GIA_VAT_TU_AP_DUNG'!C:C, "LỖI_MÃ_VT")</f>
        <v/>
      </c>
      <c r="K852" s="2">
        <f>I852*J852</f>
        <v/>
      </c>
      <c r="L852" t="inlineStr">
        <is>
          <t>2 đôi bạc đỡ 2 bên thân</t>
        </is>
      </c>
    </row>
    <row r="853">
      <c r="A853" t="inlineStr">
        <is>
          <t>SW-DAMPER-229-GEAR</t>
        </is>
      </c>
      <c r="B853" t="inlineStr">
        <is>
          <t>SW-DAMPER-229</t>
        </is>
      </c>
      <c r="C853" t="inlineStr">
        <is>
          <t>Bánh răng van nhôm</t>
        </is>
      </c>
      <c r="D853" t="inlineStr">
        <is>
          <t>PHỤ_KIỆN_VAN</t>
        </is>
      </c>
      <c r="E853" t="inlineStr">
        <is>
          <t>MAT-DAMPER-BANH-RANG-VAN-NHOM</t>
        </is>
      </c>
      <c r="F853" t="inlineStr">
        <is>
          <t>Bộ</t>
        </is>
      </c>
      <c r="G853" s="4" t="n">
        <v>1</v>
      </c>
      <c r="H853" s="2">
        <f>XLOOKUP(B853, '00_TONG_HOP_BAO_GIA'!B:B, '00_TONG_HOP_BAO_GIA'!G:G, 1)</f>
        <v/>
      </c>
      <c r="I853" s="5">
        <f>G853*H853</f>
        <v/>
      </c>
      <c r="J853" s="2">
        <f>XLOOKUP(E853, '06_BANG_GIA_VAT_TU_AP_DUNG'!B:B, '06_BANG_GIA_VAT_TU_AP_DUNG'!C:C, "LỖI_MÃ_VT")</f>
        <v/>
      </c>
      <c r="K853" s="2">
        <f>I853*J853</f>
        <v/>
      </c>
      <c r="L853" t="inlineStr">
        <is>
          <t>Cơ cấu liên động bánh răng van</t>
        </is>
      </c>
    </row>
    <row r="854">
      <c r="A854" t="inlineStr">
        <is>
          <t>SW-DAMPER-229-FUSE</t>
        </is>
      </c>
      <c r="B854" t="inlineStr">
        <is>
          <t>SW-DAMPER-229</t>
        </is>
      </c>
      <c r="C854" t="inlineStr">
        <is>
          <t>Cầu chì nhiệt nóng chảy 70°C (Elsie/USA)</t>
        </is>
      </c>
      <c r="D854" t="inlineStr">
        <is>
          <t>PHỤ_KIỆN_VAN</t>
        </is>
      </c>
      <c r="E854" t="inlineStr">
        <is>
          <t>MAT-DAMPER-CAU-CHI-USA-2-400X400</t>
        </is>
      </c>
      <c r="F854" t="inlineStr">
        <is>
          <t>Cái</t>
        </is>
      </c>
      <c r="G854" s="4" t="n">
        <v>1</v>
      </c>
      <c r="H854" s="2">
        <f>XLOOKUP(B854, '00_TONG_HOP_BAO_GIA'!B:B, '00_TONG_HOP_BAO_GIA'!G:G, 1)</f>
        <v/>
      </c>
      <c r="I854" s="5">
        <f>G854*H854</f>
        <v/>
      </c>
      <c r="J854" s="2">
        <f>XLOOKUP(E854, '06_BANG_GIA_VAT_TU_AP_DUNG'!B:B, '06_BANG_GIA_VAT_TU_AP_DUNG'!C:C, "LỖI_MÃ_VT")</f>
        <v/>
      </c>
      <c r="K854" s="2">
        <f>I854*J854</f>
        <v/>
      </c>
      <c r="L854" t="inlineStr">
        <is>
          <t>Cầu chì kiểm định PCCC</t>
        </is>
      </c>
    </row>
    <row r="855">
      <c r="A855" t="inlineStr">
        <is>
          <t>SW-DAMPER-230-BODY</t>
        </is>
      </c>
      <c r="B855" t="inlineStr">
        <is>
          <t>SW-DAMPER-230</t>
        </is>
      </c>
      <c r="C855" t="inlineStr">
        <is>
          <t>Thân vỏ van FD bích TDF (0.75mm)</t>
        </is>
      </c>
      <c r="D855" t="inlineStr">
        <is>
          <t>TÔN_CUỘN_MẠ_KẼM</t>
        </is>
      </c>
      <c r="E855" t="inlineStr">
        <is>
          <t>MAT-STEEL-PN-0.75</t>
        </is>
      </c>
      <c r="F855" t="inlineStr">
        <is>
          <t>kg</t>
        </is>
      </c>
      <c r="G855" s="4" t="n">
        <v>3.244247999999999</v>
      </c>
      <c r="H855" s="2">
        <f>XLOOKUP(B855, '00_TONG_HOP_BAO_GIA'!B:B, '00_TONG_HOP_BAO_GIA'!G:G, 1)</f>
        <v/>
      </c>
      <c r="I855" s="5">
        <f>G855*H855</f>
        <v/>
      </c>
      <c r="J855" s="2">
        <f>XLOOKUP(E855, '06_BANG_GIA_VAT_TU_AP_DUNG'!B:B, '06_BANG_GIA_VAT_TU_AP_DUNG'!C:C, "LỖI_MÃ_VT")</f>
        <v/>
      </c>
      <c r="K855" s="2">
        <f>I855*J855</f>
        <v/>
      </c>
      <c r="L855" t="inlineStr">
        <is>
          <t>Kích thước vỏ 600.0x200.0x250mm</t>
        </is>
      </c>
    </row>
    <row r="856">
      <c r="A856" t="inlineStr">
        <is>
          <t>SW-DAMPER-230-BLADE</t>
        </is>
      </c>
      <c r="B856" t="inlineStr">
        <is>
          <t>SW-DAMPER-230</t>
        </is>
      </c>
      <c r="C856" t="inlineStr">
        <is>
          <t>Lá cánh van (2 cánh overlap)</t>
        </is>
      </c>
      <c r="D856" t="inlineStr">
        <is>
          <t>TÔN_CUỘN_MẠ_KẼM</t>
        </is>
      </c>
      <c r="E856" t="inlineStr">
        <is>
          <t>MAT-STEEL-PN-0.75</t>
        </is>
      </c>
      <c r="F856" t="inlineStr">
        <is>
          <t>kg</t>
        </is>
      </c>
      <c r="G856" s="4" t="n">
        <v>0.9156239999999999</v>
      </c>
      <c r="H856" s="2">
        <f>XLOOKUP(B856, '00_TONG_HOP_BAO_GIA'!B:B, '00_TONG_HOP_BAO_GIA'!G:G, 1)</f>
        <v/>
      </c>
      <c r="I856" s="5">
        <f>G856*H856</f>
        <v/>
      </c>
      <c r="J856" s="2">
        <f>XLOOKUP(E856, '06_BANG_GIA_VAT_TU_AP_DUNG'!B:B, '06_BANG_GIA_VAT_TU_AP_DUNG'!C:C, "LỖI_MÃ_VT")</f>
        <v/>
      </c>
      <c r="K856" s="2">
        <f>I856*J856</f>
        <v/>
      </c>
      <c r="L856" t="inlineStr">
        <is>
          <t>2 cánh cao 120mm</t>
        </is>
      </c>
    </row>
    <row r="857">
      <c r="A857" t="inlineStr">
        <is>
          <t>SW-DAMPER-230-AXLE</t>
        </is>
      </c>
      <c r="B857" t="inlineStr">
        <is>
          <t>SW-DAMPER-230</t>
        </is>
      </c>
      <c r="C857" t="inlineStr">
        <is>
          <t>Trục Sus 201 D10</t>
        </is>
      </c>
      <c r="D857" t="inlineStr">
        <is>
          <t>PHỤ_KIỆN_VAN</t>
        </is>
      </c>
      <c r="E857" t="inlineStr">
        <is>
          <t>MAT-DAMPER-TRUC-SUS-201-D10</t>
        </is>
      </c>
      <c r="F857" t="inlineStr">
        <is>
          <t>m</t>
        </is>
      </c>
      <c r="G857" s="4" t="n">
        <v>1.32</v>
      </c>
      <c r="H857" s="2">
        <f>XLOOKUP(B857, '00_TONG_HOP_BAO_GIA'!B:B, '00_TONG_HOP_BAO_GIA'!G:G, 1)</f>
        <v/>
      </c>
      <c r="I857" s="5">
        <f>G857*H857</f>
        <v/>
      </c>
      <c r="J857" s="2">
        <f>XLOOKUP(E857, '06_BANG_GIA_VAT_TU_AP_DUNG'!B:B, '06_BANG_GIA_VAT_TU_AP_DUNG'!C:C, "LỖI_MÃ_VT")</f>
        <v/>
      </c>
      <c r="K857" s="2">
        <f>I857*J857</f>
        <v/>
      </c>
      <c r="L857" t="inlineStr">
        <is>
          <t>2 trục dài 660mm</t>
        </is>
      </c>
    </row>
    <row r="858">
      <c r="A858" t="inlineStr">
        <is>
          <t>SW-DAMPER-230-BEARING</t>
        </is>
      </c>
      <c r="B858" t="inlineStr">
        <is>
          <t>SW-DAMPER-230</t>
        </is>
      </c>
      <c r="C858" t="inlineStr">
        <is>
          <t>Bạc đồng D10</t>
        </is>
      </c>
      <c r="D858" t="inlineStr">
        <is>
          <t>PHỤ_KIỆN_VAN</t>
        </is>
      </c>
      <c r="E858" t="inlineStr">
        <is>
          <t>MAT-DAMPER-BAC-DONG-D10</t>
        </is>
      </c>
      <c r="F858" t="inlineStr">
        <is>
          <t>Đôi</t>
        </is>
      </c>
      <c r="G858" s="4" t="n">
        <v>2</v>
      </c>
      <c r="H858" s="2">
        <f>XLOOKUP(B858, '00_TONG_HOP_BAO_GIA'!B:B, '00_TONG_HOP_BAO_GIA'!G:G, 1)</f>
        <v/>
      </c>
      <c r="I858" s="5">
        <f>G858*H858</f>
        <v/>
      </c>
      <c r="J858" s="2">
        <f>XLOOKUP(E858, '06_BANG_GIA_VAT_TU_AP_DUNG'!B:B, '06_BANG_GIA_VAT_TU_AP_DUNG'!C:C, "LỖI_MÃ_VT")</f>
        <v/>
      </c>
      <c r="K858" s="2">
        <f>I858*J858</f>
        <v/>
      </c>
      <c r="L858" t="inlineStr">
        <is>
          <t>2 đôi bạc đỡ 2 bên thân</t>
        </is>
      </c>
    </row>
    <row r="859">
      <c r="A859" t="inlineStr">
        <is>
          <t>SW-DAMPER-230-GEAR</t>
        </is>
      </c>
      <c r="B859" t="inlineStr">
        <is>
          <t>SW-DAMPER-230</t>
        </is>
      </c>
      <c r="C859" t="inlineStr">
        <is>
          <t>Bánh răng van nhôm</t>
        </is>
      </c>
      <c r="D859" t="inlineStr">
        <is>
          <t>PHỤ_KIỆN_VAN</t>
        </is>
      </c>
      <c r="E859" t="inlineStr">
        <is>
          <t>MAT-DAMPER-BANH-RANG-VAN-NHOM</t>
        </is>
      </c>
      <c r="F859" t="inlineStr">
        <is>
          <t>Bộ</t>
        </is>
      </c>
      <c r="G859" s="4" t="n">
        <v>1</v>
      </c>
      <c r="H859" s="2">
        <f>XLOOKUP(B859, '00_TONG_HOP_BAO_GIA'!B:B, '00_TONG_HOP_BAO_GIA'!G:G, 1)</f>
        <v/>
      </c>
      <c r="I859" s="5">
        <f>G859*H859</f>
        <v/>
      </c>
      <c r="J859" s="2">
        <f>XLOOKUP(E859, '06_BANG_GIA_VAT_TU_AP_DUNG'!B:B, '06_BANG_GIA_VAT_TU_AP_DUNG'!C:C, "LỖI_MÃ_VT")</f>
        <v/>
      </c>
      <c r="K859" s="2">
        <f>I859*J859</f>
        <v/>
      </c>
      <c r="L859" t="inlineStr">
        <is>
          <t>Cơ cấu liên động bánh răng van</t>
        </is>
      </c>
    </row>
    <row r="860">
      <c r="A860" t="inlineStr">
        <is>
          <t>SW-DAMPER-230-FUSE</t>
        </is>
      </c>
      <c r="B860" t="inlineStr">
        <is>
          <t>SW-DAMPER-230</t>
        </is>
      </c>
      <c r="C860" t="inlineStr">
        <is>
          <t>Cầu chì nhiệt nóng chảy 70°C (Elsie/USA)</t>
        </is>
      </c>
      <c r="D860" t="inlineStr">
        <is>
          <t>PHỤ_KIỆN_VAN</t>
        </is>
      </c>
      <c r="E860" t="inlineStr">
        <is>
          <t>MAT-DAMPER-CAU-CHI-USA-2-400X400</t>
        </is>
      </c>
      <c r="F860" t="inlineStr">
        <is>
          <t>Cái</t>
        </is>
      </c>
      <c r="G860" s="4" t="n">
        <v>1</v>
      </c>
      <c r="H860" s="2">
        <f>XLOOKUP(B860, '00_TONG_HOP_BAO_GIA'!B:B, '00_TONG_HOP_BAO_GIA'!G:G, 1)</f>
        <v/>
      </c>
      <c r="I860" s="5">
        <f>G860*H860</f>
        <v/>
      </c>
      <c r="J860" s="2">
        <f>XLOOKUP(E860, '06_BANG_GIA_VAT_TU_AP_DUNG'!B:B, '06_BANG_GIA_VAT_TU_AP_DUNG'!C:C, "LỖI_MÃ_VT")</f>
        <v/>
      </c>
      <c r="K860" s="2">
        <f>I860*J860</f>
        <v/>
      </c>
      <c r="L860" t="inlineStr">
        <is>
          <t>Cầu chì kiểm định PCCC</t>
        </is>
      </c>
    </row>
    <row r="861">
      <c r="A861" t="inlineStr">
        <is>
          <t>SW-DAMPER-231-BODY</t>
        </is>
      </c>
      <c r="B861" t="inlineStr">
        <is>
          <t>SW-DAMPER-231</t>
        </is>
      </c>
      <c r="C861" t="inlineStr">
        <is>
          <t>Thân vỏ van FD bích TDF (0.75mm)</t>
        </is>
      </c>
      <c r="D861" t="inlineStr">
        <is>
          <t>TÔN_CUỘN_MẠ_KẼM</t>
        </is>
      </c>
      <c r="E861" t="inlineStr">
        <is>
          <t>MAT-STEEL-PN-0.75</t>
        </is>
      </c>
      <c r="F861" t="inlineStr">
        <is>
          <t>kg</t>
        </is>
      </c>
      <c r="G861" s="4" t="n">
        <v>3.639888</v>
      </c>
      <c r="H861" s="2">
        <f>XLOOKUP(B861, '00_TONG_HOP_BAO_GIA'!B:B, '00_TONG_HOP_BAO_GIA'!G:G, 1)</f>
        <v/>
      </c>
      <c r="I861" s="5">
        <f>G861*H861</f>
        <v/>
      </c>
      <c r="J861" s="2">
        <f>XLOOKUP(E861, '06_BANG_GIA_VAT_TU_AP_DUNG'!B:B, '06_BANG_GIA_VAT_TU_AP_DUNG'!C:C, "LỖI_MÃ_VT")</f>
        <v/>
      </c>
      <c r="K861" s="2">
        <f>I861*J861</f>
        <v/>
      </c>
      <c r="L861" t="inlineStr">
        <is>
          <t>Kích thước vỏ 600.0x300.0x250mm</t>
        </is>
      </c>
    </row>
    <row r="862">
      <c r="A862" t="inlineStr">
        <is>
          <t>SW-DAMPER-231-BLADE</t>
        </is>
      </c>
      <c r="B862" t="inlineStr">
        <is>
          <t>SW-DAMPER-231</t>
        </is>
      </c>
      <c r="C862" t="inlineStr">
        <is>
          <t>Lá cánh van (2 cánh overlap)</t>
        </is>
      </c>
      <c r="D862" t="inlineStr">
        <is>
          <t>TÔN_CUỘN_MẠ_KẼM</t>
        </is>
      </c>
      <c r="E862" t="inlineStr">
        <is>
          <t>MAT-STEEL-PN-0.75</t>
        </is>
      </c>
      <c r="F862" t="inlineStr">
        <is>
          <t>kg</t>
        </is>
      </c>
      <c r="G862" s="4" t="n">
        <v>1.297134</v>
      </c>
      <c r="H862" s="2">
        <f>XLOOKUP(B862, '00_TONG_HOP_BAO_GIA'!B:B, '00_TONG_HOP_BAO_GIA'!G:G, 1)</f>
        <v/>
      </c>
      <c r="I862" s="5">
        <f>G862*H862</f>
        <v/>
      </c>
      <c r="J862" s="2">
        <f>XLOOKUP(E862, '06_BANG_GIA_VAT_TU_AP_DUNG'!B:B, '06_BANG_GIA_VAT_TU_AP_DUNG'!C:C, "LỖI_MÃ_VT")</f>
        <v/>
      </c>
      <c r="K862" s="2">
        <f>I862*J862</f>
        <v/>
      </c>
      <c r="L862" t="inlineStr">
        <is>
          <t>2 cánh cao 170mm</t>
        </is>
      </c>
    </row>
    <row r="863">
      <c r="A863" t="inlineStr">
        <is>
          <t>SW-DAMPER-231-AXLE</t>
        </is>
      </c>
      <c r="B863" t="inlineStr">
        <is>
          <t>SW-DAMPER-231</t>
        </is>
      </c>
      <c r="C863" t="inlineStr">
        <is>
          <t>Trục Sus 201 D10</t>
        </is>
      </c>
      <c r="D863" t="inlineStr">
        <is>
          <t>PHỤ_KIỆN_VAN</t>
        </is>
      </c>
      <c r="E863" t="inlineStr">
        <is>
          <t>MAT-DAMPER-TRUC-SUS-201-D10</t>
        </is>
      </c>
      <c r="F863" t="inlineStr">
        <is>
          <t>m</t>
        </is>
      </c>
      <c r="G863" s="4" t="n">
        <v>1.32</v>
      </c>
      <c r="H863" s="2">
        <f>XLOOKUP(B863, '00_TONG_HOP_BAO_GIA'!B:B, '00_TONG_HOP_BAO_GIA'!G:G, 1)</f>
        <v/>
      </c>
      <c r="I863" s="5">
        <f>G863*H863</f>
        <v/>
      </c>
      <c r="J863" s="2">
        <f>XLOOKUP(E863, '06_BANG_GIA_VAT_TU_AP_DUNG'!B:B, '06_BANG_GIA_VAT_TU_AP_DUNG'!C:C, "LỖI_MÃ_VT")</f>
        <v/>
      </c>
      <c r="K863" s="2">
        <f>I863*J863</f>
        <v/>
      </c>
      <c r="L863" t="inlineStr">
        <is>
          <t>2 trục dài 660mm</t>
        </is>
      </c>
    </row>
    <row r="864">
      <c r="A864" t="inlineStr">
        <is>
          <t>SW-DAMPER-231-BEARING</t>
        </is>
      </c>
      <c r="B864" t="inlineStr">
        <is>
          <t>SW-DAMPER-231</t>
        </is>
      </c>
      <c r="C864" t="inlineStr">
        <is>
          <t>Bạc đồng D10</t>
        </is>
      </c>
      <c r="D864" t="inlineStr">
        <is>
          <t>PHỤ_KIỆN_VAN</t>
        </is>
      </c>
      <c r="E864" t="inlineStr">
        <is>
          <t>MAT-DAMPER-BAC-DONG-D10</t>
        </is>
      </c>
      <c r="F864" t="inlineStr">
        <is>
          <t>Đôi</t>
        </is>
      </c>
      <c r="G864" s="4" t="n">
        <v>2</v>
      </c>
      <c r="H864" s="2">
        <f>XLOOKUP(B864, '00_TONG_HOP_BAO_GIA'!B:B, '00_TONG_HOP_BAO_GIA'!G:G, 1)</f>
        <v/>
      </c>
      <c r="I864" s="5">
        <f>G864*H864</f>
        <v/>
      </c>
      <c r="J864" s="2">
        <f>XLOOKUP(E864, '06_BANG_GIA_VAT_TU_AP_DUNG'!B:B, '06_BANG_GIA_VAT_TU_AP_DUNG'!C:C, "LỖI_MÃ_VT")</f>
        <v/>
      </c>
      <c r="K864" s="2">
        <f>I864*J864</f>
        <v/>
      </c>
      <c r="L864" t="inlineStr">
        <is>
          <t>2 đôi bạc đỡ 2 bên thân</t>
        </is>
      </c>
    </row>
    <row r="865">
      <c r="A865" t="inlineStr">
        <is>
          <t>SW-DAMPER-231-GEAR</t>
        </is>
      </c>
      <c r="B865" t="inlineStr">
        <is>
          <t>SW-DAMPER-231</t>
        </is>
      </c>
      <c r="C865" t="inlineStr">
        <is>
          <t>Bánh răng van nhôm</t>
        </is>
      </c>
      <c r="D865" t="inlineStr">
        <is>
          <t>PHỤ_KIỆN_VAN</t>
        </is>
      </c>
      <c r="E865" t="inlineStr">
        <is>
          <t>MAT-DAMPER-BANH-RANG-VAN-NHOM</t>
        </is>
      </c>
      <c r="F865" t="inlineStr">
        <is>
          <t>Bộ</t>
        </is>
      </c>
      <c r="G865" s="4" t="n">
        <v>1</v>
      </c>
      <c r="H865" s="2">
        <f>XLOOKUP(B865, '00_TONG_HOP_BAO_GIA'!B:B, '00_TONG_HOP_BAO_GIA'!G:G, 1)</f>
        <v/>
      </c>
      <c r="I865" s="5">
        <f>G865*H865</f>
        <v/>
      </c>
      <c r="J865" s="2">
        <f>XLOOKUP(E865, '06_BANG_GIA_VAT_TU_AP_DUNG'!B:B, '06_BANG_GIA_VAT_TU_AP_DUNG'!C:C, "LỖI_MÃ_VT")</f>
        <v/>
      </c>
      <c r="K865" s="2">
        <f>I865*J865</f>
        <v/>
      </c>
      <c r="L865" t="inlineStr">
        <is>
          <t>Cơ cấu liên động bánh răng van</t>
        </is>
      </c>
    </row>
    <row r="866">
      <c r="A866" t="inlineStr">
        <is>
          <t>SW-DAMPER-231-FUSE</t>
        </is>
      </c>
      <c r="B866" t="inlineStr">
        <is>
          <t>SW-DAMPER-231</t>
        </is>
      </c>
      <c r="C866" t="inlineStr">
        <is>
          <t>Cầu chì nhiệt nóng chảy 70°C (Elsie/USA)</t>
        </is>
      </c>
      <c r="D866" t="inlineStr">
        <is>
          <t>PHỤ_KIỆN_VAN</t>
        </is>
      </c>
      <c r="E866" t="inlineStr">
        <is>
          <t>MAT-DAMPER-CAU-CHI-USA-2-400X400</t>
        </is>
      </c>
      <c r="F866" t="inlineStr">
        <is>
          <t>Cái</t>
        </is>
      </c>
      <c r="G866" s="4" t="n">
        <v>1</v>
      </c>
      <c r="H866" s="2">
        <f>XLOOKUP(B866, '00_TONG_HOP_BAO_GIA'!B:B, '00_TONG_HOP_BAO_GIA'!G:G, 1)</f>
        <v/>
      </c>
      <c r="I866" s="5">
        <f>G866*H866</f>
        <v/>
      </c>
      <c r="J866" s="2">
        <f>XLOOKUP(E866, '06_BANG_GIA_VAT_TU_AP_DUNG'!B:B, '06_BANG_GIA_VAT_TU_AP_DUNG'!C:C, "LỖI_MÃ_VT")</f>
        <v/>
      </c>
      <c r="K866" s="2">
        <f>I866*J866</f>
        <v/>
      </c>
      <c r="L866" t="inlineStr">
        <is>
          <t>Cầu chì kiểm định PCCC</t>
        </is>
      </c>
    </row>
    <row r="867">
      <c r="A867" t="inlineStr">
        <is>
          <t>SW-DAMPER-232-BODY</t>
        </is>
      </c>
      <c r="B867" t="inlineStr">
        <is>
          <t>SW-DAMPER-232</t>
        </is>
      </c>
      <c r="C867" t="inlineStr">
        <is>
          <t>Thân vỏ van FD bích TDF (0.75mm)</t>
        </is>
      </c>
      <c r="D867" t="inlineStr">
        <is>
          <t>TÔN_CUỘN_MẠ_KẼM</t>
        </is>
      </c>
      <c r="E867" t="inlineStr">
        <is>
          <t>MAT-STEEL-PN-0.75</t>
        </is>
      </c>
      <c r="F867" t="inlineStr">
        <is>
          <t>kg</t>
        </is>
      </c>
      <c r="G867" s="4" t="n">
        <v>4.826808</v>
      </c>
      <c r="H867" s="2">
        <f>XLOOKUP(B867, '00_TONG_HOP_BAO_GIA'!B:B, '00_TONG_HOP_BAO_GIA'!G:G, 1)</f>
        <v/>
      </c>
      <c r="I867" s="5">
        <f>G867*H867</f>
        <v/>
      </c>
      <c r="J867" s="2">
        <f>XLOOKUP(E867, '06_BANG_GIA_VAT_TU_AP_DUNG'!B:B, '06_BANG_GIA_VAT_TU_AP_DUNG'!C:C, "LỖI_MÃ_VT")</f>
        <v/>
      </c>
      <c r="K867" s="2">
        <f>I867*J867</f>
        <v/>
      </c>
      <c r="L867" t="inlineStr">
        <is>
          <t>Kích thước vỏ 750.0x450.0x250mm</t>
        </is>
      </c>
    </row>
    <row r="868">
      <c r="A868" t="inlineStr">
        <is>
          <t>SW-DAMPER-232-BLADE</t>
        </is>
      </c>
      <c r="B868" t="inlineStr">
        <is>
          <t>SW-DAMPER-232</t>
        </is>
      </c>
      <c r="C868" t="inlineStr">
        <is>
          <t>Lá cánh van (3 cánh overlap)</t>
        </is>
      </c>
      <c r="D868" t="inlineStr">
        <is>
          <t>TÔN_CUỘN_MẠ_KẼM</t>
        </is>
      </c>
      <c r="E868" t="inlineStr">
        <is>
          <t>MAT-STEEL-PN-0.75</t>
        </is>
      </c>
      <c r="F868" t="inlineStr">
        <is>
          <t>kg</t>
        </is>
      </c>
      <c r="G868" s="4" t="n">
        <v>2.43212625</v>
      </c>
      <c r="H868" s="2">
        <f>XLOOKUP(B868, '00_TONG_HOP_BAO_GIA'!B:B, '00_TONG_HOP_BAO_GIA'!G:G, 1)</f>
        <v/>
      </c>
      <c r="I868" s="5">
        <f>G868*H868</f>
        <v/>
      </c>
      <c r="J868" s="2">
        <f>XLOOKUP(E868, '06_BANG_GIA_VAT_TU_AP_DUNG'!B:B, '06_BANG_GIA_VAT_TU_AP_DUNG'!C:C, "LỖI_MÃ_VT")</f>
        <v/>
      </c>
      <c r="K868" s="2">
        <f>I868*J868</f>
        <v/>
      </c>
      <c r="L868" t="inlineStr">
        <is>
          <t>3 cánh cao 170mm</t>
        </is>
      </c>
    </row>
    <row r="869">
      <c r="A869" t="inlineStr">
        <is>
          <t>SW-DAMPER-232-AXLE</t>
        </is>
      </c>
      <c r="B869" t="inlineStr">
        <is>
          <t>SW-DAMPER-232</t>
        </is>
      </c>
      <c r="C869" t="inlineStr">
        <is>
          <t>Trục Sus 201 D10</t>
        </is>
      </c>
      <c r="D869" t="inlineStr">
        <is>
          <t>PHỤ_KIỆN_VAN</t>
        </is>
      </c>
      <c r="E869" t="inlineStr">
        <is>
          <t>MAT-DAMPER-TRUC-SUS-201-D10</t>
        </is>
      </c>
      <c r="F869" t="inlineStr">
        <is>
          <t>m</t>
        </is>
      </c>
      <c r="G869" s="4" t="n">
        <v>2.43</v>
      </c>
      <c r="H869" s="2">
        <f>XLOOKUP(B869, '00_TONG_HOP_BAO_GIA'!B:B, '00_TONG_HOP_BAO_GIA'!G:G, 1)</f>
        <v/>
      </c>
      <c r="I869" s="5">
        <f>G869*H869</f>
        <v/>
      </c>
      <c r="J869" s="2">
        <f>XLOOKUP(E869, '06_BANG_GIA_VAT_TU_AP_DUNG'!B:B, '06_BANG_GIA_VAT_TU_AP_DUNG'!C:C, "LỖI_MÃ_VT")</f>
        <v/>
      </c>
      <c r="K869" s="2">
        <f>I869*J869</f>
        <v/>
      </c>
      <c r="L869" t="inlineStr">
        <is>
          <t>3 trục dài 810mm</t>
        </is>
      </c>
    </row>
    <row r="870">
      <c r="A870" t="inlineStr">
        <is>
          <t>SW-DAMPER-232-BEARING</t>
        </is>
      </c>
      <c r="B870" t="inlineStr">
        <is>
          <t>SW-DAMPER-232</t>
        </is>
      </c>
      <c r="C870" t="inlineStr">
        <is>
          <t>Bạc đồng D10</t>
        </is>
      </c>
      <c r="D870" t="inlineStr">
        <is>
          <t>PHỤ_KIỆN_VAN</t>
        </is>
      </c>
      <c r="E870" t="inlineStr">
        <is>
          <t>MAT-DAMPER-BAC-DONG-D10</t>
        </is>
      </c>
      <c r="F870" t="inlineStr">
        <is>
          <t>Đôi</t>
        </is>
      </c>
      <c r="G870" s="4" t="n">
        <v>3</v>
      </c>
      <c r="H870" s="2">
        <f>XLOOKUP(B870, '00_TONG_HOP_BAO_GIA'!B:B, '00_TONG_HOP_BAO_GIA'!G:G, 1)</f>
        <v/>
      </c>
      <c r="I870" s="5">
        <f>G870*H870</f>
        <v/>
      </c>
      <c r="J870" s="2">
        <f>XLOOKUP(E870, '06_BANG_GIA_VAT_TU_AP_DUNG'!B:B, '06_BANG_GIA_VAT_TU_AP_DUNG'!C:C, "LỖI_MÃ_VT")</f>
        <v/>
      </c>
      <c r="K870" s="2">
        <f>I870*J870</f>
        <v/>
      </c>
      <c r="L870" t="inlineStr">
        <is>
          <t>3 đôi bạc đỡ 2 bên thân</t>
        </is>
      </c>
    </row>
    <row r="871">
      <c r="A871" t="inlineStr">
        <is>
          <t>SW-DAMPER-232-GEAR</t>
        </is>
      </c>
      <c r="B871" t="inlineStr">
        <is>
          <t>SW-DAMPER-232</t>
        </is>
      </c>
      <c r="C871" t="inlineStr">
        <is>
          <t>Bánh răng van nhôm</t>
        </is>
      </c>
      <c r="D871" t="inlineStr">
        <is>
          <t>PHỤ_KIỆN_VAN</t>
        </is>
      </c>
      <c r="E871" t="inlineStr">
        <is>
          <t>MAT-DAMPER-BANH-RANG-VAN-NHOM</t>
        </is>
      </c>
      <c r="F871" t="inlineStr">
        <is>
          <t>Bộ</t>
        </is>
      </c>
      <c r="G871" s="4" t="n">
        <v>1</v>
      </c>
      <c r="H871" s="2">
        <f>XLOOKUP(B871, '00_TONG_HOP_BAO_GIA'!B:B, '00_TONG_HOP_BAO_GIA'!G:G, 1)</f>
        <v/>
      </c>
      <c r="I871" s="5">
        <f>G871*H871</f>
        <v/>
      </c>
      <c r="J871" s="2">
        <f>XLOOKUP(E871, '06_BANG_GIA_VAT_TU_AP_DUNG'!B:B, '06_BANG_GIA_VAT_TU_AP_DUNG'!C:C, "LỖI_MÃ_VT")</f>
        <v/>
      </c>
      <c r="K871" s="2">
        <f>I871*J871</f>
        <v/>
      </c>
      <c r="L871" t="inlineStr">
        <is>
          <t>Cơ cấu liên động bánh răng van</t>
        </is>
      </c>
    </row>
    <row r="872">
      <c r="A872" t="inlineStr">
        <is>
          <t>SW-DAMPER-232-FUSE</t>
        </is>
      </c>
      <c r="B872" t="inlineStr">
        <is>
          <t>SW-DAMPER-232</t>
        </is>
      </c>
      <c r="C872" t="inlineStr">
        <is>
          <t>Cầu chì nhiệt nóng chảy 70°C (Elsie/USA)</t>
        </is>
      </c>
      <c r="D872" t="inlineStr">
        <is>
          <t>PHỤ_KIỆN_VAN</t>
        </is>
      </c>
      <c r="E872" t="inlineStr">
        <is>
          <t>MAT-DAMPER-CAU-CHI-USA-2-400X400</t>
        </is>
      </c>
      <c r="F872" t="inlineStr">
        <is>
          <t>Cái</t>
        </is>
      </c>
      <c r="G872" s="4" t="n">
        <v>1</v>
      </c>
      <c r="H872" s="2">
        <f>XLOOKUP(B872, '00_TONG_HOP_BAO_GIA'!B:B, '00_TONG_HOP_BAO_GIA'!G:G, 1)</f>
        <v/>
      </c>
      <c r="I872" s="5">
        <f>G872*H872</f>
        <v/>
      </c>
      <c r="J872" s="2">
        <f>XLOOKUP(E872, '06_BANG_GIA_VAT_TU_AP_DUNG'!B:B, '06_BANG_GIA_VAT_TU_AP_DUNG'!C:C, "LỖI_MÃ_VT")</f>
        <v/>
      </c>
      <c r="K872" s="2">
        <f>I872*J872</f>
        <v/>
      </c>
      <c r="L872" t="inlineStr">
        <is>
          <t>Cầu chì kiểm định PCCC</t>
        </is>
      </c>
    </row>
    <row r="873">
      <c r="A873" t="inlineStr">
        <is>
          <t>SW-DAMPER-233-BODY</t>
        </is>
      </c>
      <c r="B873" t="inlineStr">
        <is>
          <t>SW-DAMPER-233</t>
        </is>
      </c>
      <c r="C873" t="inlineStr">
        <is>
          <t>Thân vỏ van FD bích TDF (0.95mm)</t>
        </is>
      </c>
      <c r="D873" t="inlineStr">
        <is>
          <t>TÔN_CUỘN_MẠ_KẼM</t>
        </is>
      </c>
      <c r="E873" t="inlineStr">
        <is>
          <t>MAT-STEEL-PN-0.95</t>
        </is>
      </c>
      <c r="F873" t="inlineStr">
        <is>
          <t>kg</t>
        </is>
      </c>
      <c r="G873" s="4" t="n">
        <v>7.1162448</v>
      </c>
      <c r="H873" s="2">
        <f>XLOOKUP(B873, '00_TONG_HOP_BAO_GIA'!B:B, '00_TONG_HOP_BAO_GIA'!G:G, 1)</f>
        <v/>
      </c>
      <c r="I873" s="5">
        <f>G873*H873</f>
        <v/>
      </c>
      <c r="J873" s="2">
        <f>XLOOKUP(E873, '06_BANG_GIA_VAT_TU_AP_DUNG'!B:B, '06_BANG_GIA_VAT_TU_AP_DUNG'!C:C, "LỖI_MÃ_VT")</f>
        <v/>
      </c>
      <c r="K873" s="2">
        <f>I873*J873</f>
        <v/>
      </c>
      <c r="L873" t="inlineStr">
        <is>
          <t>Kích thước vỏ 900.0x500.0x250mm</t>
        </is>
      </c>
    </row>
    <row r="874">
      <c r="A874" t="inlineStr">
        <is>
          <t>SW-DAMPER-233-BLADE</t>
        </is>
      </c>
      <c r="B874" t="inlineStr">
        <is>
          <t>SW-DAMPER-233</t>
        </is>
      </c>
      <c r="C874" t="inlineStr">
        <is>
          <t>Lá cánh van (3 cánh overlap)</t>
        </is>
      </c>
      <c r="D874" t="inlineStr">
        <is>
          <t>TÔN_CUỘN_MẠ_KẼM</t>
        </is>
      </c>
      <c r="E874" t="inlineStr">
        <is>
          <t>MAT-STEEL-PN-0.75</t>
        </is>
      </c>
      <c r="F874" t="inlineStr">
        <is>
          <t>kg</t>
        </is>
      </c>
      <c r="G874" s="4" t="n">
        <v>3.204684</v>
      </c>
      <c r="H874" s="2">
        <f>XLOOKUP(B874, '00_TONG_HOP_BAO_GIA'!B:B, '00_TONG_HOP_BAO_GIA'!G:G, 1)</f>
        <v/>
      </c>
      <c r="I874" s="5">
        <f>G874*H874</f>
        <v/>
      </c>
      <c r="J874" s="2">
        <f>XLOOKUP(E874, '06_BANG_GIA_VAT_TU_AP_DUNG'!B:B, '06_BANG_GIA_VAT_TU_AP_DUNG'!C:C, "LỖI_MÃ_VT")</f>
        <v/>
      </c>
      <c r="K874" s="2">
        <f>I874*J874</f>
        <v/>
      </c>
      <c r="L874" t="inlineStr">
        <is>
          <t>3 cánh cao 187mm</t>
        </is>
      </c>
    </row>
    <row r="875">
      <c r="A875" t="inlineStr">
        <is>
          <t>SW-DAMPER-233-AXLE</t>
        </is>
      </c>
      <c r="B875" t="inlineStr">
        <is>
          <t>SW-DAMPER-233</t>
        </is>
      </c>
      <c r="C875" t="inlineStr">
        <is>
          <t>Trục Sus 201 D10</t>
        </is>
      </c>
      <c r="D875" t="inlineStr">
        <is>
          <t>PHỤ_KIỆN_VAN</t>
        </is>
      </c>
      <c r="E875" t="inlineStr">
        <is>
          <t>MAT-DAMPER-TRUC-SUS-201-D10</t>
        </is>
      </c>
      <c r="F875" t="inlineStr">
        <is>
          <t>m</t>
        </is>
      </c>
      <c r="G875" s="4" t="n">
        <v>2.88</v>
      </c>
      <c r="H875" s="2">
        <f>XLOOKUP(B875, '00_TONG_HOP_BAO_GIA'!B:B, '00_TONG_HOP_BAO_GIA'!G:G, 1)</f>
        <v/>
      </c>
      <c r="I875" s="5">
        <f>G875*H875</f>
        <v/>
      </c>
      <c r="J875" s="2">
        <f>XLOOKUP(E875, '06_BANG_GIA_VAT_TU_AP_DUNG'!B:B, '06_BANG_GIA_VAT_TU_AP_DUNG'!C:C, "LỖI_MÃ_VT")</f>
        <v/>
      </c>
      <c r="K875" s="2">
        <f>I875*J875</f>
        <v/>
      </c>
      <c r="L875" t="inlineStr">
        <is>
          <t>3 trục dài 960mm</t>
        </is>
      </c>
    </row>
    <row r="876">
      <c r="A876" t="inlineStr">
        <is>
          <t>SW-DAMPER-233-BEARING</t>
        </is>
      </c>
      <c r="B876" t="inlineStr">
        <is>
          <t>SW-DAMPER-233</t>
        </is>
      </c>
      <c r="C876" t="inlineStr">
        <is>
          <t>Bạc đồng D10</t>
        </is>
      </c>
      <c r="D876" t="inlineStr">
        <is>
          <t>PHỤ_KIỆN_VAN</t>
        </is>
      </c>
      <c r="E876" t="inlineStr">
        <is>
          <t>MAT-DAMPER-BAC-DONG-D10</t>
        </is>
      </c>
      <c r="F876" t="inlineStr">
        <is>
          <t>Đôi</t>
        </is>
      </c>
      <c r="G876" s="4" t="n">
        <v>3</v>
      </c>
      <c r="H876" s="2">
        <f>XLOOKUP(B876, '00_TONG_HOP_BAO_GIA'!B:B, '00_TONG_HOP_BAO_GIA'!G:G, 1)</f>
        <v/>
      </c>
      <c r="I876" s="5">
        <f>G876*H876</f>
        <v/>
      </c>
      <c r="J876" s="2">
        <f>XLOOKUP(E876, '06_BANG_GIA_VAT_TU_AP_DUNG'!B:B, '06_BANG_GIA_VAT_TU_AP_DUNG'!C:C, "LỖI_MÃ_VT")</f>
        <v/>
      </c>
      <c r="K876" s="2">
        <f>I876*J876</f>
        <v/>
      </c>
      <c r="L876" t="inlineStr">
        <is>
          <t>3 đôi bạc đỡ 2 bên thân</t>
        </is>
      </c>
    </row>
    <row r="877">
      <c r="A877" t="inlineStr">
        <is>
          <t>SW-DAMPER-233-GEAR</t>
        </is>
      </c>
      <c r="B877" t="inlineStr">
        <is>
          <t>SW-DAMPER-233</t>
        </is>
      </c>
      <c r="C877" t="inlineStr">
        <is>
          <t>Bánh răng van nhôm</t>
        </is>
      </c>
      <c r="D877" t="inlineStr">
        <is>
          <t>PHỤ_KIỆN_VAN</t>
        </is>
      </c>
      <c r="E877" t="inlineStr">
        <is>
          <t>MAT-DAMPER-BANH-RANG-VAN-NHOM</t>
        </is>
      </c>
      <c r="F877" t="inlineStr">
        <is>
          <t>Bộ</t>
        </is>
      </c>
      <c r="G877" s="4" t="n">
        <v>1</v>
      </c>
      <c r="H877" s="2">
        <f>XLOOKUP(B877, '00_TONG_HOP_BAO_GIA'!B:B, '00_TONG_HOP_BAO_GIA'!G:G, 1)</f>
        <v/>
      </c>
      <c r="I877" s="5">
        <f>G877*H877</f>
        <v/>
      </c>
      <c r="J877" s="2">
        <f>XLOOKUP(E877, '06_BANG_GIA_VAT_TU_AP_DUNG'!B:B, '06_BANG_GIA_VAT_TU_AP_DUNG'!C:C, "LỖI_MÃ_VT")</f>
        <v/>
      </c>
      <c r="K877" s="2">
        <f>I877*J877</f>
        <v/>
      </c>
      <c r="L877" t="inlineStr">
        <is>
          <t>Cơ cấu liên động bánh răng van</t>
        </is>
      </c>
    </row>
    <row r="878">
      <c r="A878" t="inlineStr">
        <is>
          <t>SW-DAMPER-233-FUSE</t>
        </is>
      </c>
      <c r="B878" t="inlineStr">
        <is>
          <t>SW-DAMPER-233</t>
        </is>
      </c>
      <c r="C878" t="inlineStr">
        <is>
          <t>Cầu chì nhiệt nóng chảy 70°C (Elsie/USA)</t>
        </is>
      </c>
      <c r="D878" t="inlineStr">
        <is>
          <t>PHỤ_KIỆN_VAN</t>
        </is>
      </c>
      <c r="E878" t="inlineStr">
        <is>
          <t>MAT-DAMPER-CAU-CHI-USA-2-400X400</t>
        </is>
      </c>
      <c r="F878" t="inlineStr">
        <is>
          <t>Cái</t>
        </is>
      </c>
      <c r="G878" s="4" t="n">
        <v>1</v>
      </c>
      <c r="H878" s="2">
        <f>XLOOKUP(B878, '00_TONG_HOP_BAO_GIA'!B:B, '00_TONG_HOP_BAO_GIA'!G:G, 1)</f>
        <v/>
      </c>
      <c r="I878" s="5">
        <f>G878*H878</f>
        <v/>
      </c>
      <c r="J878" s="2">
        <f>XLOOKUP(E878, '06_BANG_GIA_VAT_TU_AP_DUNG'!B:B, '06_BANG_GIA_VAT_TU_AP_DUNG'!C:C, "LỖI_MÃ_VT")</f>
        <v/>
      </c>
      <c r="K878" s="2">
        <f>I878*J878</f>
        <v/>
      </c>
      <c r="L878" t="inlineStr">
        <is>
          <t>Cầu chì kiểm định PCCC</t>
        </is>
      </c>
    </row>
    <row r="879">
      <c r="A879" t="inlineStr">
        <is>
          <t>SW-DAMPER-234-BODY</t>
        </is>
      </c>
      <c r="B879" t="inlineStr">
        <is>
          <t>SW-DAMPER-234</t>
        </is>
      </c>
      <c r="C879" t="inlineStr">
        <is>
          <t>Thân vỏ van FD bích TDF (0.95mm)</t>
        </is>
      </c>
      <c r="D879" t="inlineStr">
        <is>
          <t>TÔN_CUỘN_MẠ_KẼM</t>
        </is>
      </c>
      <c r="E879" t="inlineStr">
        <is>
          <t>MAT-STEEL-PN-0.95</t>
        </is>
      </c>
      <c r="F879" t="inlineStr">
        <is>
          <t>kg</t>
        </is>
      </c>
      <c r="G879" s="4" t="n">
        <v>12.3782568</v>
      </c>
      <c r="H879" s="2">
        <f>XLOOKUP(B879, '00_TONG_HOP_BAO_GIA'!B:B, '00_TONG_HOP_BAO_GIA'!G:G, 1)</f>
        <v/>
      </c>
      <c r="I879" s="5">
        <f>G879*H879</f>
        <v/>
      </c>
      <c r="J879" s="2">
        <f>XLOOKUP(E879, '06_BANG_GIA_VAT_TU_AP_DUNG'!B:B, '06_BANG_GIA_VAT_TU_AP_DUNG'!C:C, "LỖI_MÃ_VT")</f>
        <v/>
      </c>
      <c r="K879" s="2">
        <f>I879*J879</f>
        <v/>
      </c>
      <c r="L879" t="inlineStr">
        <is>
          <t>Kích thước vỏ 1700.0x750.0x250mm</t>
        </is>
      </c>
    </row>
    <row r="880">
      <c r="A880" t="inlineStr">
        <is>
          <t>SW-DAMPER-234-BLADE</t>
        </is>
      </c>
      <c r="B880" t="inlineStr">
        <is>
          <t>SW-DAMPER-234</t>
        </is>
      </c>
      <c r="C880" t="inlineStr">
        <is>
          <t>Lá cánh van (5 cánh overlap)</t>
        </is>
      </c>
      <c r="D880" t="inlineStr">
        <is>
          <t>TÔN_CUỘN_MẠ_KẼM</t>
        </is>
      </c>
      <c r="E880" t="inlineStr">
        <is>
          <t>MAT-STEEL-PN-0.75</t>
        </is>
      </c>
      <c r="F880" t="inlineStr">
        <is>
          <t>kg</t>
        </is>
      </c>
      <c r="G880" s="4" t="n">
        <v>9.1880325</v>
      </c>
      <c r="H880" s="2">
        <f>XLOOKUP(B880, '00_TONG_HOP_BAO_GIA'!B:B, '00_TONG_HOP_BAO_GIA'!G:G, 1)</f>
        <v/>
      </c>
      <c r="I880" s="5">
        <f>G880*H880</f>
        <v/>
      </c>
      <c r="J880" s="2">
        <f>XLOOKUP(E880, '06_BANG_GIA_VAT_TU_AP_DUNG'!B:B, '06_BANG_GIA_VAT_TU_AP_DUNG'!C:C, "LỖI_MÃ_VT")</f>
        <v/>
      </c>
      <c r="K880" s="2">
        <f>I880*J880</f>
        <v/>
      </c>
      <c r="L880" t="inlineStr">
        <is>
          <t>5 cánh cao 170mm</t>
        </is>
      </c>
    </row>
    <row r="881">
      <c r="A881" t="inlineStr">
        <is>
          <t>SW-DAMPER-234-AXLE</t>
        </is>
      </c>
      <c r="B881" t="inlineStr">
        <is>
          <t>SW-DAMPER-234</t>
        </is>
      </c>
      <c r="C881" t="inlineStr">
        <is>
          <t>Trục Sus 201 D10</t>
        </is>
      </c>
      <c r="D881" t="inlineStr">
        <is>
          <t>PHỤ_KIỆN_VAN</t>
        </is>
      </c>
      <c r="E881" t="inlineStr">
        <is>
          <t>MAT-DAMPER-TRUC-SUS-201-D10</t>
        </is>
      </c>
      <c r="F881" t="inlineStr">
        <is>
          <t>m</t>
        </is>
      </c>
      <c r="G881" s="4" t="n">
        <v>8.800000000000001</v>
      </c>
      <c r="H881" s="2">
        <f>XLOOKUP(B881, '00_TONG_HOP_BAO_GIA'!B:B, '00_TONG_HOP_BAO_GIA'!G:G, 1)</f>
        <v/>
      </c>
      <c r="I881" s="5">
        <f>G881*H881</f>
        <v/>
      </c>
      <c r="J881" s="2">
        <f>XLOOKUP(E881, '06_BANG_GIA_VAT_TU_AP_DUNG'!B:B, '06_BANG_GIA_VAT_TU_AP_DUNG'!C:C, "LỖI_MÃ_VT")</f>
        <v/>
      </c>
      <c r="K881" s="2">
        <f>I881*J881</f>
        <v/>
      </c>
      <c r="L881" t="inlineStr">
        <is>
          <t>5 trục dài 1760mm</t>
        </is>
      </c>
    </row>
    <row r="882">
      <c r="A882" t="inlineStr">
        <is>
          <t>SW-DAMPER-234-BEARING</t>
        </is>
      </c>
      <c r="B882" t="inlineStr">
        <is>
          <t>SW-DAMPER-234</t>
        </is>
      </c>
      <c r="C882" t="inlineStr">
        <is>
          <t>Bạc đồng D10</t>
        </is>
      </c>
      <c r="D882" t="inlineStr">
        <is>
          <t>PHỤ_KIỆN_VAN</t>
        </is>
      </c>
      <c r="E882" t="inlineStr">
        <is>
          <t>MAT-DAMPER-BAC-DONG-D10</t>
        </is>
      </c>
      <c r="F882" t="inlineStr">
        <is>
          <t>Đôi</t>
        </is>
      </c>
      <c r="G882" s="4" t="n">
        <v>5</v>
      </c>
      <c r="H882" s="2">
        <f>XLOOKUP(B882, '00_TONG_HOP_BAO_GIA'!B:B, '00_TONG_HOP_BAO_GIA'!G:G, 1)</f>
        <v/>
      </c>
      <c r="I882" s="5">
        <f>G882*H882</f>
        <v/>
      </c>
      <c r="J882" s="2">
        <f>XLOOKUP(E882, '06_BANG_GIA_VAT_TU_AP_DUNG'!B:B, '06_BANG_GIA_VAT_TU_AP_DUNG'!C:C, "LỖI_MÃ_VT")</f>
        <v/>
      </c>
      <c r="K882" s="2">
        <f>I882*J882</f>
        <v/>
      </c>
      <c r="L882" t="inlineStr">
        <is>
          <t>5 đôi bạc đỡ 2 bên thân</t>
        </is>
      </c>
    </row>
    <row r="883">
      <c r="A883" t="inlineStr">
        <is>
          <t>SW-DAMPER-234-GEAR</t>
        </is>
      </c>
      <c r="B883" t="inlineStr">
        <is>
          <t>SW-DAMPER-234</t>
        </is>
      </c>
      <c r="C883" t="inlineStr">
        <is>
          <t>Bánh răng van nhôm</t>
        </is>
      </c>
      <c r="D883" t="inlineStr">
        <is>
          <t>PHỤ_KIỆN_VAN</t>
        </is>
      </c>
      <c r="E883" t="inlineStr">
        <is>
          <t>MAT-DAMPER-BANH-RANG-VAN-NHOM</t>
        </is>
      </c>
      <c r="F883" t="inlineStr">
        <is>
          <t>Bộ</t>
        </is>
      </c>
      <c r="G883" s="4" t="n">
        <v>1</v>
      </c>
      <c r="H883" s="2">
        <f>XLOOKUP(B883, '00_TONG_HOP_BAO_GIA'!B:B, '00_TONG_HOP_BAO_GIA'!G:G, 1)</f>
        <v/>
      </c>
      <c r="I883" s="5">
        <f>G883*H883</f>
        <v/>
      </c>
      <c r="J883" s="2">
        <f>XLOOKUP(E883, '06_BANG_GIA_VAT_TU_AP_DUNG'!B:B, '06_BANG_GIA_VAT_TU_AP_DUNG'!C:C, "LỖI_MÃ_VT")</f>
        <v/>
      </c>
      <c r="K883" s="2">
        <f>I883*J883</f>
        <v/>
      </c>
      <c r="L883" t="inlineStr">
        <is>
          <t>Cơ cấu liên động bánh răng van</t>
        </is>
      </c>
    </row>
    <row r="884">
      <c r="A884" t="inlineStr">
        <is>
          <t>SW-DAMPER-234-FUSE</t>
        </is>
      </c>
      <c r="B884" t="inlineStr">
        <is>
          <t>SW-DAMPER-234</t>
        </is>
      </c>
      <c r="C884" t="inlineStr">
        <is>
          <t>Cầu chì nhiệt nóng chảy 70°C (Elsie/USA)</t>
        </is>
      </c>
      <c r="D884" t="inlineStr">
        <is>
          <t>PHỤ_KIỆN_VAN</t>
        </is>
      </c>
      <c r="E884" t="inlineStr">
        <is>
          <t>MAT-DAMPER-CAU-CHI-USA-2-400X400</t>
        </is>
      </c>
      <c r="F884" t="inlineStr">
        <is>
          <t>Cái</t>
        </is>
      </c>
      <c r="G884" s="4" t="n">
        <v>1</v>
      </c>
      <c r="H884" s="2">
        <f>XLOOKUP(B884, '00_TONG_HOP_BAO_GIA'!B:B, '00_TONG_HOP_BAO_GIA'!G:G, 1)</f>
        <v/>
      </c>
      <c r="I884" s="5">
        <f>G884*H884</f>
        <v/>
      </c>
      <c r="J884" s="2">
        <f>XLOOKUP(E884, '06_BANG_GIA_VAT_TU_AP_DUNG'!B:B, '06_BANG_GIA_VAT_TU_AP_DUNG'!C:C, "LỖI_MÃ_VT")</f>
        <v/>
      </c>
      <c r="K884" s="2">
        <f>I884*J884</f>
        <v/>
      </c>
      <c r="L884" t="inlineStr">
        <is>
          <t>Cầu chì kiểm định PCCC</t>
        </is>
      </c>
    </row>
    <row r="885">
      <c r="A885" t="inlineStr">
        <is>
          <t>SW-DAMPER-235-BODY</t>
        </is>
      </c>
      <c r="B885" t="inlineStr">
        <is>
          <t>SW-DAMPER-235</t>
        </is>
      </c>
      <c r="C885" t="inlineStr">
        <is>
          <t>Thân vỏ van FD bích TDF (0.95mm)</t>
        </is>
      </c>
      <c r="D885" t="inlineStr">
        <is>
          <t>TÔN_CUỘN_MẠ_KẼM</t>
        </is>
      </c>
      <c r="E885" t="inlineStr">
        <is>
          <t>MAT-STEEL-PN-0.95</t>
        </is>
      </c>
      <c r="F885" t="inlineStr">
        <is>
          <t>kg</t>
        </is>
      </c>
      <c r="G885" s="4" t="n">
        <v>15.1345488</v>
      </c>
      <c r="H885" s="2">
        <f>XLOOKUP(B885, '00_TONG_HOP_BAO_GIA'!B:B, '00_TONG_HOP_BAO_GIA'!G:G, 1)</f>
        <v/>
      </c>
      <c r="I885" s="5">
        <f>G885*H885</f>
        <v/>
      </c>
      <c r="J885" s="2">
        <f>XLOOKUP(E885, '06_BANG_GIA_VAT_TU_AP_DUNG'!B:B, '06_BANG_GIA_VAT_TU_AP_DUNG'!C:C, "LỖI_MÃ_VT")</f>
        <v/>
      </c>
      <c r="K885" s="2">
        <f>I885*J885</f>
        <v/>
      </c>
      <c r="L885" t="inlineStr">
        <is>
          <t>Kích thước vỏ 2000.0x1000.0x250mm</t>
        </is>
      </c>
    </row>
    <row r="886">
      <c r="A886" t="inlineStr">
        <is>
          <t>SW-DAMPER-235-BLADE</t>
        </is>
      </c>
      <c r="B886" t="inlineStr">
        <is>
          <t>SW-DAMPER-235</t>
        </is>
      </c>
      <c r="C886" t="inlineStr">
        <is>
          <t>Lá cánh van (6 cánh overlap)</t>
        </is>
      </c>
      <c r="D886" t="inlineStr">
        <is>
          <t>TÔN_CUỘN_MẠ_KẼM</t>
        </is>
      </c>
      <c r="E886" t="inlineStr">
        <is>
          <t>MAT-STEEL-PN-0.75</t>
        </is>
      </c>
      <c r="F886" t="inlineStr">
        <is>
          <t>kg</t>
        </is>
      </c>
      <c r="G886" s="4" t="n">
        <v>14.24304</v>
      </c>
      <c r="H886" s="2">
        <f>XLOOKUP(B886, '00_TONG_HOP_BAO_GIA'!B:B, '00_TONG_HOP_BAO_GIA'!G:G, 1)</f>
        <v/>
      </c>
      <c r="I886" s="5">
        <f>G886*H886</f>
        <v/>
      </c>
      <c r="J886" s="2">
        <f>XLOOKUP(E886, '06_BANG_GIA_VAT_TU_AP_DUNG'!B:B, '06_BANG_GIA_VAT_TU_AP_DUNG'!C:C, "LỖI_MÃ_VT")</f>
        <v/>
      </c>
      <c r="K886" s="2">
        <f>I886*J886</f>
        <v/>
      </c>
      <c r="L886" t="inlineStr">
        <is>
          <t>6 cánh cao 187mm</t>
        </is>
      </c>
    </row>
    <row r="887">
      <c r="A887" t="inlineStr">
        <is>
          <t>SW-DAMPER-235-AXLE</t>
        </is>
      </c>
      <c r="B887" t="inlineStr">
        <is>
          <t>SW-DAMPER-235</t>
        </is>
      </c>
      <c r="C887" t="inlineStr">
        <is>
          <t>Trục Sus 201 D10</t>
        </is>
      </c>
      <c r="D887" t="inlineStr">
        <is>
          <t>PHỤ_KIỆN_VAN</t>
        </is>
      </c>
      <c r="E887" t="inlineStr">
        <is>
          <t>MAT-DAMPER-TRUC-SUS-201-D10</t>
        </is>
      </c>
      <c r="F887" t="inlineStr">
        <is>
          <t>m</t>
        </is>
      </c>
      <c r="G887" s="4" t="n">
        <v>12.36</v>
      </c>
      <c r="H887" s="2">
        <f>XLOOKUP(B887, '00_TONG_HOP_BAO_GIA'!B:B, '00_TONG_HOP_BAO_GIA'!G:G, 1)</f>
        <v/>
      </c>
      <c r="I887" s="5">
        <f>G887*H887</f>
        <v/>
      </c>
      <c r="J887" s="2">
        <f>XLOOKUP(E887, '06_BANG_GIA_VAT_TU_AP_DUNG'!B:B, '06_BANG_GIA_VAT_TU_AP_DUNG'!C:C, "LỖI_MÃ_VT")</f>
        <v/>
      </c>
      <c r="K887" s="2">
        <f>I887*J887</f>
        <v/>
      </c>
      <c r="L887" t="inlineStr">
        <is>
          <t>6 trục dài 2060mm</t>
        </is>
      </c>
    </row>
    <row r="888">
      <c r="A888" t="inlineStr">
        <is>
          <t>SW-DAMPER-235-BEARING</t>
        </is>
      </c>
      <c r="B888" t="inlineStr">
        <is>
          <t>SW-DAMPER-235</t>
        </is>
      </c>
      <c r="C888" t="inlineStr">
        <is>
          <t>Bạc đồng D10</t>
        </is>
      </c>
      <c r="D888" t="inlineStr">
        <is>
          <t>PHỤ_KIỆN_VAN</t>
        </is>
      </c>
      <c r="E888" t="inlineStr">
        <is>
          <t>MAT-DAMPER-BAC-DONG-D10</t>
        </is>
      </c>
      <c r="F888" t="inlineStr">
        <is>
          <t>Đôi</t>
        </is>
      </c>
      <c r="G888" s="4" t="n">
        <v>6</v>
      </c>
      <c r="H888" s="2">
        <f>XLOOKUP(B888, '00_TONG_HOP_BAO_GIA'!B:B, '00_TONG_HOP_BAO_GIA'!G:G, 1)</f>
        <v/>
      </c>
      <c r="I888" s="5">
        <f>G888*H888</f>
        <v/>
      </c>
      <c r="J888" s="2">
        <f>XLOOKUP(E888, '06_BANG_GIA_VAT_TU_AP_DUNG'!B:B, '06_BANG_GIA_VAT_TU_AP_DUNG'!C:C, "LỖI_MÃ_VT")</f>
        <v/>
      </c>
      <c r="K888" s="2">
        <f>I888*J888</f>
        <v/>
      </c>
      <c r="L888" t="inlineStr">
        <is>
          <t>6 đôi bạc đỡ 2 bên thân</t>
        </is>
      </c>
    </row>
    <row r="889">
      <c r="A889" t="inlineStr">
        <is>
          <t>SW-DAMPER-235-GEAR</t>
        </is>
      </c>
      <c r="B889" t="inlineStr">
        <is>
          <t>SW-DAMPER-235</t>
        </is>
      </c>
      <c r="C889" t="inlineStr">
        <is>
          <t>Bánh răng van nhôm</t>
        </is>
      </c>
      <c r="D889" t="inlineStr">
        <is>
          <t>PHỤ_KIỆN_VAN</t>
        </is>
      </c>
      <c r="E889" t="inlineStr">
        <is>
          <t>MAT-DAMPER-BANH-RANG-VAN-NHOM</t>
        </is>
      </c>
      <c r="F889" t="inlineStr">
        <is>
          <t>Bộ</t>
        </is>
      </c>
      <c r="G889" s="4" t="n">
        <v>1</v>
      </c>
      <c r="H889" s="2">
        <f>XLOOKUP(B889, '00_TONG_HOP_BAO_GIA'!B:B, '00_TONG_HOP_BAO_GIA'!G:G, 1)</f>
        <v/>
      </c>
      <c r="I889" s="5">
        <f>G889*H889</f>
        <v/>
      </c>
      <c r="J889" s="2">
        <f>XLOOKUP(E889, '06_BANG_GIA_VAT_TU_AP_DUNG'!B:B, '06_BANG_GIA_VAT_TU_AP_DUNG'!C:C, "LỖI_MÃ_VT")</f>
        <v/>
      </c>
      <c r="K889" s="2">
        <f>I889*J889</f>
        <v/>
      </c>
      <c r="L889" t="inlineStr">
        <is>
          <t>Cơ cấu liên động bánh răng van</t>
        </is>
      </c>
    </row>
    <row r="890">
      <c r="A890" t="inlineStr">
        <is>
          <t>SW-DAMPER-235-FUSE</t>
        </is>
      </c>
      <c r="B890" t="inlineStr">
        <is>
          <t>SW-DAMPER-235</t>
        </is>
      </c>
      <c r="C890" t="inlineStr">
        <is>
          <t>Cầu chì nhiệt nóng chảy 70°C (Elsie/USA)</t>
        </is>
      </c>
      <c r="D890" t="inlineStr">
        <is>
          <t>PHỤ_KIỆN_VAN</t>
        </is>
      </c>
      <c r="E890" t="inlineStr">
        <is>
          <t>MAT-DAMPER-CAU-CHI-USA-2-400X400</t>
        </is>
      </c>
      <c r="F890" t="inlineStr">
        <is>
          <t>Cái</t>
        </is>
      </c>
      <c r="G890" s="4" t="n">
        <v>1</v>
      </c>
      <c r="H890" s="2">
        <f>XLOOKUP(B890, '00_TONG_HOP_BAO_GIA'!B:B, '00_TONG_HOP_BAO_GIA'!G:G, 1)</f>
        <v/>
      </c>
      <c r="I890" s="5">
        <f>G890*H890</f>
        <v/>
      </c>
      <c r="J890" s="2">
        <f>XLOOKUP(E890, '06_BANG_GIA_VAT_TU_AP_DUNG'!B:B, '06_BANG_GIA_VAT_TU_AP_DUNG'!C:C, "LỖI_MÃ_VT")</f>
        <v/>
      </c>
      <c r="K890" s="2">
        <f>I890*J890</f>
        <v/>
      </c>
      <c r="L890" t="inlineStr">
        <is>
          <t>Cầu chì kiểm định PCCC</t>
        </is>
      </c>
    </row>
    <row r="891">
      <c r="A891" t="inlineStr">
        <is>
          <t>SW-DAMPER-236-BODY</t>
        </is>
      </c>
      <c r="B891" t="inlineStr">
        <is>
          <t>SW-DAMPER-236</t>
        </is>
      </c>
      <c r="C891" t="inlineStr">
        <is>
          <t>Thân vỏ van MD bích TDF (0.75mm)</t>
        </is>
      </c>
      <c r="D891" t="inlineStr">
        <is>
          <t>TÔN_CUỘN_MẠ_KẼM</t>
        </is>
      </c>
      <c r="E891" t="inlineStr">
        <is>
          <t>MAT-STEEL-PN-0.75</t>
        </is>
      </c>
      <c r="F891" t="inlineStr">
        <is>
          <t>kg</t>
        </is>
      </c>
      <c r="G891" s="4" t="n">
        <v>2.146347</v>
      </c>
      <c r="H891" s="2">
        <f>XLOOKUP(B891, '00_TONG_HOP_BAO_GIA'!B:B, '00_TONG_HOP_BAO_GIA'!G:G, 1)</f>
        <v/>
      </c>
      <c r="I891" s="5">
        <f>G891*H891</f>
        <v/>
      </c>
      <c r="J891" s="2">
        <f>XLOOKUP(E891, '06_BANG_GIA_VAT_TU_AP_DUNG'!B:B, '06_BANG_GIA_VAT_TU_AP_DUNG'!C:C, "LỖI_MÃ_VT")</f>
        <v/>
      </c>
      <c r="K891" s="2">
        <f>I891*J891</f>
        <v/>
      </c>
      <c r="L891" t="inlineStr">
        <is>
          <t>Kích thước vỏ 300.0x300.0x210mm</t>
        </is>
      </c>
    </row>
    <row r="892">
      <c r="A892" t="inlineStr">
        <is>
          <t>SW-DAMPER-236-BLADE</t>
        </is>
      </c>
      <c r="B892" t="inlineStr">
        <is>
          <t>SW-DAMPER-236</t>
        </is>
      </c>
      <c r="C892" t="inlineStr">
        <is>
          <t>Lá cánh van (2 cánh overlap)</t>
        </is>
      </c>
      <c r="D892" t="inlineStr">
        <is>
          <t>TÔN_CUỘN_MẠ_KẼM</t>
        </is>
      </c>
      <c r="E892" t="inlineStr">
        <is>
          <t>MAT-STEEL-PN-0.75</t>
        </is>
      </c>
      <c r="F892" t="inlineStr">
        <is>
          <t>kg</t>
        </is>
      </c>
      <c r="G892" s="4" t="n">
        <v>0.648567</v>
      </c>
      <c r="H892" s="2">
        <f>XLOOKUP(B892, '00_TONG_HOP_BAO_GIA'!B:B, '00_TONG_HOP_BAO_GIA'!G:G, 1)</f>
        <v/>
      </c>
      <c r="I892" s="5">
        <f>G892*H892</f>
        <v/>
      </c>
      <c r="J892" s="2">
        <f>XLOOKUP(E892, '06_BANG_GIA_VAT_TU_AP_DUNG'!B:B, '06_BANG_GIA_VAT_TU_AP_DUNG'!C:C, "LỖI_MÃ_VT")</f>
        <v/>
      </c>
      <c r="K892" s="2">
        <f>I892*J892</f>
        <v/>
      </c>
      <c r="L892" t="inlineStr">
        <is>
          <t>2 cánh cao 170mm</t>
        </is>
      </c>
    </row>
    <row r="893">
      <c r="A893" t="inlineStr">
        <is>
          <t>SW-DAMPER-236-AXLE</t>
        </is>
      </c>
      <c r="B893" t="inlineStr">
        <is>
          <t>SW-DAMPER-236</t>
        </is>
      </c>
      <c r="C893" t="inlineStr">
        <is>
          <t>Trục Sus 201 D10</t>
        </is>
      </c>
      <c r="D893" t="inlineStr">
        <is>
          <t>PHỤ_KIỆN_VAN</t>
        </is>
      </c>
      <c r="E893" t="inlineStr">
        <is>
          <t>MAT-DAMPER-TRUC-SUS-201-D10</t>
        </is>
      </c>
      <c r="F893" t="inlineStr">
        <is>
          <t>m</t>
        </is>
      </c>
      <c r="G893" s="4" t="n">
        <v>0.72</v>
      </c>
      <c r="H893" s="2">
        <f>XLOOKUP(B893, '00_TONG_HOP_BAO_GIA'!B:B, '00_TONG_HOP_BAO_GIA'!G:G, 1)</f>
        <v/>
      </c>
      <c r="I893" s="5">
        <f>G893*H893</f>
        <v/>
      </c>
      <c r="J893" s="2">
        <f>XLOOKUP(E893, '06_BANG_GIA_VAT_TU_AP_DUNG'!B:B, '06_BANG_GIA_VAT_TU_AP_DUNG'!C:C, "LỖI_MÃ_VT")</f>
        <v/>
      </c>
      <c r="K893" s="2">
        <f>I893*J893</f>
        <v/>
      </c>
      <c r="L893" t="inlineStr">
        <is>
          <t>2 trục dài 360mm</t>
        </is>
      </c>
    </row>
    <row r="894">
      <c r="A894" t="inlineStr">
        <is>
          <t>SW-DAMPER-236-BEARING</t>
        </is>
      </c>
      <c r="B894" t="inlineStr">
        <is>
          <t>SW-DAMPER-236</t>
        </is>
      </c>
      <c r="C894" t="inlineStr">
        <is>
          <t>Bạc đồng D10</t>
        </is>
      </c>
      <c r="D894" t="inlineStr">
        <is>
          <t>PHỤ_KIỆN_VAN</t>
        </is>
      </c>
      <c r="E894" t="inlineStr">
        <is>
          <t>MAT-DAMPER-BAC-DONG-D10</t>
        </is>
      </c>
      <c r="F894" t="inlineStr">
        <is>
          <t>Đôi</t>
        </is>
      </c>
      <c r="G894" s="4" t="n">
        <v>2</v>
      </c>
      <c r="H894" s="2">
        <f>XLOOKUP(B894, '00_TONG_HOP_BAO_GIA'!B:B, '00_TONG_HOP_BAO_GIA'!G:G, 1)</f>
        <v/>
      </c>
      <c r="I894" s="5">
        <f>G894*H894</f>
        <v/>
      </c>
      <c r="J894" s="2">
        <f>XLOOKUP(E894, '06_BANG_GIA_VAT_TU_AP_DUNG'!B:B, '06_BANG_GIA_VAT_TU_AP_DUNG'!C:C, "LỖI_MÃ_VT")</f>
        <v/>
      </c>
      <c r="K894" s="2">
        <f>I894*J894</f>
        <v/>
      </c>
      <c r="L894" t="inlineStr">
        <is>
          <t>2 đôi bạc đỡ 2 bên thân</t>
        </is>
      </c>
    </row>
    <row r="895">
      <c r="A895" t="inlineStr">
        <is>
          <t>SW-DAMPER-236-GEAR</t>
        </is>
      </c>
      <c r="B895" t="inlineStr">
        <is>
          <t>SW-DAMPER-236</t>
        </is>
      </c>
      <c r="C895" t="inlineStr">
        <is>
          <t>Bánh răng van nhôm</t>
        </is>
      </c>
      <c r="D895" t="inlineStr">
        <is>
          <t>PHỤ_KIỆN_VAN</t>
        </is>
      </c>
      <c r="E895" t="inlineStr">
        <is>
          <t>MAT-DAMPER-BANH-RANG-VAN-NHOM</t>
        </is>
      </c>
      <c r="F895" t="inlineStr">
        <is>
          <t>Bộ</t>
        </is>
      </c>
      <c r="G895" s="4" t="n">
        <v>1</v>
      </c>
      <c r="H895" s="2">
        <f>XLOOKUP(B895, '00_TONG_HOP_BAO_GIA'!B:B, '00_TONG_HOP_BAO_GIA'!G:G, 1)</f>
        <v/>
      </c>
      <c r="I895" s="5">
        <f>G895*H895</f>
        <v/>
      </c>
      <c r="J895" s="2">
        <f>XLOOKUP(E895, '06_BANG_GIA_VAT_TU_AP_DUNG'!B:B, '06_BANG_GIA_VAT_TU_AP_DUNG'!C:C, "LỖI_MÃ_VT")</f>
        <v/>
      </c>
      <c r="K895" s="2">
        <f>I895*J895</f>
        <v/>
      </c>
      <c r="L895" t="inlineStr">
        <is>
          <t>Cơ cấu liên động bánh răng van</t>
        </is>
      </c>
    </row>
    <row r="896">
      <c r="A896" t="inlineStr">
        <is>
          <t>SW-DAMPER-236-ACTUATOR</t>
        </is>
      </c>
      <c r="B896" t="inlineStr">
        <is>
          <t>SW-DAMPER-236</t>
        </is>
      </c>
      <c r="C896" t="inlineStr">
        <is>
          <t>Model: NACA 2-05 (5Nm, 220VAC)</t>
        </is>
      </c>
      <c r="D896" t="inlineStr">
        <is>
          <t>ĐỘNG_CƠ_VÀ_CẢM_BIẾN</t>
        </is>
      </c>
      <c r="E896" t="inlineStr">
        <is>
          <t>MAT-ACTUATOR-NACA-2-05</t>
        </is>
      </c>
      <c r="F896" t="inlineStr">
        <is>
          <t>Cái</t>
        </is>
      </c>
      <c r="G896" s="4" t="n">
        <v>1</v>
      </c>
      <c r="H896" s="2">
        <f>XLOOKUP(B896, '00_TONG_HOP_BAO_GIA'!B:B, '00_TONG_HOP_BAO_GIA'!G:G, 1)</f>
        <v/>
      </c>
      <c r="I896" s="5">
        <f>G896*H896</f>
        <v/>
      </c>
      <c r="J896" s="2">
        <f>XLOOKUP(E896, '06_BANG_GIA_VAT_TU_AP_DUNG'!B:B, '06_BANG_GIA_VAT_TU_AP_DUNG'!C:C, "LỖI_MÃ_VT")</f>
        <v/>
      </c>
      <c r="K896" s="2">
        <f>I896*J896</f>
        <v/>
      </c>
      <c r="L896" t="inlineStr">
        <is>
          <t>Tiết diện van 0.09m2</t>
        </is>
      </c>
    </row>
    <row r="897">
      <c r="A897" t="inlineStr">
        <is>
          <t>SW-DAMPER-237-BODY</t>
        </is>
      </c>
      <c r="B897" t="inlineStr">
        <is>
          <t>SW-DAMPER-237</t>
        </is>
      </c>
      <c r="C897" t="inlineStr">
        <is>
          <t>Thân vỏ van MD bích TDF (0.75mm)</t>
        </is>
      </c>
      <c r="D897" t="inlineStr">
        <is>
          <t>TÔN_CUỘN_MẠ_KẼM</t>
        </is>
      </c>
      <c r="E897" t="inlineStr">
        <is>
          <t>MAT-STEEL-PN-0.75</t>
        </is>
      </c>
      <c r="F897" t="inlineStr">
        <is>
          <t>kg</t>
        </is>
      </c>
      <c r="G897" s="4" t="n">
        <v>3.184902</v>
      </c>
      <c r="H897" s="2">
        <f>XLOOKUP(B897, '00_TONG_HOP_BAO_GIA'!B:B, '00_TONG_HOP_BAO_GIA'!G:G, 1)</f>
        <v/>
      </c>
      <c r="I897" s="5">
        <f>G897*H897</f>
        <v/>
      </c>
      <c r="J897" s="2">
        <f>XLOOKUP(E897, '06_BANG_GIA_VAT_TU_AP_DUNG'!B:B, '06_BANG_GIA_VAT_TU_AP_DUNG'!C:C, "LỖI_MÃ_VT")</f>
        <v/>
      </c>
      <c r="K897" s="2">
        <f>I897*J897</f>
        <v/>
      </c>
      <c r="L897" t="inlineStr">
        <is>
          <t>Kích thước vỏ 500.0x400.0x210mm</t>
        </is>
      </c>
    </row>
    <row r="898">
      <c r="A898" t="inlineStr">
        <is>
          <t>SW-DAMPER-237-BLADE</t>
        </is>
      </c>
      <c r="B898" t="inlineStr">
        <is>
          <t>SW-DAMPER-237</t>
        </is>
      </c>
      <c r="C898" t="inlineStr">
        <is>
          <t>Lá cánh van (3 cánh overlap)</t>
        </is>
      </c>
      <c r="D898" t="inlineStr">
        <is>
          <t>TÔN_CUỘN_MẠ_KẼM</t>
        </is>
      </c>
      <c r="E898" t="inlineStr">
        <is>
          <t>MAT-STEEL-PN-0.75</t>
        </is>
      </c>
      <c r="F898" t="inlineStr">
        <is>
          <t>kg</t>
        </is>
      </c>
      <c r="G898" s="4" t="n">
        <v>1.462455</v>
      </c>
      <c r="H898" s="2">
        <f>XLOOKUP(B898, '00_TONG_HOP_BAO_GIA'!B:B, '00_TONG_HOP_BAO_GIA'!G:G, 1)</f>
        <v/>
      </c>
      <c r="I898" s="5">
        <f>G898*H898</f>
        <v/>
      </c>
      <c r="J898" s="2">
        <f>XLOOKUP(E898, '06_BANG_GIA_VAT_TU_AP_DUNG'!B:B, '06_BANG_GIA_VAT_TU_AP_DUNG'!C:C, "LỖI_MÃ_VT")</f>
        <v/>
      </c>
      <c r="K898" s="2">
        <f>I898*J898</f>
        <v/>
      </c>
      <c r="L898" t="inlineStr">
        <is>
          <t>3 cánh cao 153mm</t>
        </is>
      </c>
    </row>
    <row r="899">
      <c r="A899" t="inlineStr">
        <is>
          <t>SW-DAMPER-237-AXLE</t>
        </is>
      </c>
      <c r="B899" t="inlineStr">
        <is>
          <t>SW-DAMPER-237</t>
        </is>
      </c>
      <c r="C899" t="inlineStr">
        <is>
          <t>Trục Sus 201 D10</t>
        </is>
      </c>
      <c r="D899" t="inlineStr">
        <is>
          <t>PHỤ_KIỆN_VAN</t>
        </is>
      </c>
      <c r="E899" t="inlineStr">
        <is>
          <t>MAT-DAMPER-TRUC-SUS-201-D10</t>
        </is>
      </c>
      <c r="F899" t="inlineStr">
        <is>
          <t>m</t>
        </is>
      </c>
      <c r="G899" s="4" t="n">
        <v>1.68</v>
      </c>
      <c r="H899" s="2">
        <f>XLOOKUP(B899, '00_TONG_HOP_BAO_GIA'!B:B, '00_TONG_HOP_BAO_GIA'!G:G, 1)</f>
        <v/>
      </c>
      <c r="I899" s="5">
        <f>G899*H899</f>
        <v/>
      </c>
      <c r="J899" s="2">
        <f>XLOOKUP(E899, '06_BANG_GIA_VAT_TU_AP_DUNG'!B:B, '06_BANG_GIA_VAT_TU_AP_DUNG'!C:C, "LỖI_MÃ_VT")</f>
        <v/>
      </c>
      <c r="K899" s="2">
        <f>I899*J899</f>
        <v/>
      </c>
      <c r="L899" t="inlineStr">
        <is>
          <t>3 trục dài 560mm</t>
        </is>
      </c>
    </row>
    <row r="900">
      <c r="A900" t="inlineStr">
        <is>
          <t>SW-DAMPER-237-BEARING</t>
        </is>
      </c>
      <c r="B900" t="inlineStr">
        <is>
          <t>SW-DAMPER-237</t>
        </is>
      </c>
      <c r="C900" t="inlineStr">
        <is>
          <t>Bạc đồng D10</t>
        </is>
      </c>
      <c r="D900" t="inlineStr">
        <is>
          <t>PHỤ_KIỆN_VAN</t>
        </is>
      </c>
      <c r="E900" t="inlineStr">
        <is>
          <t>MAT-DAMPER-BAC-DONG-D10</t>
        </is>
      </c>
      <c r="F900" t="inlineStr">
        <is>
          <t>Đôi</t>
        </is>
      </c>
      <c r="G900" s="4" t="n">
        <v>3</v>
      </c>
      <c r="H900" s="2">
        <f>XLOOKUP(B900, '00_TONG_HOP_BAO_GIA'!B:B, '00_TONG_HOP_BAO_GIA'!G:G, 1)</f>
        <v/>
      </c>
      <c r="I900" s="5">
        <f>G900*H900</f>
        <v/>
      </c>
      <c r="J900" s="2">
        <f>XLOOKUP(E900, '06_BANG_GIA_VAT_TU_AP_DUNG'!B:B, '06_BANG_GIA_VAT_TU_AP_DUNG'!C:C, "LỖI_MÃ_VT")</f>
        <v/>
      </c>
      <c r="K900" s="2">
        <f>I900*J900</f>
        <v/>
      </c>
      <c r="L900" t="inlineStr">
        <is>
          <t>3 đôi bạc đỡ 2 bên thân</t>
        </is>
      </c>
    </row>
    <row r="901">
      <c r="A901" t="inlineStr">
        <is>
          <t>SW-DAMPER-237-GEAR</t>
        </is>
      </c>
      <c r="B901" t="inlineStr">
        <is>
          <t>SW-DAMPER-237</t>
        </is>
      </c>
      <c r="C901" t="inlineStr">
        <is>
          <t>Bánh răng van nhôm</t>
        </is>
      </c>
      <c r="D901" t="inlineStr">
        <is>
          <t>PHỤ_KIỆN_VAN</t>
        </is>
      </c>
      <c r="E901" t="inlineStr">
        <is>
          <t>MAT-DAMPER-BANH-RANG-VAN-NHOM</t>
        </is>
      </c>
      <c r="F901" t="inlineStr">
        <is>
          <t>Bộ</t>
        </is>
      </c>
      <c r="G901" s="4" t="n">
        <v>1</v>
      </c>
      <c r="H901" s="2">
        <f>XLOOKUP(B901, '00_TONG_HOP_BAO_GIA'!B:B, '00_TONG_HOP_BAO_GIA'!G:G, 1)</f>
        <v/>
      </c>
      <c r="I901" s="5">
        <f>G901*H901</f>
        <v/>
      </c>
      <c r="J901" s="2">
        <f>XLOOKUP(E901, '06_BANG_GIA_VAT_TU_AP_DUNG'!B:B, '06_BANG_GIA_VAT_TU_AP_DUNG'!C:C, "LỖI_MÃ_VT")</f>
        <v/>
      </c>
      <c r="K901" s="2">
        <f>I901*J901</f>
        <v/>
      </c>
      <c r="L901" t="inlineStr">
        <is>
          <t>Cơ cấu liên động bánh răng van</t>
        </is>
      </c>
    </row>
    <row r="902">
      <c r="A902" t="inlineStr">
        <is>
          <t>SW-DAMPER-237-ACTUATOR</t>
        </is>
      </c>
      <c r="B902" t="inlineStr">
        <is>
          <t>SW-DAMPER-237</t>
        </is>
      </c>
      <c r="C902" t="inlineStr">
        <is>
          <t>Model: NACA 2-05 (5Nm, 220VAC)</t>
        </is>
      </c>
      <c r="D902" t="inlineStr">
        <is>
          <t>ĐỘNG_CƠ_VÀ_CẢM_BIẾN</t>
        </is>
      </c>
      <c r="E902" t="inlineStr">
        <is>
          <t>MAT-ACTUATOR-NACA-2-05</t>
        </is>
      </c>
      <c r="F902" t="inlineStr">
        <is>
          <t>Cái</t>
        </is>
      </c>
      <c r="G902" s="4" t="n">
        <v>1</v>
      </c>
      <c r="H902" s="2">
        <f>XLOOKUP(B902, '00_TONG_HOP_BAO_GIA'!B:B, '00_TONG_HOP_BAO_GIA'!G:G, 1)</f>
        <v/>
      </c>
      <c r="I902" s="5">
        <f>G902*H902</f>
        <v/>
      </c>
      <c r="J902" s="2">
        <f>XLOOKUP(E902, '06_BANG_GIA_VAT_TU_AP_DUNG'!B:B, '06_BANG_GIA_VAT_TU_AP_DUNG'!C:C, "LỖI_MÃ_VT")</f>
        <v/>
      </c>
      <c r="K902" s="2">
        <f>I902*J902</f>
        <v/>
      </c>
      <c r="L902" t="inlineStr">
        <is>
          <t>Tiết diện van 0.20m2</t>
        </is>
      </c>
    </row>
    <row r="903">
      <c r="A903" t="inlineStr">
        <is>
          <t>SW-DAMPER-238-BODY</t>
        </is>
      </c>
      <c r="B903" t="inlineStr">
        <is>
          <t>SW-DAMPER-238</t>
        </is>
      </c>
      <c r="C903" t="inlineStr">
        <is>
          <t>Thân vỏ van MD bích TDF (0.75mm)</t>
        </is>
      </c>
      <c r="D903" t="inlineStr">
        <is>
          <t>TÔN_CUỘN_MẠ_KẼM</t>
        </is>
      </c>
      <c r="E903" t="inlineStr">
        <is>
          <t>MAT-STEEL-PN-0.75</t>
        </is>
      </c>
      <c r="F903" t="inlineStr">
        <is>
          <t>kg</t>
        </is>
      </c>
      <c r="G903" s="4" t="n">
        <v>3.531087</v>
      </c>
      <c r="H903" s="2">
        <f>XLOOKUP(B903, '00_TONG_HOP_BAO_GIA'!B:B, '00_TONG_HOP_BAO_GIA'!G:G, 1)</f>
        <v/>
      </c>
      <c r="I903" s="5">
        <f>G903*H903</f>
        <v/>
      </c>
      <c r="J903" s="2">
        <f>XLOOKUP(E903, '06_BANG_GIA_VAT_TU_AP_DUNG'!B:B, '06_BANG_GIA_VAT_TU_AP_DUNG'!C:C, "LỖI_MÃ_VT")</f>
        <v/>
      </c>
      <c r="K903" s="2">
        <f>I903*J903</f>
        <v/>
      </c>
      <c r="L903" t="inlineStr">
        <is>
          <t>Kích thước vỏ 550.0x450.0x210mm</t>
        </is>
      </c>
    </row>
    <row r="904">
      <c r="A904" t="inlineStr">
        <is>
          <t>SW-DAMPER-238-BLADE</t>
        </is>
      </c>
      <c r="B904" t="inlineStr">
        <is>
          <t>SW-DAMPER-238</t>
        </is>
      </c>
      <c r="C904" t="inlineStr">
        <is>
          <t>Lá cánh van (3 cánh overlap)</t>
        </is>
      </c>
      <c r="D904" t="inlineStr">
        <is>
          <t>TÔN_CUỘN_MẠ_KẼM</t>
        </is>
      </c>
      <c r="E904" t="inlineStr">
        <is>
          <t>MAT-STEEL-PN-0.75</t>
        </is>
      </c>
      <c r="F904" t="inlineStr">
        <is>
          <t>kg</t>
        </is>
      </c>
      <c r="G904" s="4" t="n">
        <v>1.78355925</v>
      </c>
      <c r="H904" s="2">
        <f>XLOOKUP(B904, '00_TONG_HOP_BAO_GIA'!B:B, '00_TONG_HOP_BAO_GIA'!G:G, 1)</f>
        <v/>
      </c>
      <c r="I904" s="5">
        <f>G904*H904</f>
        <v/>
      </c>
      <c r="J904" s="2">
        <f>XLOOKUP(E904, '06_BANG_GIA_VAT_TU_AP_DUNG'!B:B, '06_BANG_GIA_VAT_TU_AP_DUNG'!C:C, "LỖI_MÃ_VT")</f>
        <v/>
      </c>
      <c r="K904" s="2">
        <f>I904*J904</f>
        <v/>
      </c>
      <c r="L904" t="inlineStr">
        <is>
          <t>3 cánh cao 170mm</t>
        </is>
      </c>
    </row>
    <row r="905">
      <c r="A905" t="inlineStr">
        <is>
          <t>SW-DAMPER-238-AXLE</t>
        </is>
      </c>
      <c r="B905" t="inlineStr">
        <is>
          <t>SW-DAMPER-238</t>
        </is>
      </c>
      <c r="C905" t="inlineStr">
        <is>
          <t>Trục Sus 201 D10</t>
        </is>
      </c>
      <c r="D905" t="inlineStr">
        <is>
          <t>PHỤ_KIỆN_VAN</t>
        </is>
      </c>
      <c r="E905" t="inlineStr">
        <is>
          <t>MAT-DAMPER-TRUC-SUS-201-D10</t>
        </is>
      </c>
      <c r="F905" t="inlineStr">
        <is>
          <t>m</t>
        </is>
      </c>
      <c r="G905" s="4" t="n">
        <v>1.83</v>
      </c>
      <c r="H905" s="2">
        <f>XLOOKUP(B905, '00_TONG_HOP_BAO_GIA'!B:B, '00_TONG_HOP_BAO_GIA'!G:G, 1)</f>
        <v/>
      </c>
      <c r="I905" s="5">
        <f>G905*H905</f>
        <v/>
      </c>
      <c r="J905" s="2">
        <f>XLOOKUP(E905, '06_BANG_GIA_VAT_TU_AP_DUNG'!B:B, '06_BANG_GIA_VAT_TU_AP_DUNG'!C:C, "LỖI_MÃ_VT")</f>
        <v/>
      </c>
      <c r="K905" s="2">
        <f>I905*J905</f>
        <v/>
      </c>
      <c r="L905" t="inlineStr">
        <is>
          <t>3 trục dài 610mm</t>
        </is>
      </c>
    </row>
    <row r="906">
      <c r="A906" t="inlineStr">
        <is>
          <t>SW-DAMPER-238-BEARING</t>
        </is>
      </c>
      <c r="B906" t="inlineStr">
        <is>
          <t>SW-DAMPER-238</t>
        </is>
      </c>
      <c r="C906" t="inlineStr">
        <is>
          <t>Bạc đồng D10</t>
        </is>
      </c>
      <c r="D906" t="inlineStr">
        <is>
          <t>PHỤ_KIỆN_VAN</t>
        </is>
      </c>
      <c r="E906" t="inlineStr">
        <is>
          <t>MAT-DAMPER-BAC-DONG-D10</t>
        </is>
      </c>
      <c r="F906" t="inlineStr">
        <is>
          <t>Đôi</t>
        </is>
      </c>
      <c r="G906" s="4" t="n">
        <v>3</v>
      </c>
      <c r="H906" s="2">
        <f>XLOOKUP(B906, '00_TONG_HOP_BAO_GIA'!B:B, '00_TONG_HOP_BAO_GIA'!G:G, 1)</f>
        <v/>
      </c>
      <c r="I906" s="5">
        <f>G906*H906</f>
        <v/>
      </c>
      <c r="J906" s="2">
        <f>XLOOKUP(E906, '06_BANG_GIA_VAT_TU_AP_DUNG'!B:B, '06_BANG_GIA_VAT_TU_AP_DUNG'!C:C, "LỖI_MÃ_VT")</f>
        <v/>
      </c>
      <c r="K906" s="2">
        <f>I906*J906</f>
        <v/>
      </c>
      <c r="L906" t="inlineStr">
        <is>
          <t>3 đôi bạc đỡ 2 bên thân</t>
        </is>
      </c>
    </row>
    <row r="907">
      <c r="A907" t="inlineStr">
        <is>
          <t>SW-DAMPER-238-GEAR</t>
        </is>
      </c>
      <c r="B907" t="inlineStr">
        <is>
          <t>SW-DAMPER-238</t>
        </is>
      </c>
      <c r="C907" t="inlineStr">
        <is>
          <t>Bánh răng van nhôm</t>
        </is>
      </c>
      <c r="D907" t="inlineStr">
        <is>
          <t>PHỤ_KIỆN_VAN</t>
        </is>
      </c>
      <c r="E907" t="inlineStr">
        <is>
          <t>MAT-DAMPER-BANH-RANG-VAN-NHOM</t>
        </is>
      </c>
      <c r="F907" t="inlineStr">
        <is>
          <t>Bộ</t>
        </is>
      </c>
      <c r="G907" s="4" t="n">
        <v>1</v>
      </c>
      <c r="H907" s="2">
        <f>XLOOKUP(B907, '00_TONG_HOP_BAO_GIA'!B:B, '00_TONG_HOP_BAO_GIA'!G:G, 1)</f>
        <v/>
      </c>
      <c r="I907" s="5">
        <f>G907*H907</f>
        <v/>
      </c>
      <c r="J907" s="2">
        <f>XLOOKUP(E907, '06_BANG_GIA_VAT_TU_AP_DUNG'!B:B, '06_BANG_GIA_VAT_TU_AP_DUNG'!C:C, "LỖI_MÃ_VT")</f>
        <v/>
      </c>
      <c r="K907" s="2">
        <f>I907*J907</f>
        <v/>
      </c>
      <c r="L907" t="inlineStr">
        <is>
          <t>Cơ cấu liên động bánh răng van</t>
        </is>
      </c>
    </row>
    <row r="908">
      <c r="A908" t="inlineStr">
        <is>
          <t>SW-DAMPER-238-ACTUATOR</t>
        </is>
      </c>
      <c r="B908" t="inlineStr">
        <is>
          <t>SW-DAMPER-238</t>
        </is>
      </c>
      <c r="C908" t="inlineStr">
        <is>
          <t>Model: NACA 2-05 (5Nm, 220VAC)</t>
        </is>
      </c>
      <c r="D908" t="inlineStr">
        <is>
          <t>ĐỘNG_CƠ_VÀ_CẢM_BIẾN</t>
        </is>
      </c>
      <c r="E908" t="inlineStr">
        <is>
          <t>MAT-ACTUATOR-NACA-2-05</t>
        </is>
      </c>
      <c r="F908" t="inlineStr">
        <is>
          <t>Cái</t>
        </is>
      </c>
      <c r="G908" s="4" t="n">
        <v>1</v>
      </c>
      <c r="H908" s="2">
        <f>XLOOKUP(B908, '00_TONG_HOP_BAO_GIA'!B:B, '00_TONG_HOP_BAO_GIA'!G:G, 1)</f>
        <v/>
      </c>
      <c r="I908" s="5">
        <f>G908*H908</f>
        <v/>
      </c>
      <c r="J908" s="2">
        <f>XLOOKUP(E908, '06_BANG_GIA_VAT_TU_AP_DUNG'!B:B, '06_BANG_GIA_VAT_TU_AP_DUNG'!C:C, "LỖI_MÃ_VT")</f>
        <v/>
      </c>
      <c r="K908" s="2">
        <f>I908*J908</f>
        <v/>
      </c>
      <c r="L908" t="inlineStr">
        <is>
          <t>Tiết diện van 0.25m2</t>
        </is>
      </c>
    </row>
    <row r="909">
      <c r="A909" t="inlineStr">
        <is>
          <t>SW-DAMPER-239-BODY</t>
        </is>
      </c>
      <c r="B909" t="inlineStr">
        <is>
          <t>SW-DAMPER-239</t>
        </is>
      </c>
      <c r="C909" t="inlineStr">
        <is>
          <t>Thân vỏ van MD bích TDF (0.75mm)</t>
        </is>
      </c>
      <c r="D909" t="inlineStr">
        <is>
          <t>TÔN_CUỘN_MẠ_KẼM</t>
        </is>
      </c>
      <c r="E909" t="inlineStr">
        <is>
          <t>MAT-STEEL-PN-0.75</t>
        </is>
      </c>
      <c r="F909" t="inlineStr">
        <is>
          <t>kg</t>
        </is>
      </c>
      <c r="G909" s="4" t="n">
        <v>2.838717</v>
      </c>
      <c r="H909" s="2">
        <f>XLOOKUP(B909, '00_TONG_HOP_BAO_GIA'!B:B, '00_TONG_HOP_BAO_GIA'!G:G, 1)</f>
        <v/>
      </c>
      <c r="I909" s="5">
        <f>G909*H909</f>
        <v/>
      </c>
      <c r="J909" s="2">
        <f>XLOOKUP(E909, '06_BANG_GIA_VAT_TU_AP_DUNG'!B:B, '06_BANG_GIA_VAT_TU_AP_DUNG'!C:C, "LỖI_MÃ_VT")</f>
        <v/>
      </c>
      <c r="K909" s="2">
        <f>I909*J909</f>
        <v/>
      </c>
      <c r="L909" t="inlineStr">
        <is>
          <t>Kích thước vỏ 600.0x200.0x210mm</t>
        </is>
      </c>
    </row>
    <row r="910">
      <c r="A910" t="inlineStr">
        <is>
          <t>SW-DAMPER-239-BLADE</t>
        </is>
      </c>
      <c r="B910" t="inlineStr">
        <is>
          <t>SW-DAMPER-239</t>
        </is>
      </c>
      <c r="C910" t="inlineStr">
        <is>
          <t>Lá cánh van (2 cánh overlap)</t>
        </is>
      </c>
      <c r="D910" t="inlineStr">
        <is>
          <t>TÔN_CUỘN_MẠ_KẼM</t>
        </is>
      </c>
      <c r="E910" t="inlineStr">
        <is>
          <t>MAT-STEEL-PN-0.75</t>
        </is>
      </c>
      <c r="F910" t="inlineStr">
        <is>
          <t>kg</t>
        </is>
      </c>
      <c r="G910" s="4" t="n">
        <v>0.9156239999999999</v>
      </c>
      <c r="H910" s="2">
        <f>XLOOKUP(B910, '00_TONG_HOP_BAO_GIA'!B:B, '00_TONG_HOP_BAO_GIA'!G:G, 1)</f>
        <v/>
      </c>
      <c r="I910" s="5">
        <f>G910*H910</f>
        <v/>
      </c>
      <c r="J910" s="2">
        <f>XLOOKUP(E910, '06_BANG_GIA_VAT_TU_AP_DUNG'!B:B, '06_BANG_GIA_VAT_TU_AP_DUNG'!C:C, "LỖI_MÃ_VT")</f>
        <v/>
      </c>
      <c r="K910" s="2">
        <f>I910*J910</f>
        <v/>
      </c>
      <c r="L910" t="inlineStr">
        <is>
          <t>2 cánh cao 120mm</t>
        </is>
      </c>
    </row>
    <row r="911">
      <c r="A911" t="inlineStr">
        <is>
          <t>SW-DAMPER-239-AXLE</t>
        </is>
      </c>
      <c r="B911" t="inlineStr">
        <is>
          <t>SW-DAMPER-239</t>
        </is>
      </c>
      <c r="C911" t="inlineStr">
        <is>
          <t>Trục Sus 201 D10</t>
        </is>
      </c>
      <c r="D911" t="inlineStr">
        <is>
          <t>PHỤ_KIỆN_VAN</t>
        </is>
      </c>
      <c r="E911" t="inlineStr">
        <is>
          <t>MAT-DAMPER-TRUC-SUS-201-D10</t>
        </is>
      </c>
      <c r="F911" t="inlineStr">
        <is>
          <t>m</t>
        </is>
      </c>
      <c r="G911" s="4" t="n">
        <v>1.32</v>
      </c>
      <c r="H911" s="2">
        <f>XLOOKUP(B911, '00_TONG_HOP_BAO_GIA'!B:B, '00_TONG_HOP_BAO_GIA'!G:G, 1)</f>
        <v/>
      </c>
      <c r="I911" s="5">
        <f>G911*H911</f>
        <v/>
      </c>
      <c r="J911" s="2">
        <f>XLOOKUP(E911, '06_BANG_GIA_VAT_TU_AP_DUNG'!B:B, '06_BANG_GIA_VAT_TU_AP_DUNG'!C:C, "LỖI_MÃ_VT")</f>
        <v/>
      </c>
      <c r="K911" s="2">
        <f>I911*J911</f>
        <v/>
      </c>
      <c r="L911" t="inlineStr">
        <is>
          <t>2 trục dài 660mm</t>
        </is>
      </c>
    </row>
    <row r="912">
      <c r="A912" t="inlineStr">
        <is>
          <t>SW-DAMPER-239-BEARING</t>
        </is>
      </c>
      <c r="B912" t="inlineStr">
        <is>
          <t>SW-DAMPER-239</t>
        </is>
      </c>
      <c r="C912" t="inlineStr">
        <is>
          <t>Bạc đồng D10</t>
        </is>
      </c>
      <c r="D912" t="inlineStr">
        <is>
          <t>PHỤ_KIỆN_VAN</t>
        </is>
      </c>
      <c r="E912" t="inlineStr">
        <is>
          <t>MAT-DAMPER-BAC-DONG-D10</t>
        </is>
      </c>
      <c r="F912" t="inlineStr">
        <is>
          <t>Đôi</t>
        </is>
      </c>
      <c r="G912" s="4" t="n">
        <v>2</v>
      </c>
      <c r="H912" s="2">
        <f>XLOOKUP(B912, '00_TONG_HOP_BAO_GIA'!B:B, '00_TONG_HOP_BAO_GIA'!G:G, 1)</f>
        <v/>
      </c>
      <c r="I912" s="5">
        <f>G912*H912</f>
        <v/>
      </c>
      <c r="J912" s="2">
        <f>XLOOKUP(E912, '06_BANG_GIA_VAT_TU_AP_DUNG'!B:B, '06_BANG_GIA_VAT_TU_AP_DUNG'!C:C, "LỖI_MÃ_VT")</f>
        <v/>
      </c>
      <c r="K912" s="2">
        <f>I912*J912</f>
        <v/>
      </c>
      <c r="L912" t="inlineStr">
        <is>
          <t>2 đôi bạc đỡ 2 bên thân</t>
        </is>
      </c>
    </row>
    <row r="913">
      <c r="A913" t="inlineStr">
        <is>
          <t>SW-DAMPER-239-GEAR</t>
        </is>
      </c>
      <c r="B913" t="inlineStr">
        <is>
          <t>SW-DAMPER-239</t>
        </is>
      </c>
      <c r="C913" t="inlineStr">
        <is>
          <t>Bánh răng van nhôm</t>
        </is>
      </c>
      <c r="D913" t="inlineStr">
        <is>
          <t>PHỤ_KIỆN_VAN</t>
        </is>
      </c>
      <c r="E913" t="inlineStr">
        <is>
          <t>MAT-DAMPER-BANH-RANG-VAN-NHOM</t>
        </is>
      </c>
      <c r="F913" t="inlineStr">
        <is>
          <t>Bộ</t>
        </is>
      </c>
      <c r="G913" s="4" t="n">
        <v>1</v>
      </c>
      <c r="H913" s="2">
        <f>XLOOKUP(B913, '00_TONG_HOP_BAO_GIA'!B:B, '00_TONG_HOP_BAO_GIA'!G:G, 1)</f>
        <v/>
      </c>
      <c r="I913" s="5">
        <f>G913*H913</f>
        <v/>
      </c>
      <c r="J913" s="2">
        <f>XLOOKUP(E913, '06_BANG_GIA_VAT_TU_AP_DUNG'!B:B, '06_BANG_GIA_VAT_TU_AP_DUNG'!C:C, "LỖI_MÃ_VT")</f>
        <v/>
      </c>
      <c r="K913" s="2">
        <f>I913*J913</f>
        <v/>
      </c>
      <c r="L913" t="inlineStr">
        <is>
          <t>Cơ cấu liên động bánh răng van</t>
        </is>
      </c>
    </row>
    <row r="914">
      <c r="A914" t="inlineStr">
        <is>
          <t>SW-DAMPER-239-ACTUATOR</t>
        </is>
      </c>
      <c r="B914" t="inlineStr">
        <is>
          <t>SW-DAMPER-239</t>
        </is>
      </c>
      <c r="C914" t="inlineStr">
        <is>
          <t>Model: NACA 2-05 (5Nm, 220VAC)</t>
        </is>
      </c>
      <c r="D914" t="inlineStr">
        <is>
          <t>ĐỘNG_CƠ_VÀ_CẢM_BIẾN</t>
        </is>
      </c>
      <c r="E914" t="inlineStr">
        <is>
          <t>MAT-ACTUATOR-NACA-2-05</t>
        </is>
      </c>
      <c r="F914" t="inlineStr">
        <is>
          <t>Cái</t>
        </is>
      </c>
      <c r="G914" s="4" t="n">
        <v>1</v>
      </c>
      <c r="H914" s="2">
        <f>XLOOKUP(B914, '00_TONG_HOP_BAO_GIA'!B:B, '00_TONG_HOP_BAO_GIA'!G:G, 1)</f>
        <v/>
      </c>
      <c r="I914" s="5">
        <f>G914*H914</f>
        <v/>
      </c>
      <c r="J914" s="2">
        <f>XLOOKUP(E914, '06_BANG_GIA_VAT_TU_AP_DUNG'!B:B, '06_BANG_GIA_VAT_TU_AP_DUNG'!C:C, "LỖI_MÃ_VT")</f>
        <v/>
      </c>
      <c r="K914" s="2">
        <f>I914*J914</f>
        <v/>
      </c>
      <c r="L914" t="inlineStr">
        <is>
          <t>Tiết diện van 0.12m2</t>
        </is>
      </c>
    </row>
    <row r="915">
      <c r="A915" t="inlineStr">
        <is>
          <t>SW-DAMPER-240-BODY</t>
        </is>
      </c>
      <c r="B915" t="inlineStr">
        <is>
          <t>SW-DAMPER-240</t>
        </is>
      </c>
      <c r="C915" t="inlineStr">
        <is>
          <t>Thân vỏ van MD bích TDF (0.75mm)</t>
        </is>
      </c>
      <c r="D915" t="inlineStr">
        <is>
          <t>TÔN_CUỘN_MẠ_KẼM</t>
        </is>
      </c>
      <c r="E915" t="inlineStr">
        <is>
          <t>MAT-STEEL-PN-0.75</t>
        </is>
      </c>
      <c r="F915" t="inlineStr">
        <is>
          <t>kg</t>
        </is>
      </c>
      <c r="G915" s="4" t="n">
        <v>3.7041795</v>
      </c>
      <c r="H915" s="2">
        <f>XLOOKUP(B915, '00_TONG_HOP_BAO_GIA'!B:B, '00_TONG_HOP_BAO_GIA'!G:G, 1)</f>
        <v/>
      </c>
      <c r="I915" s="5">
        <f>G915*H915</f>
        <v/>
      </c>
      <c r="J915" s="2">
        <f>XLOOKUP(E915, '06_BANG_GIA_VAT_TU_AP_DUNG'!B:B, '06_BANG_GIA_VAT_TU_AP_DUNG'!C:C, "LỖI_MÃ_VT")</f>
        <v/>
      </c>
      <c r="K915" s="2">
        <f>I915*J915</f>
        <v/>
      </c>
      <c r="L915" t="inlineStr">
        <is>
          <t>Kích thước vỏ 600.0x450.0x210mm</t>
        </is>
      </c>
    </row>
    <row r="916">
      <c r="A916" t="inlineStr">
        <is>
          <t>SW-DAMPER-240-BLADE</t>
        </is>
      </c>
      <c r="B916" t="inlineStr">
        <is>
          <t>SW-DAMPER-240</t>
        </is>
      </c>
      <c r="C916" t="inlineStr">
        <is>
          <t>Lá cánh van (3 cánh overlap)</t>
        </is>
      </c>
      <c r="D916" t="inlineStr">
        <is>
          <t>TÔN_CUỘN_MẠ_KẼM</t>
        </is>
      </c>
      <c r="E916" t="inlineStr">
        <is>
          <t>MAT-STEEL-PN-0.75</t>
        </is>
      </c>
      <c r="F916" t="inlineStr">
        <is>
          <t>kg</t>
        </is>
      </c>
      <c r="G916" s="4" t="n">
        <v>1.945701</v>
      </c>
      <c r="H916" s="2">
        <f>XLOOKUP(B916, '00_TONG_HOP_BAO_GIA'!B:B, '00_TONG_HOP_BAO_GIA'!G:G, 1)</f>
        <v/>
      </c>
      <c r="I916" s="5">
        <f>G916*H916</f>
        <v/>
      </c>
      <c r="J916" s="2">
        <f>XLOOKUP(E916, '06_BANG_GIA_VAT_TU_AP_DUNG'!B:B, '06_BANG_GIA_VAT_TU_AP_DUNG'!C:C, "LỖI_MÃ_VT")</f>
        <v/>
      </c>
      <c r="K916" s="2">
        <f>I916*J916</f>
        <v/>
      </c>
      <c r="L916" t="inlineStr">
        <is>
          <t>3 cánh cao 170mm</t>
        </is>
      </c>
    </row>
    <row r="917">
      <c r="A917" t="inlineStr">
        <is>
          <t>SW-DAMPER-240-AXLE</t>
        </is>
      </c>
      <c r="B917" t="inlineStr">
        <is>
          <t>SW-DAMPER-240</t>
        </is>
      </c>
      <c r="C917" t="inlineStr">
        <is>
          <t>Trục Sus 201 D10</t>
        </is>
      </c>
      <c r="D917" t="inlineStr">
        <is>
          <t>PHỤ_KIỆN_VAN</t>
        </is>
      </c>
      <c r="E917" t="inlineStr">
        <is>
          <t>MAT-DAMPER-TRUC-SUS-201-D10</t>
        </is>
      </c>
      <c r="F917" t="inlineStr">
        <is>
          <t>m</t>
        </is>
      </c>
      <c r="G917" s="4" t="n">
        <v>1.98</v>
      </c>
      <c r="H917" s="2">
        <f>XLOOKUP(B917, '00_TONG_HOP_BAO_GIA'!B:B, '00_TONG_HOP_BAO_GIA'!G:G, 1)</f>
        <v/>
      </c>
      <c r="I917" s="5">
        <f>G917*H917</f>
        <v/>
      </c>
      <c r="J917" s="2">
        <f>XLOOKUP(E917, '06_BANG_GIA_VAT_TU_AP_DUNG'!B:B, '06_BANG_GIA_VAT_TU_AP_DUNG'!C:C, "LỖI_MÃ_VT")</f>
        <v/>
      </c>
      <c r="K917" s="2">
        <f>I917*J917</f>
        <v/>
      </c>
      <c r="L917" t="inlineStr">
        <is>
          <t>3 trục dài 660mm</t>
        </is>
      </c>
    </row>
    <row r="918">
      <c r="A918" t="inlineStr">
        <is>
          <t>SW-DAMPER-240-BEARING</t>
        </is>
      </c>
      <c r="B918" t="inlineStr">
        <is>
          <t>SW-DAMPER-240</t>
        </is>
      </c>
      <c r="C918" t="inlineStr">
        <is>
          <t>Bạc đồng D10</t>
        </is>
      </c>
      <c r="D918" t="inlineStr">
        <is>
          <t>PHỤ_KIỆN_VAN</t>
        </is>
      </c>
      <c r="E918" t="inlineStr">
        <is>
          <t>MAT-DAMPER-BAC-DONG-D10</t>
        </is>
      </c>
      <c r="F918" t="inlineStr">
        <is>
          <t>Đôi</t>
        </is>
      </c>
      <c r="G918" s="4" t="n">
        <v>3</v>
      </c>
      <c r="H918" s="2">
        <f>XLOOKUP(B918, '00_TONG_HOP_BAO_GIA'!B:B, '00_TONG_HOP_BAO_GIA'!G:G, 1)</f>
        <v/>
      </c>
      <c r="I918" s="5">
        <f>G918*H918</f>
        <v/>
      </c>
      <c r="J918" s="2">
        <f>XLOOKUP(E918, '06_BANG_GIA_VAT_TU_AP_DUNG'!B:B, '06_BANG_GIA_VAT_TU_AP_DUNG'!C:C, "LỖI_MÃ_VT")</f>
        <v/>
      </c>
      <c r="K918" s="2">
        <f>I918*J918</f>
        <v/>
      </c>
      <c r="L918" t="inlineStr">
        <is>
          <t>3 đôi bạc đỡ 2 bên thân</t>
        </is>
      </c>
    </row>
    <row r="919">
      <c r="A919" t="inlineStr">
        <is>
          <t>SW-DAMPER-240-GEAR</t>
        </is>
      </c>
      <c r="B919" t="inlineStr">
        <is>
          <t>SW-DAMPER-240</t>
        </is>
      </c>
      <c r="C919" t="inlineStr">
        <is>
          <t>Bánh răng van nhôm</t>
        </is>
      </c>
      <c r="D919" t="inlineStr">
        <is>
          <t>PHỤ_KIỆN_VAN</t>
        </is>
      </c>
      <c r="E919" t="inlineStr">
        <is>
          <t>MAT-DAMPER-BANH-RANG-VAN-NHOM</t>
        </is>
      </c>
      <c r="F919" t="inlineStr">
        <is>
          <t>Bộ</t>
        </is>
      </c>
      <c r="G919" s="4" t="n">
        <v>1</v>
      </c>
      <c r="H919" s="2">
        <f>XLOOKUP(B919, '00_TONG_HOP_BAO_GIA'!B:B, '00_TONG_HOP_BAO_GIA'!G:G, 1)</f>
        <v/>
      </c>
      <c r="I919" s="5">
        <f>G919*H919</f>
        <v/>
      </c>
      <c r="J919" s="2">
        <f>XLOOKUP(E919, '06_BANG_GIA_VAT_TU_AP_DUNG'!B:B, '06_BANG_GIA_VAT_TU_AP_DUNG'!C:C, "LỖI_MÃ_VT")</f>
        <v/>
      </c>
      <c r="K919" s="2">
        <f>I919*J919</f>
        <v/>
      </c>
      <c r="L919" t="inlineStr">
        <is>
          <t>Cơ cấu liên động bánh răng van</t>
        </is>
      </c>
    </row>
    <row r="920">
      <c r="A920" t="inlineStr">
        <is>
          <t>SW-DAMPER-240-ACTUATOR</t>
        </is>
      </c>
      <c r="B920" t="inlineStr">
        <is>
          <t>SW-DAMPER-240</t>
        </is>
      </c>
      <c r="C920" t="inlineStr">
        <is>
          <t>Model: NACA 2-05 (5Nm, 220VAC)</t>
        </is>
      </c>
      <c r="D920" t="inlineStr">
        <is>
          <t>ĐỘNG_CƠ_VÀ_CẢM_BIẾN</t>
        </is>
      </c>
      <c r="E920" t="inlineStr">
        <is>
          <t>MAT-ACTUATOR-NACA-2-05</t>
        </is>
      </c>
      <c r="F920" t="inlineStr">
        <is>
          <t>Cái</t>
        </is>
      </c>
      <c r="G920" s="4" t="n">
        <v>1</v>
      </c>
      <c r="H920" s="2">
        <f>XLOOKUP(B920, '00_TONG_HOP_BAO_GIA'!B:B, '00_TONG_HOP_BAO_GIA'!G:G, 1)</f>
        <v/>
      </c>
      <c r="I920" s="5">
        <f>G920*H920</f>
        <v/>
      </c>
      <c r="J920" s="2">
        <f>XLOOKUP(E920, '06_BANG_GIA_VAT_TU_AP_DUNG'!B:B, '06_BANG_GIA_VAT_TU_AP_DUNG'!C:C, "LỖI_MÃ_VT")</f>
        <v/>
      </c>
      <c r="K920" s="2">
        <f>I920*J920</f>
        <v/>
      </c>
      <c r="L920" t="inlineStr">
        <is>
          <t>Tiết diện van 0.27m2</t>
        </is>
      </c>
    </row>
    <row r="921">
      <c r="A921" t="inlineStr">
        <is>
          <t>SW-DAMPER-241-BODY</t>
        </is>
      </c>
      <c r="B921" t="inlineStr">
        <is>
          <t>SW-DAMPER-241</t>
        </is>
      </c>
      <c r="C921" t="inlineStr">
        <is>
          <t>Thân vỏ van MD bích TDF (0.75mm)</t>
        </is>
      </c>
      <c r="D921" t="inlineStr">
        <is>
          <t>TÔN_CUỘN_MẠ_KẼM</t>
        </is>
      </c>
      <c r="E921" t="inlineStr">
        <is>
          <t>MAT-STEEL-PN-0.75</t>
        </is>
      </c>
      <c r="F921" t="inlineStr">
        <is>
          <t>kg</t>
        </is>
      </c>
      <c r="G921" s="4" t="n">
        <v>4.223457</v>
      </c>
      <c r="H921" s="2">
        <f>XLOOKUP(B921, '00_TONG_HOP_BAO_GIA'!B:B, '00_TONG_HOP_BAO_GIA'!G:G, 1)</f>
        <v/>
      </c>
      <c r="I921" s="5">
        <f>G921*H921</f>
        <v/>
      </c>
      <c r="J921" s="2">
        <f>XLOOKUP(E921, '06_BANG_GIA_VAT_TU_AP_DUNG'!B:B, '06_BANG_GIA_VAT_TU_AP_DUNG'!C:C, "LỖI_MÃ_VT")</f>
        <v/>
      </c>
      <c r="K921" s="2">
        <f>I921*J921</f>
        <v/>
      </c>
      <c r="L921" t="inlineStr">
        <is>
          <t>Kích thước vỏ 600.0x600.0x210mm</t>
        </is>
      </c>
    </row>
    <row r="922">
      <c r="A922" t="inlineStr">
        <is>
          <t>SW-DAMPER-241-BLADE</t>
        </is>
      </c>
      <c r="B922" t="inlineStr">
        <is>
          <t>SW-DAMPER-241</t>
        </is>
      </c>
      <c r="C922" t="inlineStr">
        <is>
          <t>Lá cánh van (4 cánh overlap)</t>
        </is>
      </c>
      <c r="D922" t="inlineStr">
        <is>
          <t>TÔN_CUỘN_MẠ_KẼM</t>
        </is>
      </c>
      <c r="E922" t="inlineStr">
        <is>
          <t>MAT-STEEL-PN-0.75</t>
        </is>
      </c>
      <c r="F922" t="inlineStr">
        <is>
          <t>kg</t>
        </is>
      </c>
      <c r="G922" s="4" t="n">
        <v>2.594268</v>
      </c>
      <c r="H922" s="2">
        <f>XLOOKUP(B922, '00_TONG_HOP_BAO_GIA'!B:B, '00_TONG_HOP_BAO_GIA'!G:G, 1)</f>
        <v/>
      </c>
      <c r="I922" s="5">
        <f>G922*H922</f>
        <v/>
      </c>
      <c r="J922" s="2">
        <f>XLOOKUP(E922, '06_BANG_GIA_VAT_TU_AP_DUNG'!B:B, '06_BANG_GIA_VAT_TU_AP_DUNG'!C:C, "LỖI_MÃ_VT")</f>
        <v/>
      </c>
      <c r="K922" s="2">
        <f>I922*J922</f>
        <v/>
      </c>
      <c r="L922" t="inlineStr">
        <is>
          <t>4 cánh cao 170mm</t>
        </is>
      </c>
    </row>
    <row r="923">
      <c r="A923" t="inlineStr">
        <is>
          <t>SW-DAMPER-241-AXLE</t>
        </is>
      </c>
      <c r="B923" t="inlineStr">
        <is>
          <t>SW-DAMPER-241</t>
        </is>
      </c>
      <c r="C923" t="inlineStr">
        <is>
          <t>Trục Sus 201 D10</t>
        </is>
      </c>
      <c r="D923" t="inlineStr">
        <is>
          <t>PHỤ_KIỆN_VAN</t>
        </is>
      </c>
      <c r="E923" t="inlineStr">
        <is>
          <t>MAT-DAMPER-TRUC-SUS-201-D10</t>
        </is>
      </c>
      <c r="F923" t="inlineStr">
        <is>
          <t>m</t>
        </is>
      </c>
      <c r="G923" s="4" t="n">
        <v>2.64</v>
      </c>
      <c r="H923" s="2">
        <f>XLOOKUP(B923, '00_TONG_HOP_BAO_GIA'!B:B, '00_TONG_HOP_BAO_GIA'!G:G, 1)</f>
        <v/>
      </c>
      <c r="I923" s="5">
        <f>G923*H923</f>
        <v/>
      </c>
      <c r="J923" s="2">
        <f>XLOOKUP(E923, '06_BANG_GIA_VAT_TU_AP_DUNG'!B:B, '06_BANG_GIA_VAT_TU_AP_DUNG'!C:C, "LỖI_MÃ_VT")</f>
        <v/>
      </c>
      <c r="K923" s="2">
        <f>I923*J923</f>
        <v/>
      </c>
      <c r="L923" t="inlineStr">
        <is>
          <t>4 trục dài 660mm</t>
        </is>
      </c>
    </row>
    <row r="924">
      <c r="A924" t="inlineStr">
        <is>
          <t>SW-DAMPER-241-BEARING</t>
        </is>
      </c>
      <c r="B924" t="inlineStr">
        <is>
          <t>SW-DAMPER-241</t>
        </is>
      </c>
      <c r="C924" t="inlineStr">
        <is>
          <t>Bạc đồng D10</t>
        </is>
      </c>
      <c r="D924" t="inlineStr">
        <is>
          <t>PHỤ_KIỆN_VAN</t>
        </is>
      </c>
      <c r="E924" t="inlineStr">
        <is>
          <t>MAT-DAMPER-BAC-DONG-D10</t>
        </is>
      </c>
      <c r="F924" t="inlineStr">
        <is>
          <t>Đôi</t>
        </is>
      </c>
      <c r="G924" s="4" t="n">
        <v>4</v>
      </c>
      <c r="H924" s="2">
        <f>XLOOKUP(B924, '00_TONG_HOP_BAO_GIA'!B:B, '00_TONG_HOP_BAO_GIA'!G:G, 1)</f>
        <v/>
      </c>
      <c r="I924" s="5">
        <f>G924*H924</f>
        <v/>
      </c>
      <c r="J924" s="2">
        <f>XLOOKUP(E924, '06_BANG_GIA_VAT_TU_AP_DUNG'!B:B, '06_BANG_GIA_VAT_TU_AP_DUNG'!C:C, "LỖI_MÃ_VT")</f>
        <v/>
      </c>
      <c r="K924" s="2">
        <f>I924*J924</f>
        <v/>
      </c>
      <c r="L924" t="inlineStr">
        <is>
          <t>4 đôi bạc đỡ 2 bên thân</t>
        </is>
      </c>
    </row>
    <row r="925">
      <c r="A925" t="inlineStr">
        <is>
          <t>SW-DAMPER-241-GEAR</t>
        </is>
      </c>
      <c r="B925" t="inlineStr">
        <is>
          <t>SW-DAMPER-241</t>
        </is>
      </c>
      <c r="C925" t="inlineStr">
        <is>
          <t>Bánh răng van nhôm</t>
        </is>
      </c>
      <c r="D925" t="inlineStr">
        <is>
          <t>PHỤ_KIỆN_VAN</t>
        </is>
      </c>
      <c r="E925" t="inlineStr">
        <is>
          <t>MAT-DAMPER-BANH-RANG-VAN-NHOM</t>
        </is>
      </c>
      <c r="F925" t="inlineStr">
        <is>
          <t>Bộ</t>
        </is>
      </c>
      <c r="G925" s="4" t="n">
        <v>1</v>
      </c>
      <c r="H925" s="2">
        <f>XLOOKUP(B925, '00_TONG_HOP_BAO_GIA'!B:B, '00_TONG_HOP_BAO_GIA'!G:G, 1)</f>
        <v/>
      </c>
      <c r="I925" s="5">
        <f>G925*H925</f>
        <v/>
      </c>
      <c r="J925" s="2">
        <f>XLOOKUP(E925, '06_BANG_GIA_VAT_TU_AP_DUNG'!B:B, '06_BANG_GIA_VAT_TU_AP_DUNG'!C:C, "LỖI_MÃ_VT")</f>
        <v/>
      </c>
      <c r="K925" s="2">
        <f>I925*J925</f>
        <v/>
      </c>
      <c r="L925" t="inlineStr">
        <is>
          <t>Cơ cấu liên động bánh răng van</t>
        </is>
      </c>
    </row>
    <row r="926">
      <c r="A926" t="inlineStr">
        <is>
          <t>SW-DAMPER-241-ACTUATOR</t>
        </is>
      </c>
      <c r="B926" t="inlineStr">
        <is>
          <t>SW-DAMPER-241</t>
        </is>
      </c>
      <c r="C926" t="inlineStr">
        <is>
          <t>Model: NACA 2-05 (5Nm, 220VAC)</t>
        </is>
      </c>
      <c r="D926" t="inlineStr">
        <is>
          <t>ĐỘNG_CƠ_VÀ_CẢM_BIẾN</t>
        </is>
      </c>
      <c r="E926" t="inlineStr">
        <is>
          <t>MAT-ACTUATOR-NACA-2-05</t>
        </is>
      </c>
      <c r="F926" t="inlineStr">
        <is>
          <t>Cái</t>
        </is>
      </c>
      <c r="G926" s="4" t="n">
        <v>1</v>
      </c>
      <c r="H926" s="2">
        <f>XLOOKUP(B926, '00_TONG_HOP_BAO_GIA'!B:B, '00_TONG_HOP_BAO_GIA'!G:G, 1)</f>
        <v/>
      </c>
      <c r="I926" s="5">
        <f>G926*H926</f>
        <v/>
      </c>
      <c r="J926" s="2">
        <f>XLOOKUP(E926, '06_BANG_GIA_VAT_TU_AP_DUNG'!B:B, '06_BANG_GIA_VAT_TU_AP_DUNG'!C:C, "LỖI_MÃ_VT")</f>
        <v/>
      </c>
      <c r="K926" s="2">
        <f>I926*J926</f>
        <v/>
      </c>
      <c r="L926" t="inlineStr">
        <is>
          <t>Tiết diện van 0.36m2</t>
        </is>
      </c>
    </row>
    <row r="927">
      <c r="A927" t="inlineStr">
        <is>
          <t>SW-DAMPER-242-BODY</t>
        </is>
      </c>
      <c r="B927" t="inlineStr">
        <is>
          <t>SW-DAMPER-242</t>
        </is>
      </c>
      <c r="C927" t="inlineStr">
        <is>
          <t>Thân vỏ van MD bích TDF (0.75mm)</t>
        </is>
      </c>
      <c r="D927" t="inlineStr">
        <is>
          <t>TÔN_CUỘN_MẠ_KẼM</t>
        </is>
      </c>
      <c r="E927" t="inlineStr">
        <is>
          <t>MAT-STEEL-PN-0.75</t>
        </is>
      </c>
      <c r="F927" t="inlineStr">
        <is>
          <t>kg</t>
        </is>
      </c>
      <c r="G927" s="4" t="n">
        <v>3.7041795</v>
      </c>
      <c r="H927" s="2">
        <f>XLOOKUP(B927, '00_TONG_HOP_BAO_GIA'!B:B, '00_TONG_HOP_BAO_GIA'!G:G, 1)</f>
        <v/>
      </c>
      <c r="I927" s="5">
        <f>G927*H927</f>
        <v/>
      </c>
      <c r="J927" s="2">
        <f>XLOOKUP(E927, '06_BANG_GIA_VAT_TU_AP_DUNG'!B:B, '06_BANG_GIA_VAT_TU_AP_DUNG'!C:C, "LỖI_MÃ_VT")</f>
        <v/>
      </c>
      <c r="K927" s="2">
        <f>I927*J927</f>
        <v/>
      </c>
      <c r="L927" t="inlineStr">
        <is>
          <t>Kích thước vỏ 650.0x400.0x210mm</t>
        </is>
      </c>
    </row>
    <row r="928">
      <c r="A928" t="inlineStr">
        <is>
          <t>SW-DAMPER-242-BLADE</t>
        </is>
      </c>
      <c r="B928" t="inlineStr">
        <is>
          <t>SW-DAMPER-242</t>
        </is>
      </c>
      <c r="C928" t="inlineStr">
        <is>
          <t>Lá cánh van (3 cánh overlap)</t>
        </is>
      </c>
      <c r="D928" t="inlineStr">
        <is>
          <t>TÔN_CUỘN_MẠ_KẼM</t>
        </is>
      </c>
      <c r="E928" t="inlineStr">
        <is>
          <t>MAT-STEEL-PN-0.75</t>
        </is>
      </c>
      <c r="F928" t="inlineStr">
        <is>
          <t>kg</t>
        </is>
      </c>
      <c r="G928" s="4" t="n">
        <v>1.9011915</v>
      </c>
      <c r="H928" s="2">
        <f>XLOOKUP(B928, '00_TONG_HOP_BAO_GIA'!B:B, '00_TONG_HOP_BAO_GIA'!G:G, 1)</f>
        <v/>
      </c>
      <c r="I928" s="5">
        <f>G928*H928</f>
        <v/>
      </c>
      <c r="J928" s="2">
        <f>XLOOKUP(E928, '06_BANG_GIA_VAT_TU_AP_DUNG'!B:B, '06_BANG_GIA_VAT_TU_AP_DUNG'!C:C, "LỖI_MÃ_VT")</f>
        <v/>
      </c>
      <c r="K928" s="2">
        <f>I928*J928</f>
        <v/>
      </c>
      <c r="L928" t="inlineStr">
        <is>
          <t>3 cánh cao 153mm</t>
        </is>
      </c>
    </row>
    <row r="929">
      <c r="A929" t="inlineStr">
        <is>
          <t>SW-DAMPER-242-AXLE</t>
        </is>
      </c>
      <c r="B929" t="inlineStr">
        <is>
          <t>SW-DAMPER-242</t>
        </is>
      </c>
      <c r="C929" t="inlineStr">
        <is>
          <t>Trục Sus 201 D10</t>
        </is>
      </c>
      <c r="D929" t="inlineStr">
        <is>
          <t>PHỤ_KIỆN_VAN</t>
        </is>
      </c>
      <c r="E929" t="inlineStr">
        <is>
          <t>MAT-DAMPER-TRUC-SUS-201-D10</t>
        </is>
      </c>
      <c r="F929" t="inlineStr">
        <is>
          <t>m</t>
        </is>
      </c>
      <c r="G929" s="4" t="n">
        <v>2.13</v>
      </c>
      <c r="H929" s="2">
        <f>XLOOKUP(B929, '00_TONG_HOP_BAO_GIA'!B:B, '00_TONG_HOP_BAO_GIA'!G:G, 1)</f>
        <v/>
      </c>
      <c r="I929" s="5">
        <f>G929*H929</f>
        <v/>
      </c>
      <c r="J929" s="2">
        <f>XLOOKUP(E929, '06_BANG_GIA_VAT_TU_AP_DUNG'!B:B, '06_BANG_GIA_VAT_TU_AP_DUNG'!C:C, "LỖI_MÃ_VT")</f>
        <v/>
      </c>
      <c r="K929" s="2">
        <f>I929*J929</f>
        <v/>
      </c>
      <c r="L929" t="inlineStr">
        <is>
          <t>3 trục dài 710mm</t>
        </is>
      </c>
    </row>
    <row r="930">
      <c r="A930" t="inlineStr">
        <is>
          <t>SW-DAMPER-242-BEARING</t>
        </is>
      </c>
      <c r="B930" t="inlineStr">
        <is>
          <t>SW-DAMPER-242</t>
        </is>
      </c>
      <c r="C930" t="inlineStr">
        <is>
          <t>Bạc đồng D10</t>
        </is>
      </c>
      <c r="D930" t="inlineStr">
        <is>
          <t>PHỤ_KIỆN_VAN</t>
        </is>
      </c>
      <c r="E930" t="inlineStr">
        <is>
          <t>MAT-DAMPER-BAC-DONG-D10</t>
        </is>
      </c>
      <c r="F930" t="inlineStr">
        <is>
          <t>Đôi</t>
        </is>
      </c>
      <c r="G930" s="4" t="n">
        <v>3</v>
      </c>
      <c r="H930" s="2">
        <f>XLOOKUP(B930, '00_TONG_HOP_BAO_GIA'!B:B, '00_TONG_HOP_BAO_GIA'!G:G, 1)</f>
        <v/>
      </c>
      <c r="I930" s="5">
        <f>G930*H930</f>
        <v/>
      </c>
      <c r="J930" s="2">
        <f>XLOOKUP(E930, '06_BANG_GIA_VAT_TU_AP_DUNG'!B:B, '06_BANG_GIA_VAT_TU_AP_DUNG'!C:C, "LỖI_MÃ_VT")</f>
        <v/>
      </c>
      <c r="K930" s="2">
        <f>I930*J930</f>
        <v/>
      </c>
      <c r="L930" t="inlineStr">
        <is>
          <t>3 đôi bạc đỡ 2 bên thân</t>
        </is>
      </c>
    </row>
    <row r="931">
      <c r="A931" t="inlineStr">
        <is>
          <t>SW-DAMPER-242-GEAR</t>
        </is>
      </c>
      <c r="B931" t="inlineStr">
        <is>
          <t>SW-DAMPER-242</t>
        </is>
      </c>
      <c r="C931" t="inlineStr">
        <is>
          <t>Bánh răng van nhôm</t>
        </is>
      </c>
      <c r="D931" t="inlineStr">
        <is>
          <t>PHỤ_KIỆN_VAN</t>
        </is>
      </c>
      <c r="E931" t="inlineStr">
        <is>
          <t>MAT-DAMPER-BANH-RANG-VAN-NHOM</t>
        </is>
      </c>
      <c r="F931" t="inlineStr">
        <is>
          <t>Bộ</t>
        </is>
      </c>
      <c r="G931" s="4" t="n">
        <v>1</v>
      </c>
      <c r="H931" s="2">
        <f>XLOOKUP(B931, '00_TONG_HOP_BAO_GIA'!B:B, '00_TONG_HOP_BAO_GIA'!G:G, 1)</f>
        <v/>
      </c>
      <c r="I931" s="5">
        <f>G931*H931</f>
        <v/>
      </c>
      <c r="J931" s="2">
        <f>XLOOKUP(E931, '06_BANG_GIA_VAT_TU_AP_DUNG'!B:B, '06_BANG_GIA_VAT_TU_AP_DUNG'!C:C, "LỖI_MÃ_VT")</f>
        <v/>
      </c>
      <c r="K931" s="2">
        <f>I931*J931</f>
        <v/>
      </c>
      <c r="L931" t="inlineStr">
        <is>
          <t>Cơ cấu liên động bánh răng van</t>
        </is>
      </c>
    </row>
    <row r="932">
      <c r="A932" t="inlineStr">
        <is>
          <t>SW-DAMPER-242-ACTUATOR</t>
        </is>
      </c>
      <c r="B932" t="inlineStr">
        <is>
          <t>SW-DAMPER-242</t>
        </is>
      </c>
      <c r="C932" t="inlineStr">
        <is>
          <t>Model: NACA 2-05 (5Nm, 220VAC)</t>
        </is>
      </c>
      <c r="D932" t="inlineStr">
        <is>
          <t>ĐỘNG_CƠ_VÀ_CẢM_BIẾN</t>
        </is>
      </c>
      <c r="E932" t="inlineStr">
        <is>
          <t>MAT-ACTUATOR-NACA-2-05</t>
        </is>
      </c>
      <c r="F932" t="inlineStr">
        <is>
          <t>Cái</t>
        </is>
      </c>
      <c r="G932" s="4" t="n">
        <v>1</v>
      </c>
      <c r="H932" s="2">
        <f>XLOOKUP(B932, '00_TONG_HOP_BAO_GIA'!B:B, '00_TONG_HOP_BAO_GIA'!G:G, 1)</f>
        <v/>
      </c>
      <c r="I932" s="5">
        <f>G932*H932</f>
        <v/>
      </c>
      <c r="J932" s="2">
        <f>XLOOKUP(E932, '06_BANG_GIA_VAT_TU_AP_DUNG'!B:B, '06_BANG_GIA_VAT_TU_AP_DUNG'!C:C, "LỖI_MÃ_VT")</f>
        <v/>
      </c>
      <c r="K932" s="2">
        <f>I932*J932</f>
        <v/>
      </c>
      <c r="L932" t="inlineStr">
        <is>
          <t>Tiết diện van 0.26m2</t>
        </is>
      </c>
    </row>
    <row r="933">
      <c r="A933" t="inlineStr">
        <is>
          <t>SW-DAMPER-243-BODY</t>
        </is>
      </c>
      <c r="B933" t="inlineStr">
        <is>
          <t>SW-DAMPER-243</t>
        </is>
      </c>
      <c r="C933" t="inlineStr">
        <is>
          <t>Thân vỏ van MD bích TDF (0.75mm)</t>
        </is>
      </c>
      <c r="D933" t="inlineStr">
        <is>
          <t>TÔN_CUỘN_MẠ_KẼM</t>
        </is>
      </c>
      <c r="E933" t="inlineStr">
        <is>
          <t>MAT-STEEL-PN-0.75</t>
        </is>
      </c>
      <c r="F933" t="inlineStr">
        <is>
          <t>kg</t>
        </is>
      </c>
      <c r="G933" s="4" t="n">
        <v>4.7427345</v>
      </c>
      <c r="H933" s="2">
        <f>XLOOKUP(B933, '00_TONG_HOP_BAO_GIA'!B:B, '00_TONG_HOP_BAO_GIA'!G:G, 1)</f>
        <v/>
      </c>
      <c r="I933" s="5">
        <f>G933*H933</f>
        <v/>
      </c>
      <c r="J933" s="2">
        <f>XLOOKUP(E933, '06_BANG_GIA_VAT_TU_AP_DUNG'!B:B, '06_BANG_GIA_VAT_TU_AP_DUNG'!C:C, "LỖI_MÃ_VT")</f>
        <v/>
      </c>
      <c r="K933" s="2">
        <f>I933*J933</f>
        <v/>
      </c>
      <c r="L933" t="inlineStr">
        <is>
          <t>Kích thước vỏ 750.0x600.0x210mm</t>
        </is>
      </c>
    </row>
    <row r="934">
      <c r="A934" t="inlineStr">
        <is>
          <t>SW-DAMPER-243-BLADE</t>
        </is>
      </c>
      <c r="B934" t="inlineStr">
        <is>
          <t>SW-DAMPER-243</t>
        </is>
      </c>
      <c r="C934" t="inlineStr">
        <is>
          <t>Lá cánh van (4 cánh overlap)</t>
        </is>
      </c>
      <c r="D934" t="inlineStr">
        <is>
          <t>TÔN_CUỘN_MẠ_KẼM</t>
        </is>
      </c>
      <c r="E934" t="inlineStr">
        <is>
          <t>MAT-STEEL-PN-0.75</t>
        </is>
      </c>
      <c r="F934" t="inlineStr">
        <is>
          <t>kg</t>
        </is>
      </c>
      <c r="G934" s="4" t="n">
        <v>3.242835</v>
      </c>
      <c r="H934" s="2">
        <f>XLOOKUP(B934, '00_TONG_HOP_BAO_GIA'!B:B, '00_TONG_HOP_BAO_GIA'!G:G, 1)</f>
        <v/>
      </c>
      <c r="I934" s="5">
        <f>G934*H934</f>
        <v/>
      </c>
      <c r="J934" s="2">
        <f>XLOOKUP(E934, '06_BANG_GIA_VAT_TU_AP_DUNG'!B:B, '06_BANG_GIA_VAT_TU_AP_DUNG'!C:C, "LỖI_MÃ_VT")</f>
        <v/>
      </c>
      <c r="K934" s="2">
        <f>I934*J934</f>
        <v/>
      </c>
      <c r="L934" t="inlineStr">
        <is>
          <t>4 cánh cao 170mm</t>
        </is>
      </c>
    </row>
    <row r="935">
      <c r="A935" t="inlineStr">
        <is>
          <t>SW-DAMPER-243-AXLE</t>
        </is>
      </c>
      <c r="B935" t="inlineStr">
        <is>
          <t>SW-DAMPER-243</t>
        </is>
      </c>
      <c r="C935" t="inlineStr">
        <is>
          <t>Trục Sus 201 D10</t>
        </is>
      </c>
      <c r="D935" t="inlineStr">
        <is>
          <t>PHỤ_KIỆN_VAN</t>
        </is>
      </c>
      <c r="E935" t="inlineStr">
        <is>
          <t>MAT-DAMPER-TRUC-SUS-201-D10</t>
        </is>
      </c>
      <c r="F935" t="inlineStr">
        <is>
          <t>m</t>
        </is>
      </c>
      <c r="G935" s="4" t="n">
        <v>3.24</v>
      </c>
      <c r="H935" s="2">
        <f>XLOOKUP(B935, '00_TONG_HOP_BAO_GIA'!B:B, '00_TONG_HOP_BAO_GIA'!G:G, 1)</f>
        <v/>
      </c>
      <c r="I935" s="5">
        <f>G935*H935</f>
        <v/>
      </c>
      <c r="J935" s="2">
        <f>XLOOKUP(E935, '06_BANG_GIA_VAT_TU_AP_DUNG'!B:B, '06_BANG_GIA_VAT_TU_AP_DUNG'!C:C, "LỖI_MÃ_VT")</f>
        <v/>
      </c>
      <c r="K935" s="2">
        <f>I935*J935</f>
        <v/>
      </c>
      <c r="L935" t="inlineStr">
        <is>
          <t>4 trục dài 810mm</t>
        </is>
      </c>
    </row>
    <row r="936">
      <c r="A936" t="inlineStr">
        <is>
          <t>SW-DAMPER-243-BEARING</t>
        </is>
      </c>
      <c r="B936" t="inlineStr">
        <is>
          <t>SW-DAMPER-243</t>
        </is>
      </c>
      <c r="C936" t="inlineStr">
        <is>
          <t>Bạc đồng D10</t>
        </is>
      </c>
      <c r="D936" t="inlineStr">
        <is>
          <t>PHỤ_KIỆN_VAN</t>
        </is>
      </c>
      <c r="E936" t="inlineStr">
        <is>
          <t>MAT-DAMPER-BAC-DONG-D10</t>
        </is>
      </c>
      <c r="F936" t="inlineStr">
        <is>
          <t>Đôi</t>
        </is>
      </c>
      <c r="G936" s="4" t="n">
        <v>4</v>
      </c>
      <c r="H936" s="2">
        <f>XLOOKUP(B936, '00_TONG_HOP_BAO_GIA'!B:B, '00_TONG_HOP_BAO_GIA'!G:G, 1)</f>
        <v/>
      </c>
      <c r="I936" s="5">
        <f>G936*H936</f>
        <v/>
      </c>
      <c r="J936" s="2">
        <f>XLOOKUP(E936, '06_BANG_GIA_VAT_TU_AP_DUNG'!B:B, '06_BANG_GIA_VAT_TU_AP_DUNG'!C:C, "LỖI_MÃ_VT")</f>
        <v/>
      </c>
      <c r="K936" s="2">
        <f>I936*J936</f>
        <v/>
      </c>
      <c r="L936" t="inlineStr">
        <is>
          <t>4 đôi bạc đỡ 2 bên thân</t>
        </is>
      </c>
    </row>
    <row r="937">
      <c r="A937" t="inlineStr">
        <is>
          <t>SW-DAMPER-243-GEAR</t>
        </is>
      </c>
      <c r="B937" t="inlineStr">
        <is>
          <t>SW-DAMPER-243</t>
        </is>
      </c>
      <c r="C937" t="inlineStr">
        <is>
          <t>Bánh răng van nhôm</t>
        </is>
      </c>
      <c r="D937" t="inlineStr">
        <is>
          <t>PHỤ_KIỆN_VAN</t>
        </is>
      </c>
      <c r="E937" t="inlineStr">
        <is>
          <t>MAT-DAMPER-BANH-RANG-VAN-NHOM</t>
        </is>
      </c>
      <c r="F937" t="inlineStr">
        <is>
          <t>Bộ</t>
        </is>
      </c>
      <c r="G937" s="4" t="n">
        <v>1</v>
      </c>
      <c r="H937" s="2">
        <f>XLOOKUP(B937, '00_TONG_HOP_BAO_GIA'!B:B, '00_TONG_HOP_BAO_GIA'!G:G, 1)</f>
        <v/>
      </c>
      <c r="I937" s="5">
        <f>G937*H937</f>
        <v/>
      </c>
      <c r="J937" s="2">
        <f>XLOOKUP(E937, '06_BANG_GIA_VAT_TU_AP_DUNG'!B:B, '06_BANG_GIA_VAT_TU_AP_DUNG'!C:C, "LỖI_MÃ_VT")</f>
        <v/>
      </c>
      <c r="K937" s="2">
        <f>I937*J937</f>
        <v/>
      </c>
      <c r="L937" t="inlineStr">
        <is>
          <t>Cơ cấu liên động bánh răng van</t>
        </is>
      </c>
    </row>
    <row r="938">
      <c r="A938" t="inlineStr">
        <is>
          <t>SW-DAMPER-243-ACTUATOR</t>
        </is>
      </c>
      <c r="B938" t="inlineStr">
        <is>
          <t>SW-DAMPER-243</t>
        </is>
      </c>
      <c r="C938" t="inlineStr">
        <is>
          <t>Model: NACA 2-05 (5Nm, 220VAC)</t>
        </is>
      </c>
      <c r="D938" t="inlineStr">
        <is>
          <t>ĐỘNG_CƠ_VÀ_CẢM_BIẾN</t>
        </is>
      </c>
      <c r="E938" t="inlineStr">
        <is>
          <t>MAT-ACTUATOR-NACA-2-05</t>
        </is>
      </c>
      <c r="F938" t="inlineStr">
        <is>
          <t>Cái</t>
        </is>
      </c>
      <c r="G938" s="4" t="n">
        <v>1</v>
      </c>
      <c r="H938" s="2">
        <f>XLOOKUP(B938, '00_TONG_HOP_BAO_GIA'!B:B, '00_TONG_HOP_BAO_GIA'!G:G, 1)</f>
        <v/>
      </c>
      <c r="I938" s="5">
        <f>G938*H938</f>
        <v/>
      </c>
      <c r="J938" s="2">
        <f>XLOOKUP(E938, '06_BANG_GIA_VAT_TU_AP_DUNG'!B:B, '06_BANG_GIA_VAT_TU_AP_DUNG'!C:C, "LỖI_MÃ_VT")</f>
        <v/>
      </c>
      <c r="K938" s="2">
        <f>I938*J938</f>
        <v/>
      </c>
      <c r="L938" t="inlineStr">
        <is>
          <t>Tiết diện van 0.45m2</t>
        </is>
      </c>
    </row>
    <row r="939">
      <c r="A939" t="inlineStr">
        <is>
          <t>SW-DAMPER-244-BODY</t>
        </is>
      </c>
      <c r="B939" t="inlineStr">
        <is>
          <t>SW-DAMPER-244</t>
        </is>
      </c>
      <c r="C939" t="inlineStr">
        <is>
          <t>Thân vỏ van MD bích TDF (0.75mm)</t>
        </is>
      </c>
      <c r="D939" t="inlineStr">
        <is>
          <t>TÔN_CUỘN_MẠ_KẼM</t>
        </is>
      </c>
      <c r="E939" t="inlineStr">
        <is>
          <t>MAT-STEEL-PN-0.75</t>
        </is>
      </c>
      <c r="F939" t="inlineStr">
        <is>
          <t>kg</t>
        </is>
      </c>
      <c r="G939" s="4" t="n">
        <v>3.531087</v>
      </c>
      <c r="H939" s="2">
        <f>XLOOKUP(B939, '00_TONG_HOP_BAO_GIA'!B:B, '00_TONG_HOP_BAO_GIA'!G:G, 1)</f>
        <v/>
      </c>
      <c r="I939" s="5">
        <f>G939*H939</f>
        <v/>
      </c>
      <c r="J939" s="2">
        <f>XLOOKUP(E939, '06_BANG_GIA_VAT_TU_AP_DUNG'!B:B, '06_BANG_GIA_VAT_TU_AP_DUNG'!C:C, "LỖI_MÃ_VT")</f>
        <v/>
      </c>
      <c r="K939" s="2">
        <f>I939*J939</f>
        <v/>
      </c>
      <c r="L939" t="inlineStr">
        <is>
          <t>Kích thước vỏ 500.0x500.0x210mm</t>
        </is>
      </c>
    </row>
    <row r="940">
      <c r="A940" t="inlineStr">
        <is>
          <t>SW-DAMPER-244-BLADE</t>
        </is>
      </c>
      <c r="B940" t="inlineStr">
        <is>
          <t>SW-DAMPER-244</t>
        </is>
      </c>
      <c r="C940" t="inlineStr">
        <is>
          <t>Lá cánh van (3 cánh overlap)</t>
        </is>
      </c>
      <c r="D940" t="inlineStr">
        <is>
          <t>TÔN_CUỘN_MẠ_KẼM</t>
        </is>
      </c>
      <c r="E940" t="inlineStr">
        <is>
          <t>MAT-STEEL-PN-0.75</t>
        </is>
      </c>
      <c r="F940" t="inlineStr">
        <is>
          <t>kg</t>
        </is>
      </c>
      <c r="G940" s="4" t="n">
        <v>1.78038</v>
      </c>
      <c r="H940" s="2">
        <f>XLOOKUP(B940, '00_TONG_HOP_BAO_GIA'!B:B, '00_TONG_HOP_BAO_GIA'!G:G, 1)</f>
        <v/>
      </c>
      <c r="I940" s="5">
        <f>G940*H940</f>
        <v/>
      </c>
      <c r="J940" s="2">
        <f>XLOOKUP(E940, '06_BANG_GIA_VAT_TU_AP_DUNG'!B:B, '06_BANG_GIA_VAT_TU_AP_DUNG'!C:C, "LỖI_MÃ_VT")</f>
        <v/>
      </c>
      <c r="K940" s="2">
        <f>I940*J940</f>
        <v/>
      </c>
      <c r="L940" t="inlineStr">
        <is>
          <t>3 cánh cao 187mm</t>
        </is>
      </c>
    </row>
    <row r="941">
      <c r="A941" t="inlineStr">
        <is>
          <t>SW-DAMPER-244-AXLE</t>
        </is>
      </c>
      <c r="B941" t="inlineStr">
        <is>
          <t>SW-DAMPER-244</t>
        </is>
      </c>
      <c r="C941" t="inlineStr">
        <is>
          <t>Trục Sus 201 D10</t>
        </is>
      </c>
      <c r="D941" t="inlineStr">
        <is>
          <t>PHỤ_KIỆN_VAN</t>
        </is>
      </c>
      <c r="E941" t="inlineStr">
        <is>
          <t>MAT-DAMPER-TRUC-SUS-201-D10</t>
        </is>
      </c>
      <c r="F941" t="inlineStr">
        <is>
          <t>m</t>
        </is>
      </c>
      <c r="G941" s="4" t="n">
        <v>1.68</v>
      </c>
      <c r="H941" s="2">
        <f>XLOOKUP(B941, '00_TONG_HOP_BAO_GIA'!B:B, '00_TONG_HOP_BAO_GIA'!G:G, 1)</f>
        <v/>
      </c>
      <c r="I941" s="5">
        <f>G941*H941</f>
        <v/>
      </c>
      <c r="J941" s="2">
        <f>XLOOKUP(E941, '06_BANG_GIA_VAT_TU_AP_DUNG'!B:B, '06_BANG_GIA_VAT_TU_AP_DUNG'!C:C, "LỖI_MÃ_VT")</f>
        <v/>
      </c>
      <c r="K941" s="2">
        <f>I941*J941</f>
        <v/>
      </c>
      <c r="L941" t="inlineStr">
        <is>
          <t>3 trục dài 560mm</t>
        </is>
      </c>
    </row>
    <row r="942">
      <c r="A942" t="inlineStr">
        <is>
          <t>SW-DAMPER-244-BEARING</t>
        </is>
      </c>
      <c r="B942" t="inlineStr">
        <is>
          <t>SW-DAMPER-244</t>
        </is>
      </c>
      <c r="C942" t="inlineStr">
        <is>
          <t>Bạc đồng D10</t>
        </is>
      </c>
      <c r="D942" t="inlineStr">
        <is>
          <t>PHỤ_KIỆN_VAN</t>
        </is>
      </c>
      <c r="E942" t="inlineStr">
        <is>
          <t>MAT-DAMPER-BAC-DONG-D10</t>
        </is>
      </c>
      <c r="F942" t="inlineStr">
        <is>
          <t>Đôi</t>
        </is>
      </c>
      <c r="G942" s="4" t="n">
        <v>3</v>
      </c>
      <c r="H942" s="2">
        <f>XLOOKUP(B942, '00_TONG_HOP_BAO_GIA'!B:B, '00_TONG_HOP_BAO_GIA'!G:G, 1)</f>
        <v/>
      </c>
      <c r="I942" s="5">
        <f>G942*H942</f>
        <v/>
      </c>
      <c r="J942" s="2">
        <f>XLOOKUP(E942, '06_BANG_GIA_VAT_TU_AP_DUNG'!B:B, '06_BANG_GIA_VAT_TU_AP_DUNG'!C:C, "LỖI_MÃ_VT")</f>
        <v/>
      </c>
      <c r="K942" s="2">
        <f>I942*J942</f>
        <v/>
      </c>
      <c r="L942" t="inlineStr">
        <is>
          <t>3 đôi bạc đỡ 2 bên thân</t>
        </is>
      </c>
    </row>
    <row r="943">
      <c r="A943" t="inlineStr">
        <is>
          <t>SW-DAMPER-244-GEAR</t>
        </is>
      </c>
      <c r="B943" t="inlineStr">
        <is>
          <t>SW-DAMPER-244</t>
        </is>
      </c>
      <c r="C943" t="inlineStr">
        <is>
          <t>Bánh răng van nhôm</t>
        </is>
      </c>
      <c r="D943" t="inlineStr">
        <is>
          <t>PHỤ_KIỆN_VAN</t>
        </is>
      </c>
      <c r="E943" t="inlineStr">
        <is>
          <t>MAT-DAMPER-BANH-RANG-VAN-NHOM</t>
        </is>
      </c>
      <c r="F943" t="inlineStr">
        <is>
          <t>Bộ</t>
        </is>
      </c>
      <c r="G943" s="4" t="n">
        <v>1</v>
      </c>
      <c r="H943" s="2">
        <f>XLOOKUP(B943, '00_TONG_HOP_BAO_GIA'!B:B, '00_TONG_HOP_BAO_GIA'!G:G, 1)</f>
        <v/>
      </c>
      <c r="I943" s="5">
        <f>G943*H943</f>
        <v/>
      </c>
      <c r="J943" s="2">
        <f>XLOOKUP(E943, '06_BANG_GIA_VAT_TU_AP_DUNG'!B:B, '06_BANG_GIA_VAT_TU_AP_DUNG'!C:C, "LỖI_MÃ_VT")</f>
        <v/>
      </c>
      <c r="K943" s="2">
        <f>I943*J943</f>
        <v/>
      </c>
      <c r="L943" t="inlineStr">
        <is>
          <t>Cơ cấu liên động bánh răng van</t>
        </is>
      </c>
    </row>
    <row r="944">
      <c r="A944" t="inlineStr">
        <is>
          <t>SW-DAMPER-244-ACTUATOR</t>
        </is>
      </c>
      <c r="B944" t="inlineStr">
        <is>
          <t>SW-DAMPER-244</t>
        </is>
      </c>
      <c r="C944" t="inlineStr">
        <is>
          <t>Model: NACA 2-05 (5Nm, 220VAC)</t>
        </is>
      </c>
      <c r="D944" t="inlineStr">
        <is>
          <t>ĐỘNG_CƠ_VÀ_CẢM_BIẾN</t>
        </is>
      </c>
      <c r="E944" t="inlineStr">
        <is>
          <t>MAT-ACTUATOR-NACA-2-05</t>
        </is>
      </c>
      <c r="F944" t="inlineStr">
        <is>
          <t>Cái</t>
        </is>
      </c>
      <c r="G944" s="4" t="n">
        <v>1</v>
      </c>
      <c r="H944" s="2">
        <f>XLOOKUP(B944, '00_TONG_HOP_BAO_GIA'!B:B, '00_TONG_HOP_BAO_GIA'!G:G, 1)</f>
        <v/>
      </c>
      <c r="I944" s="5">
        <f>G944*H944</f>
        <v/>
      </c>
      <c r="J944" s="2">
        <f>XLOOKUP(E944, '06_BANG_GIA_VAT_TU_AP_DUNG'!B:B, '06_BANG_GIA_VAT_TU_AP_DUNG'!C:C, "LỖI_MÃ_VT")</f>
        <v/>
      </c>
      <c r="K944" s="2">
        <f>I944*J944</f>
        <v/>
      </c>
      <c r="L944" t="inlineStr">
        <is>
          <t>Tiết diện van 0.25m2</t>
        </is>
      </c>
    </row>
    <row r="945">
      <c r="A945" t="inlineStr">
        <is>
          <t>SW-DAMPER-245-BODY</t>
        </is>
      </c>
      <c r="B945" t="inlineStr">
        <is>
          <t>SW-DAMPER-245</t>
        </is>
      </c>
      <c r="C945" t="inlineStr">
        <is>
          <t>Thân vỏ van MD bích TDF (0.75mm)</t>
        </is>
      </c>
      <c r="D945" t="inlineStr">
        <is>
          <t>TÔN_CUỘN_MẠ_KẼM</t>
        </is>
      </c>
      <c r="E945" t="inlineStr">
        <is>
          <t>MAT-STEEL-PN-0.75</t>
        </is>
      </c>
      <c r="F945" t="inlineStr">
        <is>
          <t>kg</t>
        </is>
      </c>
      <c r="G945" s="4" t="n">
        <v>4.915826999999999</v>
      </c>
      <c r="H945" s="2">
        <f>XLOOKUP(B945, '00_TONG_HOP_BAO_GIA'!B:B, '00_TONG_HOP_BAO_GIA'!G:G, 1)</f>
        <v/>
      </c>
      <c r="I945" s="5">
        <f>G945*H945</f>
        <v/>
      </c>
      <c r="J945" s="2">
        <f>XLOOKUP(E945, '06_BANG_GIA_VAT_TU_AP_DUNG'!B:B, '06_BANG_GIA_VAT_TU_AP_DUNG'!C:C, "LỖI_MÃ_VT")</f>
        <v/>
      </c>
      <c r="K945" s="2">
        <f>I945*J945</f>
        <v/>
      </c>
      <c r="L945" t="inlineStr">
        <is>
          <t>Kích thước vỏ 700.0x700.0x210mm</t>
        </is>
      </c>
    </row>
    <row r="946">
      <c r="A946" t="inlineStr">
        <is>
          <t>SW-DAMPER-245-BLADE</t>
        </is>
      </c>
      <c r="B946" t="inlineStr">
        <is>
          <t>SW-DAMPER-245</t>
        </is>
      </c>
      <c r="C946" t="inlineStr">
        <is>
          <t>Lá cánh van (4 cánh overlap)</t>
        </is>
      </c>
      <c r="D946" t="inlineStr">
        <is>
          <t>TÔN_CUỘN_MẠ_KẼM</t>
        </is>
      </c>
      <c r="E946" t="inlineStr">
        <is>
          <t>MAT-STEEL-PN-0.75</t>
        </is>
      </c>
      <c r="F946" t="inlineStr">
        <is>
          <t>kg</t>
        </is>
      </c>
      <c r="G946" s="4" t="n">
        <v>3.471740999999999</v>
      </c>
      <c r="H946" s="2">
        <f>XLOOKUP(B946, '00_TONG_HOP_BAO_GIA'!B:B, '00_TONG_HOP_BAO_GIA'!G:G, 1)</f>
        <v/>
      </c>
      <c r="I946" s="5">
        <f>G946*H946</f>
        <v/>
      </c>
      <c r="J946" s="2">
        <f>XLOOKUP(E946, '06_BANG_GIA_VAT_TU_AP_DUNG'!B:B, '06_BANG_GIA_VAT_TU_AP_DUNG'!C:C, "LỖI_MÃ_VT")</f>
        <v/>
      </c>
      <c r="K946" s="2">
        <f>I946*J946</f>
        <v/>
      </c>
      <c r="L946" t="inlineStr">
        <is>
          <t>4 cánh cao 195mm</t>
        </is>
      </c>
    </row>
    <row r="947">
      <c r="A947" t="inlineStr">
        <is>
          <t>SW-DAMPER-245-AXLE</t>
        </is>
      </c>
      <c r="B947" t="inlineStr">
        <is>
          <t>SW-DAMPER-245</t>
        </is>
      </c>
      <c r="C947" t="inlineStr">
        <is>
          <t>Trục Sus 201 D10</t>
        </is>
      </c>
      <c r="D947" t="inlineStr">
        <is>
          <t>PHỤ_KIỆN_VAN</t>
        </is>
      </c>
      <c r="E947" t="inlineStr">
        <is>
          <t>MAT-DAMPER-TRUC-SUS-201-D10</t>
        </is>
      </c>
      <c r="F947" t="inlineStr">
        <is>
          <t>m</t>
        </is>
      </c>
      <c r="G947" s="4" t="n">
        <v>3.04</v>
      </c>
      <c r="H947" s="2">
        <f>XLOOKUP(B947, '00_TONG_HOP_BAO_GIA'!B:B, '00_TONG_HOP_BAO_GIA'!G:G, 1)</f>
        <v/>
      </c>
      <c r="I947" s="5">
        <f>G947*H947</f>
        <v/>
      </c>
      <c r="J947" s="2">
        <f>XLOOKUP(E947, '06_BANG_GIA_VAT_TU_AP_DUNG'!B:B, '06_BANG_GIA_VAT_TU_AP_DUNG'!C:C, "LỖI_MÃ_VT")</f>
        <v/>
      </c>
      <c r="K947" s="2">
        <f>I947*J947</f>
        <v/>
      </c>
      <c r="L947" t="inlineStr">
        <is>
          <t>4 trục dài 760mm</t>
        </is>
      </c>
    </row>
    <row r="948">
      <c r="A948" t="inlineStr">
        <is>
          <t>SW-DAMPER-245-BEARING</t>
        </is>
      </c>
      <c r="B948" t="inlineStr">
        <is>
          <t>SW-DAMPER-245</t>
        </is>
      </c>
      <c r="C948" t="inlineStr">
        <is>
          <t>Bạc đồng D10</t>
        </is>
      </c>
      <c r="D948" t="inlineStr">
        <is>
          <t>PHỤ_KIỆN_VAN</t>
        </is>
      </c>
      <c r="E948" t="inlineStr">
        <is>
          <t>MAT-DAMPER-BAC-DONG-D10</t>
        </is>
      </c>
      <c r="F948" t="inlineStr">
        <is>
          <t>Đôi</t>
        </is>
      </c>
      <c r="G948" s="4" t="n">
        <v>4</v>
      </c>
      <c r="H948" s="2">
        <f>XLOOKUP(B948, '00_TONG_HOP_BAO_GIA'!B:B, '00_TONG_HOP_BAO_GIA'!G:G, 1)</f>
        <v/>
      </c>
      <c r="I948" s="5">
        <f>G948*H948</f>
        <v/>
      </c>
      <c r="J948" s="2">
        <f>XLOOKUP(E948, '06_BANG_GIA_VAT_TU_AP_DUNG'!B:B, '06_BANG_GIA_VAT_TU_AP_DUNG'!C:C, "LỖI_MÃ_VT")</f>
        <v/>
      </c>
      <c r="K948" s="2">
        <f>I948*J948</f>
        <v/>
      </c>
      <c r="L948" t="inlineStr">
        <is>
          <t>4 đôi bạc đỡ 2 bên thân</t>
        </is>
      </c>
    </row>
    <row r="949">
      <c r="A949" t="inlineStr">
        <is>
          <t>SW-DAMPER-245-GEAR</t>
        </is>
      </c>
      <c r="B949" t="inlineStr">
        <is>
          <t>SW-DAMPER-245</t>
        </is>
      </c>
      <c r="C949" t="inlineStr">
        <is>
          <t>Bánh răng van nhôm</t>
        </is>
      </c>
      <c r="D949" t="inlineStr">
        <is>
          <t>PHỤ_KIỆN_VAN</t>
        </is>
      </c>
      <c r="E949" t="inlineStr">
        <is>
          <t>MAT-DAMPER-BANH-RANG-VAN-NHOM</t>
        </is>
      </c>
      <c r="F949" t="inlineStr">
        <is>
          <t>Bộ</t>
        </is>
      </c>
      <c r="G949" s="4" t="n">
        <v>1</v>
      </c>
      <c r="H949" s="2">
        <f>XLOOKUP(B949, '00_TONG_HOP_BAO_GIA'!B:B, '00_TONG_HOP_BAO_GIA'!G:G, 1)</f>
        <v/>
      </c>
      <c r="I949" s="5">
        <f>G949*H949</f>
        <v/>
      </c>
      <c r="J949" s="2">
        <f>XLOOKUP(E949, '06_BANG_GIA_VAT_TU_AP_DUNG'!B:B, '06_BANG_GIA_VAT_TU_AP_DUNG'!C:C, "LỖI_MÃ_VT")</f>
        <v/>
      </c>
      <c r="K949" s="2">
        <f>I949*J949</f>
        <v/>
      </c>
      <c r="L949" t="inlineStr">
        <is>
          <t>Cơ cấu liên động bánh răng van</t>
        </is>
      </c>
    </row>
    <row r="950">
      <c r="A950" t="inlineStr">
        <is>
          <t>SW-DAMPER-245-ACTUATOR</t>
        </is>
      </c>
      <c r="B950" t="inlineStr">
        <is>
          <t>SW-DAMPER-245</t>
        </is>
      </c>
      <c r="C950" t="inlineStr">
        <is>
          <t>Model: NACA 2-05 (5Nm, 220VAC)</t>
        </is>
      </c>
      <c r="D950" t="inlineStr">
        <is>
          <t>ĐỘNG_CƠ_VÀ_CẢM_BIẾN</t>
        </is>
      </c>
      <c r="E950" t="inlineStr">
        <is>
          <t>MAT-ACTUATOR-NACA-2-05</t>
        </is>
      </c>
      <c r="F950" t="inlineStr">
        <is>
          <t>Cái</t>
        </is>
      </c>
      <c r="G950" s="4" t="n">
        <v>1</v>
      </c>
      <c r="H950" s="2">
        <f>XLOOKUP(B950, '00_TONG_HOP_BAO_GIA'!B:B, '00_TONG_HOP_BAO_GIA'!G:G, 1)</f>
        <v/>
      </c>
      <c r="I950" s="5">
        <f>G950*H950</f>
        <v/>
      </c>
      <c r="J950" s="2">
        <f>XLOOKUP(E950, '06_BANG_GIA_VAT_TU_AP_DUNG'!B:B, '06_BANG_GIA_VAT_TU_AP_DUNG'!C:C, "LỖI_MÃ_VT")</f>
        <v/>
      </c>
      <c r="K950" s="2">
        <f>I950*J950</f>
        <v/>
      </c>
      <c r="L950" t="inlineStr">
        <is>
          <t>Tiết diện van 0.49m2</t>
        </is>
      </c>
    </row>
    <row r="951">
      <c r="A951" t="inlineStr">
        <is>
          <t>SW-DAMPER-246-BODY</t>
        </is>
      </c>
      <c r="B951" t="inlineStr">
        <is>
          <t>SW-DAMPER-246</t>
        </is>
      </c>
      <c r="C951" t="inlineStr">
        <is>
          <t>Thân vỏ van MD bích TDF (0.75mm)</t>
        </is>
      </c>
      <c r="D951" t="inlineStr">
        <is>
          <t>TÔN_CUỘN_MẠ_KẼM</t>
        </is>
      </c>
      <c r="E951" t="inlineStr">
        <is>
          <t>MAT-STEEL-PN-0.75</t>
        </is>
      </c>
      <c r="F951" t="inlineStr">
        <is>
          <t>kg</t>
        </is>
      </c>
      <c r="G951" s="4" t="n">
        <v>5.608197000000001</v>
      </c>
      <c r="H951" s="2">
        <f>XLOOKUP(B951, '00_TONG_HOP_BAO_GIA'!B:B, '00_TONG_HOP_BAO_GIA'!G:G, 1)</f>
        <v/>
      </c>
      <c r="I951" s="5">
        <f>G951*H951</f>
        <v/>
      </c>
      <c r="J951" s="2">
        <f>XLOOKUP(E951, '06_BANG_GIA_VAT_TU_AP_DUNG'!B:B, '06_BANG_GIA_VAT_TU_AP_DUNG'!C:C, "LỖI_MÃ_VT")</f>
        <v/>
      </c>
      <c r="K951" s="2">
        <f>I951*J951</f>
        <v/>
      </c>
      <c r="L951" t="inlineStr">
        <is>
          <t>Kích thước vỏ 800.0x800.0x210mm</t>
        </is>
      </c>
    </row>
    <row r="952">
      <c r="A952" t="inlineStr">
        <is>
          <t>SW-DAMPER-246-BLADE</t>
        </is>
      </c>
      <c r="B952" t="inlineStr">
        <is>
          <t>SW-DAMPER-246</t>
        </is>
      </c>
      <c r="C952" t="inlineStr">
        <is>
          <t>Lá cánh van (5 cánh overlap)</t>
        </is>
      </c>
      <c r="D952" t="inlineStr">
        <is>
          <t>TÔN_CUỘN_MẠ_KẼM</t>
        </is>
      </c>
      <c r="E952" t="inlineStr">
        <is>
          <t>MAT-STEEL-PN-0.75</t>
        </is>
      </c>
      <c r="F952" t="inlineStr">
        <is>
          <t>kg</t>
        </is>
      </c>
      <c r="G952" s="4" t="n">
        <v>4.57812</v>
      </c>
      <c r="H952" s="2">
        <f>XLOOKUP(B952, '00_TONG_HOP_BAO_GIA'!B:B, '00_TONG_HOP_BAO_GIA'!G:G, 1)</f>
        <v/>
      </c>
      <c r="I952" s="5">
        <f>G952*H952</f>
        <v/>
      </c>
      <c r="J952" s="2">
        <f>XLOOKUP(E952, '06_BANG_GIA_VAT_TU_AP_DUNG'!B:B, '06_BANG_GIA_VAT_TU_AP_DUNG'!C:C, "LỖI_MÃ_VT")</f>
        <v/>
      </c>
      <c r="K952" s="2">
        <f>I952*J952</f>
        <v/>
      </c>
      <c r="L952" t="inlineStr">
        <is>
          <t>5 cánh cao 180mm</t>
        </is>
      </c>
    </row>
    <row r="953">
      <c r="A953" t="inlineStr">
        <is>
          <t>SW-DAMPER-246-AXLE</t>
        </is>
      </c>
      <c r="B953" t="inlineStr">
        <is>
          <t>SW-DAMPER-246</t>
        </is>
      </c>
      <c r="C953" t="inlineStr">
        <is>
          <t>Trục Sus 201 D10</t>
        </is>
      </c>
      <c r="D953" t="inlineStr">
        <is>
          <t>PHỤ_KIỆN_VAN</t>
        </is>
      </c>
      <c r="E953" t="inlineStr">
        <is>
          <t>MAT-DAMPER-TRUC-SUS-201-D10</t>
        </is>
      </c>
      <c r="F953" t="inlineStr">
        <is>
          <t>m</t>
        </is>
      </c>
      <c r="G953" s="4" t="n">
        <v>4.3</v>
      </c>
      <c r="H953" s="2">
        <f>XLOOKUP(B953, '00_TONG_HOP_BAO_GIA'!B:B, '00_TONG_HOP_BAO_GIA'!G:G, 1)</f>
        <v/>
      </c>
      <c r="I953" s="5">
        <f>G953*H953</f>
        <v/>
      </c>
      <c r="J953" s="2">
        <f>XLOOKUP(E953, '06_BANG_GIA_VAT_TU_AP_DUNG'!B:B, '06_BANG_GIA_VAT_TU_AP_DUNG'!C:C, "LỖI_MÃ_VT")</f>
        <v/>
      </c>
      <c r="K953" s="2">
        <f>I953*J953</f>
        <v/>
      </c>
      <c r="L953" t="inlineStr">
        <is>
          <t>5 trục dài 860mm</t>
        </is>
      </c>
    </row>
    <row r="954">
      <c r="A954" t="inlineStr">
        <is>
          <t>SW-DAMPER-246-BEARING</t>
        </is>
      </c>
      <c r="B954" t="inlineStr">
        <is>
          <t>SW-DAMPER-246</t>
        </is>
      </c>
      <c r="C954" t="inlineStr">
        <is>
          <t>Bạc đồng D10</t>
        </is>
      </c>
      <c r="D954" t="inlineStr">
        <is>
          <t>PHỤ_KIỆN_VAN</t>
        </is>
      </c>
      <c r="E954" t="inlineStr">
        <is>
          <t>MAT-DAMPER-BAC-DONG-D10</t>
        </is>
      </c>
      <c r="F954" t="inlineStr">
        <is>
          <t>Đôi</t>
        </is>
      </c>
      <c r="G954" s="4" t="n">
        <v>5</v>
      </c>
      <c r="H954" s="2">
        <f>XLOOKUP(B954, '00_TONG_HOP_BAO_GIA'!B:B, '00_TONG_HOP_BAO_GIA'!G:G, 1)</f>
        <v/>
      </c>
      <c r="I954" s="5">
        <f>G954*H954</f>
        <v/>
      </c>
      <c r="J954" s="2">
        <f>XLOOKUP(E954, '06_BANG_GIA_VAT_TU_AP_DUNG'!B:B, '06_BANG_GIA_VAT_TU_AP_DUNG'!C:C, "LỖI_MÃ_VT")</f>
        <v/>
      </c>
      <c r="K954" s="2">
        <f>I954*J954</f>
        <v/>
      </c>
      <c r="L954" t="inlineStr">
        <is>
          <t>5 đôi bạc đỡ 2 bên thân</t>
        </is>
      </c>
    </row>
    <row r="955">
      <c r="A955" t="inlineStr">
        <is>
          <t>SW-DAMPER-246-GEAR</t>
        </is>
      </c>
      <c r="B955" t="inlineStr">
        <is>
          <t>SW-DAMPER-246</t>
        </is>
      </c>
      <c r="C955" t="inlineStr">
        <is>
          <t>Bánh răng van nhôm</t>
        </is>
      </c>
      <c r="D955" t="inlineStr">
        <is>
          <t>PHỤ_KIỆN_VAN</t>
        </is>
      </c>
      <c r="E955" t="inlineStr">
        <is>
          <t>MAT-DAMPER-BANH-RANG-VAN-NHOM</t>
        </is>
      </c>
      <c r="F955" t="inlineStr">
        <is>
          <t>Bộ</t>
        </is>
      </c>
      <c r="G955" s="4" t="n">
        <v>1</v>
      </c>
      <c r="H955" s="2">
        <f>XLOOKUP(B955, '00_TONG_HOP_BAO_GIA'!B:B, '00_TONG_HOP_BAO_GIA'!G:G, 1)</f>
        <v/>
      </c>
      <c r="I955" s="5">
        <f>G955*H955</f>
        <v/>
      </c>
      <c r="J955" s="2">
        <f>XLOOKUP(E955, '06_BANG_GIA_VAT_TU_AP_DUNG'!B:B, '06_BANG_GIA_VAT_TU_AP_DUNG'!C:C, "LỖI_MÃ_VT")</f>
        <v/>
      </c>
      <c r="K955" s="2">
        <f>I955*J955</f>
        <v/>
      </c>
      <c r="L955" t="inlineStr">
        <is>
          <t>Cơ cấu liên động bánh răng van</t>
        </is>
      </c>
    </row>
    <row r="956">
      <c r="A956" t="inlineStr">
        <is>
          <t>SW-DAMPER-246-ACTUATOR</t>
        </is>
      </c>
      <c r="B956" t="inlineStr">
        <is>
          <t>SW-DAMPER-246</t>
        </is>
      </c>
      <c r="C956" t="inlineStr">
        <is>
          <t>Model: NACA 2-10 (10Nm, 220VAC)</t>
        </is>
      </c>
      <c r="D956" t="inlineStr">
        <is>
          <t>ĐỘNG_CƠ_VÀ_CẢM_BIẾN</t>
        </is>
      </c>
      <c r="E956" t="inlineStr">
        <is>
          <t>MAT-ACTUATOR-NACA-2-10</t>
        </is>
      </c>
      <c r="F956" t="inlineStr">
        <is>
          <t>Cái</t>
        </is>
      </c>
      <c r="G956" s="4" t="n">
        <v>1</v>
      </c>
      <c r="H956" s="2">
        <f>XLOOKUP(B956, '00_TONG_HOP_BAO_GIA'!B:B, '00_TONG_HOP_BAO_GIA'!G:G, 1)</f>
        <v/>
      </c>
      <c r="I956" s="5">
        <f>G956*H956</f>
        <v/>
      </c>
      <c r="J956" s="2">
        <f>XLOOKUP(E956, '06_BANG_GIA_VAT_TU_AP_DUNG'!B:B, '06_BANG_GIA_VAT_TU_AP_DUNG'!C:C, "LỖI_MÃ_VT")</f>
        <v/>
      </c>
      <c r="K956" s="2">
        <f>I956*J956</f>
        <v/>
      </c>
      <c r="L956" t="inlineStr">
        <is>
          <t>Tiết diện van 0.64m2</t>
        </is>
      </c>
    </row>
    <row r="957">
      <c r="A957" t="inlineStr">
        <is>
          <t>SW-DAMPER-247-BODY</t>
        </is>
      </c>
      <c r="B957" t="inlineStr">
        <is>
          <t>SW-DAMPER-247</t>
        </is>
      </c>
      <c r="C957" t="inlineStr">
        <is>
          <t>Thân vỏ van FD bích TDF (0.75mm)</t>
        </is>
      </c>
      <c r="D957" t="inlineStr">
        <is>
          <t>TÔN_CUỘN_MẠ_KẼM</t>
        </is>
      </c>
      <c r="E957" t="inlineStr">
        <is>
          <t>MAT-STEEL-PN-0.75</t>
        </is>
      </c>
      <c r="F957" t="inlineStr">
        <is>
          <t>kg</t>
        </is>
      </c>
      <c r="G957" s="4" t="n">
        <v>1.266048</v>
      </c>
      <c r="H957" s="2">
        <f>XLOOKUP(B957, '00_TONG_HOP_BAO_GIA'!B:B, '00_TONG_HOP_BAO_GIA'!G:G, 1)</f>
        <v/>
      </c>
      <c r="I957" s="5">
        <f>G957*H957</f>
        <v/>
      </c>
      <c r="J957" s="2">
        <f>XLOOKUP(E957, '06_BANG_GIA_VAT_TU_AP_DUNG'!B:B, '06_BANG_GIA_VAT_TU_AP_DUNG'!C:C, "LỖI_MÃ_VT")</f>
        <v/>
      </c>
      <c r="K957" s="2">
        <f>I957*J957</f>
        <v/>
      </c>
      <c r="L957" t="inlineStr">
        <is>
          <t>Kích thước vỏ 150.0x150.0x250mm</t>
        </is>
      </c>
    </row>
    <row r="958">
      <c r="A958" t="inlineStr">
        <is>
          <t>SW-DAMPER-247-BLADE</t>
        </is>
      </c>
      <c r="B958" t="inlineStr">
        <is>
          <t>SW-DAMPER-247</t>
        </is>
      </c>
      <c r="C958" t="inlineStr">
        <is>
          <t>Lá cánh van (1 cánh overlap)</t>
        </is>
      </c>
      <c r="D958" t="inlineStr">
        <is>
          <t>TÔN_CUỘN_MẠ_KẼM</t>
        </is>
      </c>
      <c r="E958" t="inlineStr">
        <is>
          <t>MAT-STEEL-PN-0.75</t>
        </is>
      </c>
      <c r="F958" t="inlineStr">
        <is>
          <t>kg</t>
        </is>
      </c>
      <c r="G958" s="4" t="n">
        <v>0.16214175</v>
      </c>
      <c r="H958" s="2">
        <f>XLOOKUP(B958, '00_TONG_HOP_BAO_GIA'!B:B, '00_TONG_HOP_BAO_GIA'!G:G, 1)</f>
        <v/>
      </c>
      <c r="I958" s="5">
        <f>G958*H958</f>
        <v/>
      </c>
      <c r="J958" s="2">
        <f>XLOOKUP(E958, '06_BANG_GIA_VAT_TU_AP_DUNG'!B:B, '06_BANG_GIA_VAT_TU_AP_DUNG'!C:C, "LỖI_MÃ_VT")</f>
        <v/>
      </c>
      <c r="K958" s="2">
        <f>I958*J958</f>
        <v/>
      </c>
      <c r="L958" t="inlineStr">
        <is>
          <t>1 cánh cao 170mm</t>
        </is>
      </c>
    </row>
    <row r="959">
      <c r="A959" t="inlineStr">
        <is>
          <t>SW-DAMPER-247-AXLE</t>
        </is>
      </c>
      <c r="B959" t="inlineStr">
        <is>
          <t>SW-DAMPER-247</t>
        </is>
      </c>
      <c r="C959" t="inlineStr">
        <is>
          <t>Trục Sus 201 D10</t>
        </is>
      </c>
      <c r="D959" t="inlineStr">
        <is>
          <t>PHỤ_KIỆN_VAN</t>
        </is>
      </c>
      <c r="E959" t="inlineStr">
        <is>
          <t>MAT-DAMPER-TRUC-SUS-201-D10</t>
        </is>
      </c>
      <c r="F959" t="inlineStr">
        <is>
          <t>m</t>
        </is>
      </c>
      <c r="G959" s="4" t="n">
        <v>0.21</v>
      </c>
      <c r="H959" s="2">
        <f>XLOOKUP(B959, '00_TONG_HOP_BAO_GIA'!B:B, '00_TONG_HOP_BAO_GIA'!G:G, 1)</f>
        <v/>
      </c>
      <c r="I959" s="5">
        <f>G959*H959</f>
        <v/>
      </c>
      <c r="J959" s="2">
        <f>XLOOKUP(E959, '06_BANG_GIA_VAT_TU_AP_DUNG'!B:B, '06_BANG_GIA_VAT_TU_AP_DUNG'!C:C, "LỖI_MÃ_VT")</f>
        <v/>
      </c>
      <c r="K959" s="2">
        <f>I959*J959</f>
        <v/>
      </c>
      <c r="L959" t="inlineStr">
        <is>
          <t>1 trục dài 210mm</t>
        </is>
      </c>
    </row>
    <row r="960">
      <c r="A960" t="inlineStr">
        <is>
          <t>SW-DAMPER-247-BEARING</t>
        </is>
      </c>
      <c r="B960" t="inlineStr">
        <is>
          <t>SW-DAMPER-247</t>
        </is>
      </c>
      <c r="C960" t="inlineStr">
        <is>
          <t>Bạc đồng D10</t>
        </is>
      </c>
      <c r="D960" t="inlineStr">
        <is>
          <t>PHỤ_KIỆN_VAN</t>
        </is>
      </c>
      <c r="E960" t="inlineStr">
        <is>
          <t>MAT-DAMPER-BAC-DONG-D10</t>
        </is>
      </c>
      <c r="F960" t="inlineStr">
        <is>
          <t>Đôi</t>
        </is>
      </c>
      <c r="G960" s="4" t="n">
        <v>1</v>
      </c>
      <c r="H960" s="2">
        <f>XLOOKUP(B960, '00_TONG_HOP_BAO_GIA'!B:B, '00_TONG_HOP_BAO_GIA'!G:G, 1)</f>
        <v/>
      </c>
      <c r="I960" s="5">
        <f>G960*H960</f>
        <v/>
      </c>
      <c r="J960" s="2">
        <f>XLOOKUP(E960, '06_BANG_GIA_VAT_TU_AP_DUNG'!B:B, '06_BANG_GIA_VAT_TU_AP_DUNG'!C:C, "LỖI_MÃ_VT")</f>
        <v/>
      </c>
      <c r="K960" s="2">
        <f>I960*J960</f>
        <v/>
      </c>
      <c r="L960" t="inlineStr">
        <is>
          <t>1 đôi bạc đỡ 2 bên thân</t>
        </is>
      </c>
    </row>
    <row r="961">
      <c r="A961" t="inlineStr">
        <is>
          <t>SW-DAMPER-247-FUSE</t>
        </is>
      </c>
      <c r="B961" t="inlineStr">
        <is>
          <t>SW-DAMPER-247</t>
        </is>
      </c>
      <c r="C961" t="inlineStr">
        <is>
          <t>Cầu chì nhiệt nóng chảy 70°C (Elsie/USA)</t>
        </is>
      </c>
      <c r="D961" t="inlineStr">
        <is>
          <t>PHỤ_KIỆN_VAN</t>
        </is>
      </c>
      <c r="E961" t="inlineStr">
        <is>
          <t>MAT-DAMPER-CAU-CHI-USA-1-400X400</t>
        </is>
      </c>
      <c r="F961" t="inlineStr">
        <is>
          <t>Cái</t>
        </is>
      </c>
      <c r="G961" s="4" t="n">
        <v>1</v>
      </c>
      <c r="H961" s="2">
        <f>XLOOKUP(B961, '00_TONG_HOP_BAO_GIA'!B:B, '00_TONG_HOP_BAO_GIA'!G:G, 1)</f>
        <v/>
      </c>
      <c r="I961" s="5">
        <f>G961*H961</f>
        <v/>
      </c>
      <c r="J961" s="2">
        <f>XLOOKUP(E961, '06_BANG_GIA_VAT_TU_AP_DUNG'!B:B, '06_BANG_GIA_VAT_TU_AP_DUNG'!C:C, "LỖI_MÃ_VT")</f>
        <v/>
      </c>
      <c r="K961" s="2">
        <f>I961*J961</f>
        <v/>
      </c>
      <c r="L961" t="inlineStr">
        <is>
          <t>Cầu chì kiểm định PCCC</t>
        </is>
      </c>
    </row>
    <row r="962">
      <c r="A962" t="inlineStr">
        <is>
          <t>SW-DAMPER-248-BODY</t>
        </is>
      </c>
      <c r="B962" t="inlineStr">
        <is>
          <t>SW-DAMPER-248</t>
        </is>
      </c>
      <c r="C962" t="inlineStr">
        <is>
          <t>Thân vỏ van FD bích TDF (0.75mm)</t>
        </is>
      </c>
      <c r="D962" t="inlineStr">
        <is>
          <t>TÔN_CUỘN_MẠ_KẼM</t>
        </is>
      </c>
      <c r="E962" t="inlineStr">
        <is>
          <t>MAT-STEEL-PN-0.75</t>
        </is>
      </c>
      <c r="F962" t="inlineStr">
        <is>
          <t>kg</t>
        </is>
      </c>
      <c r="G962" s="4" t="n">
        <v>1.463868</v>
      </c>
      <c r="H962" s="2">
        <f>XLOOKUP(B962, '00_TONG_HOP_BAO_GIA'!B:B, '00_TONG_HOP_BAO_GIA'!G:G, 1)</f>
        <v/>
      </c>
      <c r="I962" s="5">
        <f>G962*H962</f>
        <v/>
      </c>
      <c r="J962" s="2">
        <f>XLOOKUP(E962, '06_BANG_GIA_VAT_TU_AP_DUNG'!B:B, '06_BANG_GIA_VAT_TU_AP_DUNG'!C:C, "LỖI_MÃ_VT")</f>
        <v/>
      </c>
      <c r="K962" s="2">
        <f>I962*J962</f>
        <v/>
      </c>
      <c r="L962" t="inlineStr">
        <is>
          <t>Kích thước vỏ 200.0x150.0x250mm</t>
        </is>
      </c>
    </row>
    <row r="963">
      <c r="A963" t="inlineStr">
        <is>
          <t>SW-DAMPER-248-BLADE</t>
        </is>
      </c>
      <c r="B963" t="inlineStr">
        <is>
          <t>SW-DAMPER-248</t>
        </is>
      </c>
      <c r="C963" t="inlineStr">
        <is>
          <t>Lá cánh van (1 cánh overlap)</t>
        </is>
      </c>
      <c r="D963" t="inlineStr">
        <is>
          <t>TÔN_CUỘN_MẠ_KẼM</t>
        </is>
      </c>
      <c r="E963" t="inlineStr">
        <is>
          <t>MAT-STEEL-PN-0.75</t>
        </is>
      </c>
      <c r="F963" t="inlineStr">
        <is>
          <t>kg</t>
        </is>
      </c>
      <c r="G963" s="4" t="n">
        <v>0.216189</v>
      </c>
      <c r="H963" s="2">
        <f>XLOOKUP(B963, '00_TONG_HOP_BAO_GIA'!B:B, '00_TONG_HOP_BAO_GIA'!G:G, 1)</f>
        <v/>
      </c>
      <c r="I963" s="5">
        <f>G963*H963</f>
        <v/>
      </c>
      <c r="J963" s="2">
        <f>XLOOKUP(E963, '06_BANG_GIA_VAT_TU_AP_DUNG'!B:B, '06_BANG_GIA_VAT_TU_AP_DUNG'!C:C, "LỖI_MÃ_VT")</f>
        <v/>
      </c>
      <c r="K963" s="2">
        <f>I963*J963</f>
        <v/>
      </c>
      <c r="L963" t="inlineStr">
        <is>
          <t>1 cánh cao 170mm</t>
        </is>
      </c>
    </row>
    <row r="964">
      <c r="A964" t="inlineStr">
        <is>
          <t>SW-DAMPER-248-AXLE</t>
        </is>
      </c>
      <c r="B964" t="inlineStr">
        <is>
          <t>SW-DAMPER-248</t>
        </is>
      </c>
      <c r="C964" t="inlineStr">
        <is>
          <t>Trục Sus 201 D10</t>
        </is>
      </c>
      <c r="D964" t="inlineStr">
        <is>
          <t>PHỤ_KIỆN_VAN</t>
        </is>
      </c>
      <c r="E964" t="inlineStr">
        <is>
          <t>MAT-DAMPER-TRUC-SUS-201-D10</t>
        </is>
      </c>
      <c r="F964" t="inlineStr">
        <is>
          <t>m</t>
        </is>
      </c>
      <c r="G964" s="4" t="n">
        <v>0.26</v>
      </c>
      <c r="H964" s="2">
        <f>XLOOKUP(B964, '00_TONG_HOP_BAO_GIA'!B:B, '00_TONG_HOP_BAO_GIA'!G:G, 1)</f>
        <v/>
      </c>
      <c r="I964" s="5">
        <f>G964*H964</f>
        <v/>
      </c>
      <c r="J964" s="2">
        <f>XLOOKUP(E964, '06_BANG_GIA_VAT_TU_AP_DUNG'!B:B, '06_BANG_GIA_VAT_TU_AP_DUNG'!C:C, "LỖI_MÃ_VT")</f>
        <v/>
      </c>
      <c r="K964" s="2">
        <f>I964*J964</f>
        <v/>
      </c>
      <c r="L964" t="inlineStr">
        <is>
          <t>1 trục dài 260mm</t>
        </is>
      </c>
    </row>
    <row r="965">
      <c r="A965" t="inlineStr">
        <is>
          <t>SW-DAMPER-248-BEARING</t>
        </is>
      </c>
      <c r="B965" t="inlineStr">
        <is>
          <t>SW-DAMPER-248</t>
        </is>
      </c>
      <c r="C965" t="inlineStr">
        <is>
          <t>Bạc đồng D10</t>
        </is>
      </c>
      <c r="D965" t="inlineStr">
        <is>
          <t>PHỤ_KIỆN_VAN</t>
        </is>
      </c>
      <c r="E965" t="inlineStr">
        <is>
          <t>MAT-DAMPER-BAC-DONG-D10</t>
        </is>
      </c>
      <c r="F965" t="inlineStr">
        <is>
          <t>Đôi</t>
        </is>
      </c>
      <c r="G965" s="4" t="n">
        <v>1</v>
      </c>
      <c r="H965" s="2">
        <f>XLOOKUP(B965, '00_TONG_HOP_BAO_GIA'!B:B, '00_TONG_HOP_BAO_GIA'!G:G, 1)</f>
        <v/>
      </c>
      <c r="I965" s="5">
        <f>G965*H965</f>
        <v/>
      </c>
      <c r="J965" s="2">
        <f>XLOOKUP(E965, '06_BANG_GIA_VAT_TU_AP_DUNG'!B:B, '06_BANG_GIA_VAT_TU_AP_DUNG'!C:C, "LỖI_MÃ_VT")</f>
        <v/>
      </c>
      <c r="K965" s="2">
        <f>I965*J965</f>
        <v/>
      </c>
      <c r="L965" t="inlineStr">
        <is>
          <t>1 đôi bạc đỡ 2 bên thân</t>
        </is>
      </c>
    </row>
    <row r="966">
      <c r="A966" t="inlineStr">
        <is>
          <t>SW-DAMPER-248-FUSE</t>
        </is>
      </c>
      <c r="B966" t="inlineStr">
        <is>
          <t>SW-DAMPER-248</t>
        </is>
      </c>
      <c r="C966" t="inlineStr">
        <is>
          <t>Cầu chì nhiệt nóng chảy 70°C (Elsie/USA)</t>
        </is>
      </c>
      <c r="D966" t="inlineStr">
        <is>
          <t>PHỤ_KIỆN_VAN</t>
        </is>
      </c>
      <c r="E966" t="inlineStr">
        <is>
          <t>MAT-DAMPER-CAU-CHI-USA-1-400X400</t>
        </is>
      </c>
      <c r="F966" t="inlineStr">
        <is>
          <t>Cái</t>
        </is>
      </c>
      <c r="G966" s="4" t="n">
        <v>1</v>
      </c>
      <c r="H966" s="2">
        <f>XLOOKUP(B966, '00_TONG_HOP_BAO_GIA'!B:B, '00_TONG_HOP_BAO_GIA'!G:G, 1)</f>
        <v/>
      </c>
      <c r="I966" s="5">
        <f>G966*H966</f>
        <v/>
      </c>
      <c r="J966" s="2">
        <f>XLOOKUP(E966, '06_BANG_GIA_VAT_TU_AP_DUNG'!B:B, '06_BANG_GIA_VAT_TU_AP_DUNG'!C:C, "LỖI_MÃ_VT")</f>
        <v/>
      </c>
      <c r="K966" s="2">
        <f>I966*J966</f>
        <v/>
      </c>
      <c r="L966" t="inlineStr">
        <is>
          <t>Cầu chì kiểm định PCCC</t>
        </is>
      </c>
    </row>
    <row r="967">
      <c r="A967" t="inlineStr">
        <is>
          <t>SW-DAMPER-249-BODY</t>
        </is>
      </c>
      <c r="B967" t="inlineStr">
        <is>
          <t>SW-DAMPER-249</t>
        </is>
      </c>
      <c r="C967" t="inlineStr">
        <is>
          <t>Thân vỏ van FD bích TDF (0.75mm)</t>
        </is>
      </c>
      <c r="D967" t="inlineStr">
        <is>
          <t>TÔN_CUỘN_MẠ_KẼM</t>
        </is>
      </c>
      <c r="E967" t="inlineStr">
        <is>
          <t>MAT-STEEL-PN-0.75</t>
        </is>
      </c>
      <c r="F967" t="inlineStr">
        <is>
          <t>kg</t>
        </is>
      </c>
      <c r="G967" s="4" t="n">
        <v>1.463868</v>
      </c>
      <c r="H967" s="2">
        <f>XLOOKUP(B967, '00_TONG_HOP_BAO_GIA'!B:B, '00_TONG_HOP_BAO_GIA'!G:G, 1)</f>
        <v/>
      </c>
      <c r="I967" s="5">
        <f>G967*H967</f>
        <v/>
      </c>
      <c r="J967" s="2">
        <f>XLOOKUP(E967, '06_BANG_GIA_VAT_TU_AP_DUNG'!B:B, '06_BANG_GIA_VAT_TU_AP_DUNG'!C:C, "LỖI_MÃ_VT")</f>
        <v/>
      </c>
      <c r="K967" s="2">
        <f>I967*J967</f>
        <v/>
      </c>
      <c r="L967" t="inlineStr">
        <is>
          <t>Kích thước vỏ 200.0x150.0x250mm</t>
        </is>
      </c>
    </row>
    <row r="968">
      <c r="A968" t="inlineStr">
        <is>
          <t>SW-DAMPER-249-BLADE</t>
        </is>
      </c>
      <c r="B968" t="inlineStr">
        <is>
          <t>SW-DAMPER-249</t>
        </is>
      </c>
      <c r="C968" t="inlineStr">
        <is>
          <t>Lá cánh van (1 cánh overlap)</t>
        </is>
      </c>
      <c r="D968" t="inlineStr">
        <is>
          <t>TÔN_CUỘN_MẠ_KẼM</t>
        </is>
      </c>
      <c r="E968" t="inlineStr">
        <is>
          <t>MAT-STEEL-PN-0.75</t>
        </is>
      </c>
      <c r="F968" t="inlineStr">
        <is>
          <t>kg</t>
        </is>
      </c>
      <c r="G968" s="4" t="n">
        <v>0.216189</v>
      </c>
      <c r="H968" s="2">
        <f>XLOOKUP(B968, '00_TONG_HOP_BAO_GIA'!B:B, '00_TONG_HOP_BAO_GIA'!G:G, 1)</f>
        <v/>
      </c>
      <c r="I968" s="5">
        <f>G968*H968</f>
        <v/>
      </c>
      <c r="J968" s="2">
        <f>XLOOKUP(E968, '06_BANG_GIA_VAT_TU_AP_DUNG'!B:B, '06_BANG_GIA_VAT_TU_AP_DUNG'!C:C, "LỖI_MÃ_VT")</f>
        <v/>
      </c>
      <c r="K968" s="2">
        <f>I968*J968</f>
        <v/>
      </c>
      <c r="L968" t="inlineStr">
        <is>
          <t>1 cánh cao 170mm</t>
        </is>
      </c>
    </row>
    <row r="969">
      <c r="A969" t="inlineStr">
        <is>
          <t>SW-DAMPER-249-AXLE</t>
        </is>
      </c>
      <c r="B969" t="inlineStr">
        <is>
          <t>SW-DAMPER-249</t>
        </is>
      </c>
      <c r="C969" t="inlineStr">
        <is>
          <t>Trục Sus 201 D10</t>
        </is>
      </c>
      <c r="D969" t="inlineStr">
        <is>
          <t>PHỤ_KIỆN_VAN</t>
        </is>
      </c>
      <c r="E969" t="inlineStr">
        <is>
          <t>MAT-DAMPER-TRUC-SUS-201-D10</t>
        </is>
      </c>
      <c r="F969" t="inlineStr">
        <is>
          <t>m</t>
        </is>
      </c>
      <c r="G969" s="4" t="n">
        <v>0.26</v>
      </c>
      <c r="H969" s="2">
        <f>XLOOKUP(B969, '00_TONG_HOP_BAO_GIA'!B:B, '00_TONG_HOP_BAO_GIA'!G:G, 1)</f>
        <v/>
      </c>
      <c r="I969" s="5">
        <f>G969*H969</f>
        <v/>
      </c>
      <c r="J969" s="2">
        <f>XLOOKUP(E969, '06_BANG_GIA_VAT_TU_AP_DUNG'!B:B, '06_BANG_GIA_VAT_TU_AP_DUNG'!C:C, "LỖI_MÃ_VT")</f>
        <v/>
      </c>
      <c r="K969" s="2">
        <f>I969*J969</f>
        <v/>
      </c>
      <c r="L969" t="inlineStr">
        <is>
          <t>1 trục dài 260mm</t>
        </is>
      </c>
    </row>
    <row r="970">
      <c r="A970" t="inlineStr">
        <is>
          <t>SW-DAMPER-249-BEARING</t>
        </is>
      </c>
      <c r="B970" t="inlineStr">
        <is>
          <t>SW-DAMPER-249</t>
        </is>
      </c>
      <c r="C970" t="inlineStr">
        <is>
          <t>Bạc đồng D10</t>
        </is>
      </c>
      <c r="D970" t="inlineStr">
        <is>
          <t>PHỤ_KIỆN_VAN</t>
        </is>
      </c>
      <c r="E970" t="inlineStr">
        <is>
          <t>MAT-DAMPER-BAC-DONG-D10</t>
        </is>
      </c>
      <c r="F970" t="inlineStr">
        <is>
          <t>Đôi</t>
        </is>
      </c>
      <c r="G970" s="4" t="n">
        <v>1</v>
      </c>
      <c r="H970" s="2">
        <f>XLOOKUP(B970, '00_TONG_HOP_BAO_GIA'!B:B, '00_TONG_HOP_BAO_GIA'!G:G, 1)</f>
        <v/>
      </c>
      <c r="I970" s="5">
        <f>G970*H970</f>
        <v/>
      </c>
      <c r="J970" s="2">
        <f>XLOOKUP(E970, '06_BANG_GIA_VAT_TU_AP_DUNG'!B:B, '06_BANG_GIA_VAT_TU_AP_DUNG'!C:C, "LỖI_MÃ_VT")</f>
        <v/>
      </c>
      <c r="K970" s="2">
        <f>I970*J970</f>
        <v/>
      </c>
      <c r="L970" t="inlineStr">
        <is>
          <t>1 đôi bạc đỡ 2 bên thân</t>
        </is>
      </c>
    </row>
    <row r="971">
      <c r="A971" t="inlineStr">
        <is>
          <t>SW-DAMPER-249-FUSE</t>
        </is>
      </c>
      <c r="B971" t="inlineStr">
        <is>
          <t>SW-DAMPER-249</t>
        </is>
      </c>
      <c r="C971" t="inlineStr">
        <is>
          <t>Cầu chì nhiệt nóng chảy 70°C (Elsie/USA)</t>
        </is>
      </c>
      <c r="D971" t="inlineStr">
        <is>
          <t>PHỤ_KIỆN_VAN</t>
        </is>
      </c>
      <c r="E971" t="inlineStr">
        <is>
          <t>MAT-DAMPER-CAU-CHI-USA-1-400X400</t>
        </is>
      </c>
      <c r="F971" t="inlineStr">
        <is>
          <t>Cái</t>
        </is>
      </c>
      <c r="G971" s="4" t="n">
        <v>1</v>
      </c>
      <c r="H971" s="2">
        <f>XLOOKUP(B971, '00_TONG_HOP_BAO_GIA'!B:B, '00_TONG_HOP_BAO_GIA'!G:G, 1)</f>
        <v/>
      </c>
      <c r="I971" s="5">
        <f>G971*H971</f>
        <v/>
      </c>
      <c r="J971" s="2">
        <f>XLOOKUP(E971, '06_BANG_GIA_VAT_TU_AP_DUNG'!B:B, '06_BANG_GIA_VAT_TU_AP_DUNG'!C:C, "LỖI_MÃ_VT")</f>
        <v/>
      </c>
      <c r="K971" s="2">
        <f>I971*J971</f>
        <v/>
      </c>
      <c r="L971" t="inlineStr">
        <is>
          <t>Cầu chì kiểm định PCCC</t>
        </is>
      </c>
    </row>
    <row r="972">
      <c r="A972" t="inlineStr">
        <is>
          <t>SW-DAMPER-250-BODY</t>
        </is>
      </c>
      <c r="B972" t="inlineStr">
        <is>
          <t>SW-DAMPER-250</t>
        </is>
      </c>
      <c r="C972" t="inlineStr">
        <is>
          <t>Thân vỏ van FD bích TDF (0.75mm)</t>
        </is>
      </c>
      <c r="D972" t="inlineStr">
        <is>
          <t>TÔN_CUỘN_MẠ_KẼM</t>
        </is>
      </c>
      <c r="E972" t="inlineStr">
        <is>
          <t>MAT-STEEL-PN-0.75</t>
        </is>
      </c>
      <c r="F972" t="inlineStr">
        <is>
          <t>kg</t>
        </is>
      </c>
      <c r="G972" s="4" t="n">
        <v>1.463868</v>
      </c>
      <c r="H972" s="2">
        <f>XLOOKUP(B972, '00_TONG_HOP_BAO_GIA'!B:B, '00_TONG_HOP_BAO_GIA'!G:G, 1)</f>
        <v/>
      </c>
      <c r="I972" s="5">
        <f>G972*H972</f>
        <v/>
      </c>
      <c r="J972" s="2">
        <f>XLOOKUP(E972, '06_BANG_GIA_VAT_TU_AP_DUNG'!B:B, '06_BANG_GIA_VAT_TU_AP_DUNG'!C:C, "LỖI_MÃ_VT")</f>
        <v/>
      </c>
      <c r="K972" s="2">
        <f>I972*J972</f>
        <v/>
      </c>
      <c r="L972" t="inlineStr">
        <is>
          <t>Kích thước vỏ 200.0x150.0x250mm</t>
        </is>
      </c>
    </row>
    <row r="973">
      <c r="A973" t="inlineStr">
        <is>
          <t>SW-DAMPER-250-BLADE</t>
        </is>
      </c>
      <c r="B973" t="inlineStr">
        <is>
          <t>SW-DAMPER-250</t>
        </is>
      </c>
      <c r="C973" t="inlineStr">
        <is>
          <t>Lá cánh van (1 cánh overlap)</t>
        </is>
      </c>
      <c r="D973" t="inlineStr">
        <is>
          <t>TÔN_CUỘN_MẠ_KẼM</t>
        </is>
      </c>
      <c r="E973" t="inlineStr">
        <is>
          <t>MAT-STEEL-PN-0.75</t>
        </is>
      </c>
      <c r="F973" t="inlineStr">
        <is>
          <t>kg</t>
        </is>
      </c>
      <c r="G973" s="4" t="n">
        <v>0.216189</v>
      </c>
      <c r="H973" s="2">
        <f>XLOOKUP(B973, '00_TONG_HOP_BAO_GIA'!B:B, '00_TONG_HOP_BAO_GIA'!G:G, 1)</f>
        <v/>
      </c>
      <c r="I973" s="5">
        <f>G973*H973</f>
        <v/>
      </c>
      <c r="J973" s="2">
        <f>XLOOKUP(E973, '06_BANG_GIA_VAT_TU_AP_DUNG'!B:B, '06_BANG_GIA_VAT_TU_AP_DUNG'!C:C, "LỖI_MÃ_VT")</f>
        <v/>
      </c>
      <c r="K973" s="2">
        <f>I973*J973</f>
        <v/>
      </c>
      <c r="L973" t="inlineStr">
        <is>
          <t>1 cánh cao 170mm</t>
        </is>
      </c>
    </row>
    <row r="974">
      <c r="A974" t="inlineStr">
        <is>
          <t>SW-DAMPER-250-AXLE</t>
        </is>
      </c>
      <c r="B974" t="inlineStr">
        <is>
          <t>SW-DAMPER-250</t>
        </is>
      </c>
      <c r="C974" t="inlineStr">
        <is>
          <t>Trục Sus 201 D10</t>
        </is>
      </c>
      <c r="D974" t="inlineStr">
        <is>
          <t>PHỤ_KIỆN_VAN</t>
        </is>
      </c>
      <c r="E974" t="inlineStr">
        <is>
          <t>MAT-DAMPER-TRUC-SUS-201-D10</t>
        </is>
      </c>
      <c r="F974" t="inlineStr">
        <is>
          <t>m</t>
        </is>
      </c>
      <c r="G974" s="4" t="n">
        <v>0.26</v>
      </c>
      <c r="H974" s="2">
        <f>XLOOKUP(B974, '00_TONG_HOP_BAO_GIA'!B:B, '00_TONG_HOP_BAO_GIA'!G:G, 1)</f>
        <v/>
      </c>
      <c r="I974" s="5">
        <f>G974*H974</f>
        <v/>
      </c>
      <c r="J974" s="2">
        <f>XLOOKUP(E974, '06_BANG_GIA_VAT_TU_AP_DUNG'!B:B, '06_BANG_GIA_VAT_TU_AP_DUNG'!C:C, "LỖI_MÃ_VT")</f>
        <v/>
      </c>
      <c r="K974" s="2">
        <f>I974*J974</f>
        <v/>
      </c>
      <c r="L974" t="inlineStr">
        <is>
          <t>1 trục dài 260mm</t>
        </is>
      </c>
    </row>
    <row r="975">
      <c r="A975" t="inlineStr">
        <is>
          <t>SW-DAMPER-250-BEARING</t>
        </is>
      </c>
      <c r="B975" t="inlineStr">
        <is>
          <t>SW-DAMPER-250</t>
        </is>
      </c>
      <c r="C975" t="inlineStr">
        <is>
          <t>Bạc đồng D10</t>
        </is>
      </c>
      <c r="D975" t="inlineStr">
        <is>
          <t>PHỤ_KIỆN_VAN</t>
        </is>
      </c>
      <c r="E975" t="inlineStr">
        <is>
          <t>MAT-DAMPER-BAC-DONG-D10</t>
        </is>
      </c>
      <c r="F975" t="inlineStr">
        <is>
          <t>Đôi</t>
        </is>
      </c>
      <c r="G975" s="4" t="n">
        <v>1</v>
      </c>
      <c r="H975" s="2">
        <f>XLOOKUP(B975, '00_TONG_HOP_BAO_GIA'!B:B, '00_TONG_HOP_BAO_GIA'!G:G, 1)</f>
        <v/>
      </c>
      <c r="I975" s="5">
        <f>G975*H975</f>
        <v/>
      </c>
      <c r="J975" s="2">
        <f>XLOOKUP(E975, '06_BANG_GIA_VAT_TU_AP_DUNG'!B:B, '06_BANG_GIA_VAT_TU_AP_DUNG'!C:C, "LỖI_MÃ_VT")</f>
        <v/>
      </c>
      <c r="K975" s="2">
        <f>I975*J975</f>
        <v/>
      </c>
      <c r="L975" t="inlineStr">
        <is>
          <t>1 đôi bạc đỡ 2 bên thân</t>
        </is>
      </c>
    </row>
    <row r="976">
      <c r="A976" t="inlineStr">
        <is>
          <t>SW-DAMPER-250-FUSE</t>
        </is>
      </c>
      <c r="B976" t="inlineStr">
        <is>
          <t>SW-DAMPER-250</t>
        </is>
      </c>
      <c r="C976" t="inlineStr">
        <is>
          <t>Cầu chì nhiệt nóng chảy 70°C (Elsie/USA)</t>
        </is>
      </c>
      <c r="D976" t="inlineStr">
        <is>
          <t>PHỤ_KIỆN_VAN</t>
        </is>
      </c>
      <c r="E976" t="inlineStr">
        <is>
          <t>MAT-DAMPER-CAU-CHI-USA-1-400X400</t>
        </is>
      </c>
      <c r="F976" t="inlineStr">
        <is>
          <t>Cái</t>
        </is>
      </c>
      <c r="G976" s="4" t="n">
        <v>1</v>
      </c>
      <c r="H976" s="2">
        <f>XLOOKUP(B976, '00_TONG_HOP_BAO_GIA'!B:B, '00_TONG_HOP_BAO_GIA'!G:G, 1)</f>
        <v/>
      </c>
      <c r="I976" s="5">
        <f>G976*H976</f>
        <v/>
      </c>
      <c r="J976" s="2">
        <f>XLOOKUP(E976, '06_BANG_GIA_VAT_TU_AP_DUNG'!B:B, '06_BANG_GIA_VAT_TU_AP_DUNG'!C:C, "LỖI_MÃ_VT")</f>
        <v/>
      </c>
      <c r="K976" s="2">
        <f>I976*J976</f>
        <v/>
      </c>
      <c r="L976" t="inlineStr">
        <is>
          <t>Cầu chì kiểm định PCCC</t>
        </is>
      </c>
    </row>
    <row r="977">
      <c r="A977" t="inlineStr">
        <is>
          <t>SW-DAMPER-251-BODY</t>
        </is>
      </c>
      <c r="B977" t="inlineStr">
        <is>
          <t>SW-DAMPER-251</t>
        </is>
      </c>
      <c r="C977" t="inlineStr">
        <is>
          <t>Thân vỏ van FD bích TDF (0.75mm)</t>
        </is>
      </c>
      <c r="D977" t="inlineStr">
        <is>
          <t>TÔN_CUỘN_MẠ_KẼM</t>
        </is>
      </c>
      <c r="E977" t="inlineStr">
        <is>
          <t>MAT-STEEL-PN-0.75</t>
        </is>
      </c>
      <c r="F977" t="inlineStr">
        <is>
          <t>kg</t>
        </is>
      </c>
      <c r="G977" s="4" t="n">
        <v>1.661688</v>
      </c>
      <c r="H977" s="2">
        <f>XLOOKUP(B977, '00_TONG_HOP_BAO_GIA'!B:B, '00_TONG_HOP_BAO_GIA'!G:G, 1)</f>
        <v/>
      </c>
      <c r="I977" s="5">
        <f>G977*H977</f>
        <v/>
      </c>
      <c r="J977" s="2">
        <f>XLOOKUP(E977, '06_BANG_GIA_VAT_TU_AP_DUNG'!B:B, '06_BANG_GIA_VAT_TU_AP_DUNG'!C:C, "LỖI_MÃ_VT")</f>
        <v/>
      </c>
      <c r="K977" s="2">
        <f>I977*J977</f>
        <v/>
      </c>
      <c r="L977" t="inlineStr">
        <is>
          <t>Kích thước vỏ 200.0x200.0x250mm</t>
        </is>
      </c>
    </row>
    <row r="978">
      <c r="A978" t="inlineStr">
        <is>
          <t>SW-DAMPER-251-BLADE</t>
        </is>
      </c>
      <c r="B978" t="inlineStr">
        <is>
          <t>SW-DAMPER-251</t>
        </is>
      </c>
      <c r="C978" t="inlineStr">
        <is>
          <t>Lá cánh van (2 cánh overlap)</t>
        </is>
      </c>
      <c r="D978" t="inlineStr">
        <is>
          <t>TÔN_CUỘN_MẠ_KẼM</t>
        </is>
      </c>
      <c r="E978" t="inlineStr">
        <is>
          <t>MAT-STEEL-PN-0.75</t>
        </is>
      </c>
      <c r="F978" t="inlineStr">
        <is>
          <t>kg</t>
        </is>
      </c>
      <c r="G978" s="4" t="n">
        <v>0.305208</v>
      </c>
      <c r="H978" s="2">
        <f>XLOOKUP(B978, '00_TONG_HOP_BAO_GIA'!B:B, '00_TONG_HOP_BAO_GIA'!G:G, 1)</f>
        <v/>
      </c>
      <c r="I978" s="5">
        <f>G978*H978</f>
        <v/>
      </c>
      <c r="J978" s="2">
        <f>XLOOKUP(E978, '06_BANG_GIA_VAT_TU_AP_DUNG'!B:B, '06_BANG_GIA_VAT_TU_AP_DUNG'!C:C, "LỖI_MÃ_VT")</f>
        <v/>
      </c>
      <c r="K978" s="2">
        <f>I978*J978</f>
        <v/>
      </c>
      <c r="L978" t="inlineStr">
        <is>
          <t>2 cánh cao 120mm</t>
        </is>
      </c>
    </row>
    <row r="979">
      <c r="A979" t="inlineStr">
        <is>
          <t>SW-DAMPER-251-AXLE</t>
        </is>
      </c>
      <c r="B979" t="inlineStr">
        <is>
          <t>SW-DAMPER-251</t>
        </is>
      </c>
      <c r="C979" t="inlineStr">
        <is>
          <t>Trục Sus 201 D10</t>
        </is>
      </c>
      <c r="D979" t="inlineStr">
        <is>
          <t>PHỤ_KIỆN_VAN</t>
        </is>
      </c>
      <c r="E979" t="inlineStr">
        <is>
          <t>MAT-DAMPER-TRUC-SUS-201-D10</t>
        </is>
      </c>
      <c r="F979" t="inlineStr">
        <is>
          <t>m</t>
        </is>
      </c>
      <c r="G979" s="4" t="n">
        <v>0.52</v>
      </c>
      <c r="H979" s="2">
        <f>XLOOKUP(B979, '00_TONG_HOP_BAO_GIA'!B:B, '00_TONG_HOP_BAO_GIA'!G:G, 1)</f>
        <v/>
      </c>
      <c r="I979" s="5">
        <f>G979*H979</f>
        <v/>
      </c>
      <c r="J979" s="2">
        <f>XLOOKUP(E979, '06_BANG_GIA_VAT_TU_AP_DUNG'!B:B, '06_BANG_GIA_VAT_TU_AP_DUNG'!C:C, "LỖI_MÃ_VT")</f>
        <v/>
      </c>
      <c r="K979" s="2">
        <f>I979*J979</f>
        <v/>
      </c>
      <c r="L979" t="inlineStr">
        <is>
          <t>2 trục dài 260mm</t>
        </is>
      </c>
    </row>
    <row r="980">
      <c r="A980" t="inlineStr">
        <is>
          <t>SW-DAMPER-251-BEARING</t>
        </is>
      </c>
      <c r="B980" t="inlineStr">
        <is>
          <t>SW-DAMPER-251</t>
        </is>
      </c>
      <c r="C980" t="inlineStr">
        <is>
          <t>Bạc đồng D10</t>
        </is>
      </c>
      <c r="D980" t="inlineStr">
        <is>
          <t>PHỤ_KIỆN_VAN</t>
        </is>
      </c>
      <c r="E980" t="inlineStr">
        <is>
          <t>MAT-DAMPER-BAC-DONG-D10</t>
        </is>
      </c>
      <c r="F980" t="inlineStr">
        <is>
          <t>Đôi</t>
        </is>
      </c>
      <c r="G980" s="4" t="n">
        <v>2</v>
      </c>
      <c r="H980" s="2">
        <f>XLOOKUP(B980, '00_TONG_HOP_BAO_GIA'!B:B, '00_TONG_HOP_BAO_GIA'!G:G, 1)</f>
        <v/>
      </c>
      <c r="I980" s="5">
        <f>G980*H980</f>
        <v/>
      </c>
      <c r="J980" s="2">
        <f>XLOOKUP(E980, '06_BANG_GIA_VAT_TU_AP_DUNG'!B:B, '06_BANG_GIA_VAT_TU_AP_DUNG'!C:C, "LỖI_MÃ_VT")</f>
        <v/>
      </c>
      <c r="K980" s="2">
        <f>I980*J980</f>
        <v/>
      </c>
      <c r="L980" t="inlineStr">
        <is>
          <t>2 đôi bạc đỡ 2 bên thân</t>
        </is>
      </c>
    </row>
    <row r="981">
      <c r="A981" t="inlineStr">
        <is>
          <t>SW-DAMPER-251-GEAR</t>
        </is>
      </c>
      <c r="B981" t="inlineStr">
        <is>
          <t>SW-DAMPER-251</t>
        </is>
      </c>
      <c r="C981" t="inlineStr">
        <is>
          <t>Bánh răng van nhôm</t>
        </is>
      </c>
      <c r="D981" t="inlineStr">
        <is>
          <t>PHỤ_KIỆN_VAN</t>
        </is>
      </c>
      <c r="E981" t="inlineStr">
        <is>
          <t>MAT-DAMPER-BANH-RANG-VAN-NHOM</t>
        </is>
      </c>
      <c r="F981" t="inlineStr">
        <is>
          <t>Bộ</t>
        </is>
      </c>
      <c r="G981" s="4" t="n">
        <v>1</v>
      </c>
      <c r="H981" s="2">
        <f>XLOOKUP(B981, '00_TONG_HOP_BAO_GIA'!B:B, '00_TONG_HOP_BAO_GIA'!G:G, 1)</f>
        <v/>
      </c>
      <c r="I981" s="5">
        <f>G981*H981</f>
        <v/>
      </c>
      <c r="J981" s="2">
        <f>XLOOKUP(E981, '06_BANG_GIA_VAT_TU_AP_DUNG'!B:B, '06_BANG_GIA_VAT_TU_AP_DUNG'!C:C, "LỖI_MÃ_VT")</f>
        <v/>
      </c>
      <c r="K981" s="2">
        <f>I981*J981</f>
        <v/>
      </c>
      <c r="L981" t="inlineStr">
        <is>
          <t>Cơ cấu liên động bánh răng van</t>
        </is>
      </c>
    </row>
    <row r="982">
      <c r="A982" t="inlineStr">
        <is>
          <t>SW-DAMPER-251-FUSE</t>
        </is>
      </c>
      <c r="B982" t="inlineStr">
        <is>
          <t>SW-DAMPER-251</t>
        </is>
      </c>
      <c r="C982" t="inlineStr">
        <is>
          <t>Cầu chì nhiệt nóng chảy 70°C (Elsie/USA)</t>
        </is>
      </c>
      <c r="D982" t="inlineStr">
        <is>
          <t>PHỤ_KIỆN_VAN</t>
        </is>
      </c>
      <c r="E982" t="inlineStr">
        <is>
          <t>MAT-DAMPER-CAU-CHI-USA-1-400X400</t>
        </is>
      </c>
      <c r="F982" t="inlineStr">
        <is>
          <t>Cái</t>
        </is>
      </c>
      <c r="G982" s="4" t="n">
        <v>1</v>
      </c>
      <c r="H982" s="2">
        <f>XLOOKUP(B982, '00_TONG_HOP_BAO_GIA'!B:B, '00_TONG_HOP_BAO_GIA'!G:G, 1)</f>
        <v/>
      </c>
      <c r="I982" s="5">
        <f>G982*H982</f>
        <v/>
      </c>
      <c r="J982" s="2">
        <f>XLOOKUP(E982, '06_BANG_GIA_VAT_TU_AP_DUNG'!B:B, '06_BANG_GIA_VAT_TU_AP_DUNG'!C:C, "LỖI_MÃ_VT")</f>
        <v/>
      </c>
      <c r="K982" s="2">
        <f>I982*J982</f>
        <v/>
      </c>
      <c r="L982" t="inlineStr">
        <is>
          <t>Cầu chì kiểm định PCCC</t>
        </is>
      </c>
    </row>
    <row r="983">
      <c r="A983" t="inlineStr">
        <is>
          <t>SW-DAMPER-252-BODY</t>
        </is>
      </c>
      <c r="B983" t="inlineStr">
        <is>
          <t>SW-DAMPER-252</t>
        </is>
      </c>
      <c r="C983" t="inlineStr">
        <is>
          <t>Thân vỏ van FD bích TDF (0.75mm)</t>
        </is>
      </c>
      <c r="D983" t="inlineStr">
        <is>
          <t>TÔN_CUỘN_MẠ_KẼM</t>
        </is>
      </c>
      <c r="E983" t="inlineStr">
        <is>
          <t>MAT-STEEL-PN-0.75</t>
        </is>
      </c>
      <c r="F983" t="inlineStr">
        <is>
          <t>kg</t>
        </is>
      </c>
      <c r="G983" s="4" t="n">
        <v>2.452968</v>
      </c>
      <c r="H983" s="2">
        <f>XLOOKUP(B983, '00_TONG_HOP_BAO_GIA'!B:B, '00_TONG_HOP_BAO_GIA'!G:G, 1)</f>
        <v/>
      </c>
      <c r="I983" s="5">
        <f>G983*H983</f>
        <v/>
      </c>
      <c r="J983" s="2">
        <f>XLOOKUP(E983, '06_BANG_GIA_VAT_TU_AP_DUNG'!B:B, '06_BANG_GIA_VAT_TU_AP_DUNG'!C:C, "LỖI_MÃ_VT")</f>
        <v/>
      </c>
      <c r="K983" s="2">
        <f>I983*J983</f>
        <v/>
      </c>
      <c r="L983" t="inlineStr">
        <is>
          <t>Kích thước vỏ 300.0x300.0x250mm</t>
        </is>
      </c>
    </row>
    <row r="984">
      <c r="A984" t="inlineStr">
        <is>
          <t>SW-DAMPER-252-BLADE</t>
        </is>
      </c>
      <c r="B984" t="inlineStr">
        <is>
          <t>SW-DAMPER-252</t>
        </is>
      </c>
      <c r="C984" t="inlineStr">
        <is>
          <t>Lá cánh van (2 cánh overlap)</t>
        </is>
      </c>
      <c r="D984" t="inlineStr">
        <is>
          <t>TÔN_CUỘN_MẠ_KẼM</t>
        </is>
      </c>
      <c r="E984" t="inlineStr">
        <is>
          <t>MAT-STEEL-PN-0.75</t>
        </is>
      </c>
      <c r="F984" t="inlineStr">
        <is>
          <t>kg</t>
        </is>
      </c>
      <c r="G984" s="4" t="n">
        <v>0.648567</v>
      </c>
      <c r="H984" s="2">
        <f>XLOOKUP(B984, '00_TONG_HOP_BAO_GIA'!B:B, '00_TONG_HOP_BAO_GIA'!G:G, 1)</f>
        <v/>
      </c>
      <c r="I984" s="5">
        <f>G984*H984</f>
        <v/>
      </c>
      <c r="J984" s="2">
        <f>XLOOKUP(E984, '06_BANG_GIA_VAT_TU_AP_DUNG'!B:B, '06_BANG_GIA_VAT_TU_AP_DUNG'!C:C, "LỖI_MÃ_VT")</f>
        <v/>
      </c>
      <c r="K984" s="2">
        <f>I984*J984</f>
        <v/>
      </c>
      <c r="L984" t="inlineStr">
        <is>
          <t>2 cánh cao 170mm</t>
        </is>
      </c>
    </row>
    <row r="985">
      <c r="A985" t="inlineStr">
        <is>
          <t>SW-DAMPER-252-AXLE</t>
        </is>
      </c>
      <c r="B985" t="inlineStr">
        <is>
          <t>SW-DAMPER-252</t>
        </is>
      </c>
      <c r="C985" t="inlineStr">
        <is>
          <t>Trục Sus 201 D10</t>
        </is>
      </c>
      <c r="D985" t="inlineStr">
        <is>
          <t>PHỤ_KIỆN_VAN</t>
        </is>
      </c>
      <c r="E985" t="inlineStr">
        <is>
          <t>MAT-DAMPER-TRUC-SUS-201-D10</t>
        </is>
      </c>
      <c r="F985" t="inlineStr">
        <is>
          <t>m</t>
        </is>
      </c>
      <c r="G985" s="4" t="n">
        <v>0.72</v>
      </c>
      <c r="H985" s="2">
        <f>XLOOKUP(B985, '00_TONG_HOP_BAO_GIA'!B:B, '00_TONG_HOP_BAO_GIA'!G:G, 1)</f>
        <v/>
      </c>
      <c r="I985" s="5">
        <f>G985*H985</f>
        <v/>
      </c>
      <c r="J985" s="2">
        <f>XLOOKUP(E985, '06_BANG_GIA_VAT_TU_AP_DUNG'!B:B, '06_BANG_GIA_VAT_TU_AP_DUNG'!C:C, "LỖI_MÃ_VT")</f>
        <v/>
      </c>
      <c r="K985" s="2">
        <f>I985*J985</f>
        <v/>
      </c>
      <c r="L985" t="inlineStr">
        <is>
          <t>2 trục dài 360mm</t>
        </is>
      </c>
    </row>
    <row r="986">
      <c r="A986" t="inlineStr">
        <is>
          <t>SW-DAMPER-252-BEARING</t>
        </is>
      </c>
      <c r="B986" t="inlineStr">
        <is>
          <t>SW-DAMPER-252</t>
        </is>
      </c>
      <c r="C986" t="inlineStr">
        <is>
          <t>Bạc đồng D10</t>
        </is>
      </c>
      <c r="D986" t="inlineStr">
        <is>
          <t>PHỤ_KIỆN_VAN</t>
        </is>
      </c>
      <c r="E986" t="inlineStr">
        <is>
          <t>MAT-DAMPER-BAC-DONG-D10</t>
        </is>
      </c>
      <c r="F986" t="inlineStr">
        <is>
          <t>Đôi</t>
        </is>
      </c>
      <c r="G986" s="4" t="n">
        <v>2</v>
      </c>
      <c r="H986" s="2">
        <f>XLOOKUP(B986, '00_TONG_HOP_BAO_GIA'!B:B, '00_TONG_HOP_BAO_GIA'!G:G, 1)</f>
        <v/>
      </c>
      <c r="I986" s="5">
        <f>G986*H986</f>
        <v/>
      </c>
      <c r="J986" s="2">
        <f>XLOOKUP(E986, '06_BANG_GIA_VAT_TU_AP_DUNG'!B:B, '06_BANG_GIA_VAT_TU_AP_DUNG'!C:C, "LỖI_MÃ_VT")</f>
        <v/>
      </c>
      <c r="K986" s="2">
        <f>I986*J986</f>
        <v/>
      </c>
      <c r="L986" t="inlineStr">
        <is>
          <t>2 đôi bạc đỡ 2 bên thân</t>
        </is>
      </c>
    </row>
    <row r="987">
      <c r="A987" t="inlineStr">
        <is>
          <t>SW-DAMPER-252-GEAR</t>
        </is>
      </c>
      <c r="B987" t="inlineStr">
        <is>
          <t>SW-DAMPER-252</t>
        </is>
      </c>
      <c r="C987" t="inlineStr">
        <is>
          <t>Bánh răng van nhôm</t>
        </is>
      </c>
      <c r="D987" t="inlineStr">
        <is>
          <t>PHỤ_KIỆN_VAN</t>
        </is>
      </c>
      <c r="E987" t="inlineStr">
        <is>
          <t>MAT-DAMPER-BANH-RANG-VAN-NHOM</t>
        </is>
      </c>
      <c r="F987" t="inlineStr">
        <is>
          <t>Bộ</t>
        </is>
      </c>
      <c r="G987" s="4" t="n">
        <v>1</v>
      </c>
      <c r="H987" s="2">
        <f>XLOOKUP(B987, '00_TONG_HOP_BAO_GIA'!B:B, '00_TONG_HOP_BAO_GIA'!G:G, 1)</f>
        <v/>
      </c>
      <c r="I987" s="5">
        <f>G987*H987</f>
        <v/>
      </c>
      <c r="J987" s="2">
        <f>XLOOKUP(E987, '06_BANG_GIA_VAT_TU_AP_DUNG'!B:B, '06_BANG_GIA_VAT_TU_AP_DUNG'!C:C, "LỖI_MÃ_VT")</f>
        <v/>
      </c>
      <c r="K987" s="2">
        <f>I987*J987</f>
        <v/>
      </c>
      <c r="L987" t="inlineStr">
        <is>
          <t>Cơ cấu liên động bánh răng van</t>
        </is>
      </c>
    </row>
    <row r="988">
      <c r="A988" t="inlineStr">
        <is>
          <t>SW-DAMPER-252-FUSE</t>
        </is>
      </c>
      <c r="B988" t="inlineStr">
        <is>
          <t>SW-DAMPER-252</t>
        </is>
      </c>
      <c r="C988" t="inlineStr">
        <is>
          <t>Cầu chì nhiệt nóng chảy 70°C (Elsie/USA)</t>
        </is>
      </c>
      <c r="D988" t="inlineStr">
        <is>
          <t>PHỤ_KIỆN_VAN</t>
        </is>
      </c>
      <c r="E988" t="inlineStr">
        <is>
          <t>MAT-DAMPER-CAU-CHI-USA-1-400X400</t>
        </is>
      </c>
      <c r="F988" t="inlineStr">
        <is>
          <t>Cái</t>
        </is>
      </c>
      <c r="G988" s="4" t="n">
        <v>1</v>
      </c>
      <c r="H988" s="2">
        <f>XLOOKUP(B988, '00_TONG_HOP_BAO_GIA'!B:B, '00_TONG_HOP_BAO_GIA'!G:G, 1)</f>
        <v/>
      </c>
      <c r="I988" s="5">
        <f>G988*H988</f>
        <v/>
      </c>
      <c r="J988" s="2">
        <f>XLOOKUP(E988, '06_BANG_GIA_VAT_TU_AP_DUNG'!B:B, '06_BANG_GIA_VAT_TU_AP_DUNG'!C:C, "LỖI_MÃ_VT")</f>
        <v/>
      </c>
      <c r="K988" s="2">
        <f>I988*J988</f>
        <v/>
      </c>
      <c r="L988" t="inlineStr">
        <is>
          <t>Cầu chì kiểm định PCCC</t>
        </is>
      </c>
    </row>
    <row r="989">
      <c r="A989" t="inlineStr">
        <is>
          <t>SW-DAMPER-253-BODY</t>
        </is>
      </c>
      <c r="B989" t="inlineStr">
        <is>
          <t>SW-DAMPER-253</t>
        </is>
      </c>
      <c r="C989" t="inlineStr">
        <is>
          <t>Thân vỏ van FD bích TDF (0.75mm)</t>
        </is>
      </c>
      <c r="D989" t="inlineStr">
        <is>
          <t>TÔN_CUỘN_MẠ_KẼM</t>
        </is>
      </c>
      <c r="E989" t="inlineStr">
        <is>
          <t>MAT-STEEL-PN-0.75</t>
        </is>
      </c>
      <c r="F989" t="inlineStr">
        <is>
          <t>kg</t>
        </is>
      </c>
      <c r="G989" s="4" t="n">
        <v>3.639888</v>
      </c>
      <c r="H989" s="2">
        <f>XLOOKUP(B989, '00_TONG_HOP_BAO_GIA'!B:B, '00_TONG_HOP_BAO_GIA'!G:G, 1)</f>
        <v/>
      </c>
      <c r="I989" s="5">
        <f>G989*H989</f>
        <v/>
      </c>
      <c r="J989" s="2">
        <f>XLOOKUP(E989, '06_BANG_GIA_VAT_TU_AP_DUNG'!B:B, '06_BANG_GIA_VAT_TU_AP_DUNG'!C:C, "LỖI_MÃ_VT")</f>
        <v/>
      </c>
      <c r="K989" s="2">
        <f>I989*J989</f>
        <v/>
      </c>
      <c r="L989" t="inlineStr">
        <is>
          <t>Kích thước vỏ 500.0x400.0x250mm</t>
        </is>
      </c>
    </row>
    <row r="990">
      <c r="A990" t="inlineStr">
        <is>
          <t>SW-DAMPER-253-BLADE</t>
        </is>
      </c>
      <c r="B990" t="inlineStr">
        <is>
          <t>SW-DAMPER-253</t>
        </is>
      </c>
      <c r="C990" t="inlineStr">
        <is>
          <t>Lá cánh van (3 cánh overlap)</t>
        </is>
      </c>
      <c r="D990" t="inlineStr">
        <is>
          <t>TÔN_CUỘN_MẠ_KẼM</t>
        </is>
      </c>
      <c r="E990" t="inlineStr">
        <is>
          <t>MAT-STEEL-PN-0.75</t>
        </is>
      </c>
      <c r="F990" t="inlineStr">
        <is>
          <t>kg</t>
        </is>
      </c>
      <c r="G990" s="4" t="n">
        <v>1.462455</v>
      </c>
      <c r="H990" s="2">
        <f>XLOOKUP(B990, '00_TONG_HOP_BAO_GIA'!B:B, '00_TONG_HOP_BAO_GIA'!G:G, 1)</f>
        <v/>
      </c>
      <c r="I990" s="5">
        <f>G990*H990</f>
        <v/>
      </c>
      <c r="J990" s="2">
        <f>XLOOKUP(E990, '06_BANG_GIA_VAT_TU_AP_DUNG'!B:B, '06_BANG_GIA_VAT_TU_AP_DUNG'!C:C, "LỖI_MÃ_VT")</f>
        <v/>
      </c>
      <c r="K990" s="2">
        <f>I990*J990</f>
        <v/>
      </c>
      <c r="L990" t="inlineStr">
        <is>
          <t>3 cánh cao 153mm</t>
        </is>
      </c>
    </row>
    <row r="991">
      <c r="A991" t="inlineStr">
        <is>
          <t>SW-DAMPER-253-AXLE</t>
        </is>
      </c>
      <c r="B991" t="inlineStr">
        <is>
          <t>SW-DAMPER-253</t>
        </is>
      </c>
      <c r="C991" t="inlineStr">
        <is>
          <t>Trục Sus 201 D10</t>
        </is>
      </c>
      <c r="D991" t="inlineStr">
        <is>
          <t>PHỤ_KIỆN_VAN</t>
        </is>
      </c>
      <c r="E991" t="inlineStr">
        <is>
          <t>MAT-DAMPER-TRUC-SUS-201-D10</t>
        </is>
      </c>
      <c r="F991" t="inlineStr">
        <is>
          <t>m</t>
        </is>
      </c>
      <c r="G991" s="4" t="n">
        <v>1.68</v>
      </c>
      <c r="H991" s="2">
        <f>XLOOKUP(B991, '00_TONG_HOP_BAO_GIA'!B:B, '00_TONG_HOP_BAO_GIA'!G:G, 1)</f>
        <v/>
      </c>
      <c r="I991" s="5">
        <f>G991*H991</f>
        <v/>
      </c>
      <c r="J991" s="2">
        <f>XLOOKUP(E991, '06_BANG_GIA_VAT_TU_AP_DUNG'!B:B, '06_BANG_GIA_VAT_TU_AP_DUNG'!C:C, "LỖI_MÃ_VT")</f>
        <v/>
      </c>
      <c r="K991" s="2">
        <f>I991*J991</f>
        <v/>
      </c>
      <c r="L991" t="inlineStr">
        <is>
          <t>3 trục dài 560mm</t>
        </is>
      </c>
    </row>
    <row r="992">
      <c r="A992" t="inlineStr">
        <is>
          <t>SW-DAMPER-253-BEARING</t>
        </is>
      </c>
      <c r="B992" t="inlineStr">
        <is>
          <t>SW-DAMPER-253</t>
        </is>
      </c>
      <c r="C992" t="inlineStr">
        <is>
          <t>Bạc đồng D10</t>
        </is>
      </c>
      <c r="D992" t="inlineStr">
        <is>
          <t>PHỤ_KIỆN_VAN</t>
        </is>
      </c>
      <c r="E992" t="inlineStr">
        <is>
          <t>MAT-DAMPER-BAC-DONG-D10</t>
        </is>
      </c>
      <c r="F992" t="inlineStr">
        <is>
          <t>Đôi</t>
        </is>
      </c>
      <c r="G992" s="4" t="n">
        <v>3</v>
      </c>
      <c r="H992" s="2">
        <f>XLOOKUP(B992, '00_TONG_HOP_BAO_GIA'!B:B, '00_TONG_HOP_BAO_GIA'!G:G, 1)</f>
        <v/>
      </c>
      <c r="I992" s="5">
        <f>G992*H992</f>
        <v/>
      </c>
      <c r="J992" s="2">
        <f>XLOOKUP(E992, '06_BANG_GIA_VAT_TU_AP_DUNG'!B:B, '06_BANG_GIA_VAT_TU_AP_DUNG'!C:C, "LỖI_MÃ_VT")</f>
        <v/>
      </c>
      <c r="K992" s="2">
        <f>I992*J992</f>
        <v/>
      </c>
      <c r="L992" t="inlineStr">
        <is>
          <t>3 đôi bạc đỡ 2 bên thân</t>
        </is>
      </c>
    </row>
    <row r="993">
      <c r="A993" t="inlineStr">
        <is>
          <t>SW-DAMPER-253-GEAR</t>
        </is>
      </c>
      <c r="B993" t="inlineStr">
        <is>
          <t>SW-DAMPER-253</t>
        </is>
      </c>
      <c r="C993" t="inlineStr">
        <is>
          <t>Bánh răng van nhôm</t>
        </is>
      </c>
      <c r="D993" t="inlineStr">
        <is>
          <t>PHỤ_KIỆN_VAN</t>
        </is>
      </c>
      <c r="E993" t="inlineStr">
        <is>
          <t>MAT-DAMPER-BANH-RANG-VAN-NHOM</t>
        </is>
      </c>
      <c r="F993" t="inlineStr">
        <is>
          <t>Bộ</t>
        </is>
      </c>
      <c r="G993" s="4" t="n">
        <v>1</v>
      </c>
      <c r="H993" s="2">
        <f>XLOOKUP(B993, '00_TONG_HOP_BAO_GIA'!B:B, '00_TONG_HOP_BAO_GIA'!G:G, 1)</f>
        <v/>
      </c>
      <c r="I993" s="5">
        <f>G993*H993</f>
        <v/>
      </c>
      <c r="J993" s="2">
        <f>XLOOKUP(E993, '06_BANG_GIA_VAT_TU_AP_DUNG'!B:B, '06_BANG_GIA_VAT_TU_AP_DUNG'!C:C, "LỖI_MÃ_VT")</f>
        <v/>
      </c>
      <c r="K993" s="2">
        <f>I993*J993</f>
        <v/>
      </c>
      <c r="L993" t="inlineStr">
        <is>
          <t>Cơ cấu liên động bánh răng van</t>
        </is>
      </c>
    </row>
    <row r="994">
      <c r="A994" t="inlineStr">
        <is>
          <t>SW-DAMPER-253-FUSE</t>
        </is>
      </c>
      <c r="B994" t="inlineStr">
        <is>
          <t>SW-DAMPER-253</t>
        </is>
      </c>
      <c r="C994" t="inlineStr">
        <is>
          <t>Cầu chì nhiệt nóng chảy 70°C (Elsie/USA)</t>
        </is>
      </c>
      <c r="D994" t="inlineStr">
        <is>
          <t>PHỤ_KIỆN_VAN</t>
        </is>
      </c>
      <c r="E994" t="inlineStr">
        <is>
          <t>MAT-DAMPER-CAU-CHI-USA-2-400X400</t>
        </is>
      </c>
      <c r="F994" t="inlineStr">
        <is>
          <t>Cái</t>
        </is>
      </c>
      <c r="G994" s="4" t="n">
        <v>1</v>
      </c>
      <c r="H994" s="2">
        <f>XLOOKUP(B994, '00_TONG_HOP_BAO_GIA'!B:B, '00_TONG_HOP_BAO_GIA'!G:G, 1)</f>
        <v/>
      </c>
      <c r="I994" s="5">
        <f>G994*H994</f>
        <v/>
      </c>
      <c r="J994" s="2">
        <f>XLOOKUP(E994, '06_BANG_GIA_VAT_TU_AP_DUNG'!B:B, '06_BANG_GIA_VAT_TU_AP_DUNG'!C:C, "LỖI_MÃ_VT")</f>
        <v/>
      </c>
      <c r="K994" s="2">
        <f>I994*J994</f>
        <v/>
      </c>
      <c r="L994" t="inlineStr">
        <is>
          <t>Cầu chì kiểm định PCCC</t>
        </is>
      </c>
    </row>
    <row r="995">
      <c r="A995" t="inlineStr">
        <is>
          <t>SW-DAMPER-254-BODY</t>
        </is>
      </c>
      <c r="B995" t="inlineStr">
        <is>
          <t>SW-DAMPER-254</t>
        </is>
      </c>
      <c r="C995" t="inlineStr">
        <is>
          <t>Thân vỏ van FD bích TDF (0.75mm)</t>
        </is>
      </c>
      <c r="D995" t="inlineStr">
        <is>
          <t>TÔN_CUỘN_MẠ_KẼM</t>
        </is>
      </c>
      <c r="E995" t="inlineStr">
        <is>
          <t>MAT-STEEL-PN-0.75</t>
        </is>
      </c>
      <c r="F995" t="inlineStr">
        <is>
          <t>kg</t>
        </is>
      </c>
      <c r="G995" s="4" t="n">
        <v>4.035528</v>
      </c>
      <c r="H995" s="2">
        <f>XLOOKUP(B995, '00_TONG_HOP_BAO_GIA'!B:B, '00_TONG_HOP_BAO_GIA'!G:G, 1)</f>
        <v/>
      </c>
      <c r="I995" s="5">
        <f>G995*H995</f>
        <v/>
      </c>
      <c r="J995" s="2">
        <f>XLOOKUP(E995, '06_BANG_GIA_VAT_TU_AP_DUNG'!B:B, '06_BANG_GIA_VAT_TU_AP_DUNG'!C:C, "LỖI_MÃ_VT")</f>
        <v/>
      </c>
      <c r="K995" s="2">
        <f>I995*J995</f>
        <v/>
      </c>
      <c r="L995" t="inlineStr">
        <is>
          <t>Kích thước vỏ 550.0x450.0x250mm</t>
        </is>
      </c>
    </row>
    <row r="996">
      <c r="A996" t="inlineStr">
        <is>
          <t>SW-DAMPER-254-BLADE</t>
        </is>
      </c>
      <c r="B996" t="inlineStr">
        <is>
          <t>SW-DAMPER-254</t>
        </is>
      </c>
      <c r="C996" t="inlineStr">
        <is>
          <t>Lá cánh van (3 cánh overlap)</t>
        </is>
      </c>
      <c r="D996" t="inlineStr">
        <is>
          <t>TÔN_CUỘN_MẠ_KẼM</t>
        </is>
      </c>
      <c r="E996" t="inlineStr">
        <is>
          <t>MAT-STEEL-PN-0.75</t>
        </is>
      </c>
      <c r="F996" t="inlineStr">
        <is>
          <t>kg</t>
        </is>
      </c>
      <c r="G996" s="4" t="n">
        <v>1.78355925</v>
      </c>
      <c r="H996" s="2">
        <f>XLOOKUP(B996, '00_TONG_HOP_BAO_GIA'!B:B, '00_TONG_HOP_BAO_GIA'!G:G, 1)</f>
        <v/>
      </c>
      <c r="I996" s="5">
        <f>G996*H996</f>
        <v/>
      </c>
      <c r="J996" s="2">
        <f>XLOOKUP(E996, '06_BANG_GIA_VAT_TU_AP_DUNG'!B:B, '06_BANG_GIA_VAT_TU_AP_DUNG'!C:C, "LỖI_MÃ_VT")</f>
        <v/>
      </c>
      <c r="K996" s="2">
        <f>I996*J996</f>
        <v/>
      </c>
      <c r="L996" t="inlineStr">
        <is>
          <t>3 cánh cao 170mm</t>
        </is>
      </c>
    </row>
    <row r="997">
      <c r="A997" t="inlineStr">
        <is>
          <t>SW-DAMPER-254-AXLE</t>
        </is>
      </c>
      <c r="B997" t="inlineStr">
        <is>
          <t>SW-DAMPER-254</t>
        </is>
      </c>
      <c r="C997" t="inlineStr">
        <is>
          <t>Trục Sus 201 D10</t>
        </is>
      </c>
      <c r="D997" t="inlineStr">
        <is>
          <t>PHỤ_KIỆN_VAN</t>
        </is>
      </c>
      <c r="E997" t="inlineStr">
        <is>
          <t>MAT-DAMPER-TRUC-SUS-201-D10</t>
        </is>
      </c>
      <c r="F997" t="inlineStr">
        <is>
          <t>m</t>
        </is>
      </c>
      <c r="G997" s="4" t="n">
        <v>1.83</v>
      </c>
      <c r="H997" s="2">
        <f>XLOOKUP(B997, '00_TONG_HOP_BAO_GIA'!B:B, '00_TONG_HOP_BAO_GIA'!G:G, 1)</f>
        <v/>
      </c>
      <c r="I997" s="5">
        <f>G997*H997</f>
        <v/>
      </c>
      <c r="J997" s="2">
        <f>XLOOKUP(E997, '06_BANG_GIA_VAT_TU_AP_DUNG'!B:B, '06_BANG_GIA_VAT_TU_AP_DUNG'!C:C, "LỖI_MÃ_VT")</f>
        <v/>
      </c>
      <c r="K997" s="2">
        <f>I997*J997</f>
        <v/>
      </c>
      <c r="L997" t="inlineStr">
        <is>
          <t>3 trục dài 610mm</t>
        </is>
      </c>
    </row>
    <row r="998">
      <c r="A998" t="inlineStr">
        <is>
          <t>SW-DAMPER-254-BEARING</t>
        </is>
      </c>
      <c r="B998" t="inlineStr">
        <is>
          <t>SW-DAMPER-254</t>
        </is>
      </c>
      <c r="C998" t="inlineStr">
        <is>
          <t>Bạc đồng D10</t>
        </is>
      </c>
      <c r="D998" t="inlineStr">
        <is>
          <t>PHỤ_KIỆN_VAN</t>
        </is>
      </c>
      <c r="E998" t="inlineStr">
        <is>
          <t>MAT-DAMPER-BAC-DONG-D10</t>
        </is>
      </c>
      <c r="F998" t="inlineStr">
        <is>
          <t>Đôi</t>
        </is>
      </c>
      <c r="G998" s="4" t="n">
        <v>3</v>
      </c>
      <c r="H998" s="2">
        <f>XLOOKUP(B998, '00_TONG_HOP_BAO_GIA'!B:B, '00_TONG_HOP_BAO_GIA'!G:G, 1)</f>
        <v/>
      </c>
      <c r="I998" s="5">
        <f>G998*H998</f>
        <v/>
      </c>
      <c r="J998" s="2">
        <f>XLOOKUP(E998, '06_BANG_GIA_VAT_TU_AP_DUNG'!B:B, '06_BANG_GIA_VAT_TU_AP_DUNG'!C:C, "LỖI_MÃ_VT")</f>
        <v/>
      </c>
      <c r="K998" s="2">
        <f>I998*J998</f>
        <v/>
      </c>
      <c r="L998" t="inlineStr">
        <is>
          <t>3 đôi bạc đỡ 2 bên thân</t>
        </is>
      </c>
    </row>
    <row r="999">
      <c r="A999" t="inlineStr">
        <is>
          <t>SW-DAMPER-254-GEAR</t>
        </is>
      </c>
      <c r="B999" t="inlineStr">
        <is>
          <t>SW-DAMPER-254</t>
        </is>
      </c>
      <c r="C999" t="inlineStr">
        <is>
          <t>Bánh răng van nhôm</t>
        </is>
      </c>
      <c r="D999" t="inlineStr">
        <is>
          <t>PHỤ_KIỆN_VAN</t>
        </is>
      </c>
      <c r="E999" t="inlineStr">
        <is>
          <t>MAT-DAMPER-BANH-RANG-VAN-NHOM</t>
        </is>
      </c>
      <c r="F999" t="inlineStr">
        <is>
          <t>Bộ</t>
        </is>
      </c>
      <c r="G999" s="4" t="n">
        <v>1</v>
      </c>
      <c r="H999" s="2">
        <f>XLOOKUP(B999, '00_TONG_HOP_BAO_GIA'!B:B, '00_TONG_HOP_BAO_GIA'!G:G, 1)</f>
        <v/>
      </c>
      <c r="I999" s="5">
        <f>G999*H999</f>
        <v/>
      </c>
      <c r="J999" s="2">
        <f>XLOOKUP(E999, '06_BANG_GIA_VAT_TU_AP_DUNG'!B:B, '06_BANG_GIA_VAT_TU_AP_DUNG'!C:C, "LỖI_MÃ_VT")</f>
        <v/>
      </c>
      <c r="K999" s="2">
        <f>I999*J999</f>
        <v/>
      </c>
      <c r="L999" t="inlineStr">
        <is>
          <t>Cơ cấu liên động bánh răng van</t>
        </is>
      </c>
    </row>
    <row r="1000">
      <c r="A1000" t="inlineStr">
        <is>
          <t>SW-DAMPER-254-FUSE</t>
        </is>
      </c>
      <c r="B1000" t="inlineStr">
        <is>
          <t>SW-DAMPER-254</t>
        </is>
      </c>
      <c r="C1000" t="inlineStr">
        <is>
          <t>Cầu chì nhiệt nóng chảy 70°C (Elsie/USA)</t>
        </is>
      </c>
      <c r="D1000" t="inlineStr">
        <is>
          <t>PHỤ_KIỆN_VAN</t>
        </is>
      </c>
      <c r="E1000" t="inlineStr">
        <is>
          <t>MAT-DAMPER-CAU-CHI-USA-2-400X400</t>
        </is>
      </c>
      <c r="F1000" t="inlineStr">
        <is>
          <t>Cái</t>
        </is>
      </c>
      <c r="G1000" s="4" t="n">
        <v>1</v>
      </c>
      <c r="H1000" s="2">
        <f>XLOOKUP(B1000, '00_TONG_HOP_BAO_GIA'!B:B, '00_TONG_HOP_BAO_GIA'!G:G, 1)</f>
        <v/>
      </c>
      <c r="I1000" s="5">
        <f>G1000*H1000</f>
        <v/>
      </c>
      <c r="J1000" s="2">
        <f>XLOOKUP(E1000, '06_BANG_GIA_VAT_TU_AP_DUNG'!B:B, '06_BANG_GIA_VAT_TU_AP_DUNG'!C:C, "LỖI_MÃ_VT")</f>
        <v/>
      </c>
      <c r="K1000" s="2">
        <f>I1000*J1000</f>
        <v/>
      </c>
      <c r="L1000" t="inlineStr">
        <is>
          <t>Cầu chì kiểm định PCCC</t>
        </is>
      </c>
    </row>
    <row r="1001">
      <c r="A1001" t="inlineStr">
        <is>
          <t>SW-DAMPER-255-BODY</t>
        </is>
      </c>
      <c r="B1001" t="inlineStr">
        <is>
          <t>SW-DAMPER-255</t>
        </is>
      </c>
      <c r="C1001" t="inlineStr">
        <is>
          <t>Thân vỏ van FD bích TDF (0.75mm)</t>
        </is>
      </c>
      <c r="D1001" t="inlineStr">
        <is>
          <t>TÔN_CUỘN_MẠ_KẼM</t>
        </is>
      </c>
      <c r="E1001" t="inlineStr">
        <is>
          <t>MAT-STEEL-PN-0.75</t>
        </is>
      </c>
      <c r="F1001" t="inlineStr">
        <is>
          <t>kg</t>
        </is>
      </c>
      <c r="G1001" s="4" t="n">
        <v>3.244247999999999</v>
      </c>
      <c r="H1001" s="2">
        <f>XLOOKUP(B1001, '00_TONG_HOP_BAO_GIA'!B:B, '00_TONG_HOP_BAO_GIA'!G:G, 1)</f>
        <v/>
      </c>
      <c r="I1001" s="5">
        <f>G1001*H1001</f>
        <v/>
      </c>
      <c r="J1001" s="2">
        <f>XLOOKUP(E1001, '06_BANG_GIA_VAT_TU_AP_DUNG'!B:B, '06_BANG_GIA_VAT_TU_AP_DUNG'!C:C, "LỖI_MÃ_VT")</f>
        <v/>
      </c>
      <c r="K1001" s="2">
        <f>I1001*J1001</f>
        <v/>
      </c>
      <c r="L1001" t="inlineStr">
        <is>
          <t>Kích thước vỏ 600.0x200.0x250mm</t>
        </is>
      </c>
    </row>
    <row r="1002">
      <c r="A1002" t="inlineStr">
        <is>
          <t>SW-DAMPER-255-BLADE</t>
        </is>
      </c>
      <c r="B1002" t="inlineStr">
        <is>
          <t>SW-DAMPER-255</t>
        </is>
      </c>
      <c r="C1002" t="inlineStr">
        <is>
          <t>Lá cánh van (2 cánh overlap)</t>
        </is>
      </c>
      <c r="D1002" t="inlineStr">
        <is>
          <t>TÔN_CUỘN_MẠ_KẼM</t>
        </is>
      </c>
      <c r="E1002" t="inlineStr">
        <is>
          <t>MAT-STEEL-PN-0.75</t>
        </is>
      </c>
      <c r="F1002" t="inlineStr">
        <is>
          <t>kg</t>
        </is>
      </c>
      <c r="G1002" s="4" t="n">
        <v>0.9156239999999999</v>
      </c>
      <c r="H1002" s="2">
        <f>XLOOKUP(B1002, '00_TONG_HOP_BAO_GIA'!B:B, '00_TONG_HOP_BAO_GIA'!G:G, 1)</f>
        <v/>
      </c>
      <c r="I1002" s="5">
        <f>G1002*H1002</f>
        <v/>
      </c>
      <c r="J1002" s="2">
        <f>XLOOKUP(E1002, '06_BANG_GIA_VAT_TU_AP_DUNG'!B:B, '06_BANG_GIA_VAT_TU_AP_DUNG'!C:C, "LỖI_MÃ_VT")</f>
        <v/>
      </c>
      <c r="K1002" s="2">
        <f>I1002*J1002</f>
        <v/>
      </c>
      <c r="L1002" t="inlineStr">
        <is>
          <t>2 cánh cao 120mm</t>
        </is>
      </c>
    </row>
    <row r="1003">
      <c r="A1003" t="inlineStr">
        <is>
          <t>SW-DAMPER-255-AXLE</t>
        </is>
      </c>
      <c r="B1003" t="inlineStr">
        <is>
          <t>SW-DAMPER-255</t>
        </is>
      </c>
      <c r="C1003" t="inlineStr">
        <is>
          <t>Trục Sus 201 D10</t>
        </is>
      </c>
      <c r="D1003" t="inlineStr">
        <is>
          <t>PHỤ_KIỆN_VAN</t>
        </is>
      </c>
      <c r="E1003" t="inlineStr">
        <is>
          <t>MAT-DAMPER-TRUC-SUS-201-D10</t>
        </is>
      </c>
      <c r="F1003" t="inlineStr">
        <is>
          <t>m</t>
        </is>
      </c>
      <c r="G1003" s="4" t="n">
        <v>1.32</v>
      </c>
      <c r="H1003" s="2">
        <f>XLOOKUP(B1003, '00_TONG_HOP_BAO_GIA'!B:B, '00_TONG_HOP_BAO_GIA'!G:G, 1)</f>
        <v/>
      </c>
      <c r="I1003" s="5">
        <f>G1003*H1003</f>
        <v/>
      </c>
      <c r="J1003" s="2">
        <f>XLOOKUP(E1003, '06_BANG_GIA_VAT_TU_AP_DUNG'!B:B, '06_BANG_GIA_VAT_TU_AP_DUNG'!C:C, "LỖI_MÃ_VT")</f>
        <v/>
      </c>
      <c r="K1003" s="2">
        <f>I1003*J1003</f>
        <v/>
      </c>
      <c r="L1003" t="inlineStr">
        <is>
          <t>2 trục dài 660mm</t>
        </is>
      </c>
    </row>
    <row r="1004">
      <c r="A1004" t="inlineStr">
        <is>
          <t>SW-DAMPER-255-BEARING</t>
        </is>
      </c>
      <c r="B1004" t="inlineStr">
        <is>
          <t>SW-DAMPER-255</t>
        </is>
      </c>
      <c r="C1004" t="inlineStr">
        <is>
          <t>Bạc đồng D10</t>
        </is>
      </c>
      <c r="D1004" t="inlineStr">
        <is>
          <t>PHỤ_KIỆN_VAN</t>
        </is>
      </c>
      <c r="E1004" t="inlineStr">
        <is>
          <t>MAT-DAMPER-BAC-DONG-D10</t>
        </is>
      </c>
      <c r="F1004" t="inlineStr">
        <is>
          <t>Đôi</t>
        </is>
      </c>
      <c r="G1004" s="4" t="n">
        <v>2</v>
      </c>
      <c r="H1004" s="2">
        <f>XLOOKUP(B1004, '00_TONG_HOP_BAO_GIA'!B:B, '00_TONG_HOP_BAO_GIA'!G:G, 1)</f>
        <v/>
      </c>
      <c r="I1004" s="5">
        <f>G1004*H1004</f>
        <v/>
      </c>
      <c r="J1004" s="2">
        <f>XLOOKUP(E1004, '06_BANG_GIA_VAT_TU_AP_DUNG'!B:B, '06_BANG_GIA_VAT_TU_AP_DUNG'!C:C, "LỖI_MÃ_VT")</f>
        <v/>
      </c>
      <c r="K1004" s="2">
        <f>I1004*J1004</f>
        <v/>
      </c>
      <c r="L1004" t="inlineStr">
        <is>
          <t>2 đôi bạc đỡ 2 bên thân</t>
        </is>
      </c>
    </row>
    <row r="1005">
      <c r="A1005" t="inlineStr">
        <is>
          <t>SW-DAMPER-255-GEAR</t>
        </is>
      </c>
      <c r="B1005" t="inlineStr">
        <is>
          <t>SW-DAMPER-255</t>
        </is>
      </c>
      <c r="C1005" t="inlineStr">
        <is>
          <t>Bánh răng van nhôm</t>
        </is>
      </c>
      <c r="D1005" t="inlineStr">
        <is>
          <t>PHỤ_KIỆN_VAN</t>
        </is>
      </c>
      <c r="E1005" t="inlineStr">
        <is>
          <t>MAT-DAMPER-BANH-RANG-VAN-NHOM</t>
        </is>
      </c>
      <c r="F1005" t="inlineStr">
        <is>
          <t>Bộ</t>
        </is>
      </c>
      <c r="G1005" s="4" t="n">
        <v>1</v>
      </c>
      <c r="H1005" s="2">
        <f>XLOOKUP(B1005, '00_TONG_HOP_BAO_GIA'!B:B, '00_TONG_HOP_BAO_GIA'!G:G, 1)</f>
        <v/>
      </c>
      <c r="I1005" s="5">
        <f>G1005*H1005</f>
        <v/>
      </c>
      <c r="J1005" s="2">
        <f>XLOOKUP(E1005, '06_BANG_GIA_VAT_TU_AP_DUNG'!B:B, '06_BANG_GIA_VAT_TU_AP_DUNG'!C:C, "LỖI_MÃ_VT")</f>
        <v/>
      </c>
      <c r="K1005" s="2">
        <f>I1005*J1005</f>
        <v/>
      </c>
      <c r="L1005" t="inlineStr">
        <is>
          <t>Cơ cấu liên động bánh răng van</t>
        </is>
      </c>
    </row>
    <row r="1006">
      <c r="A1006" t="inlineStr">
        <is>
          <t>SW-DAMPER-255-FUSE</t>
        </is>
      </c>
      <c r="B1006" t="inlineStr">
        <is>
          <t>SW-DAMPER-255</t>
        </is>
      </c>
      <c r="C1006" t="inlineStr">
        <is>
          <t>Cầu chì nhiệt nóng chảy 70°C (Elsie/USA)</t>
        </is>
      </c>
      <c r="D1006" t="inlineStr">
        <is>
          <t>PHỤ_KIỆN_VAN</t>
        </is>
      </c>
      <c r="E1006" t="inlineStr">
        <is>
          <t>MAT-DAMPER-CAU-CHI-USA-2-400X400</t>
        </is>
      </c>
      <c r="F1006" t="inlineStr">
        <is>
          <t>Cái</t>
        </is>
      </c>
      <c r="G1006" s="4" t="n">
        <v>1</v>
      </c>
      <c r="H1006" s="2">
        <f>XLOOKUP(B1006, '00_TONG_HOP_BAO_GIA'!B:B, '00_TONG_HOP_BAO_GIA'!G:G, 1)</f>
        <v/>
      </c>
      <c r="I1006" s="5">
        <f>G1006*H1006</f>
        <v/>
      </c>
      <c r="J1006" s="2">
        <f>XLOOKUP(E1006, '06_BANG_GIA_VAT_TU_AP_DUNG'!B:B, '06_BANG_GIA_VAT_TU_AP_DUNG'!C:C, "LỖI_MÃ_VT")</f>
        <v/>
      </c>
      <c r="K1006" s="2">
        <f>I1006*J1006</f>
        <v/>
      </c>
      <c r="L1006" t="inlineStr">
        <is>
          <t>Cầu chì kiểm định PCCC</t>
        </is>
      </c>
    </row>
    <row r="1007">
      <c r="A1007" t="inlineStr">
        <is>
          <t>SW-DAMPER-256-BODY</t>
        </is>
      </c>
      <c r="B1007" t="inlineStr">
        <is>
          <t>SW-DAMPER-256</t>
        </is>
      </c>
      <c r="C1007" t="inlineStr">
        <is>
          <t>Thân vỏ van FD bích TDF (0.75mm)</t>
        </is>
      </c>
      <c r="D1007" t="inlineStr">
        <is>
          <t>TÔN_CUỘN_MẠ_KẼM</t>
        </is>
      </c>
      <c r="E1007" t="inlineStr">
        <is>
          <t>MAT-STEEL-PN-0.75</t>
        </is>
      </c>
      <c r="F1007" t="inlineStr">
        <is>
          <t>kg</t>
        </is>
      </c>
      <c r="G1007" s="4" t="n">
        <v>4.233348</v>
      </c>
      <c r="H1007" s="2">
        <f>XLOOKUP(B1007, '00_TONG_HOP_BAO_GIA'!B:B, '00_TONG_HOP_BAO_GIA'!G:G, 1)</f>
        <v/>
      </c>
      <c r="I1007" s="5">
        <f>G1007*H1007</f>
        <v/>
      </c>
      <c r="J1007" s="2">
        <f>XLOOKUP(E1007, '06_BANG_GIA_VAT_TU_AP_DUNG'!B:B, '06_BANG_GIA_VAT_TU_AP_DUNG'!C:C, "LỖI_MÃ_VT")</f>
        <v/>
      </c>
      <c r="K1007" s="2">
        <f>I1007*J1007</f>
        <v/>
      </c>
      <c r="L1007" t="inlineStr">
        <is>
          <t>Kích thước vỏ 600.0x450.0x250mm</t>
        </is>
      </c>
    </row>
    <row r="1008">
      <c r="A1008" t="inlineStr">
        <is>
          <t>SW-DAMPER-256-BLADE</t>
        </is>
      </c>
      <c r="B1008" t="inlineStr">
        <is>
          <t>SW-DAMPER-256</t>
        </is>
      </c>
      <c r="C1008" t="inlineStr">
        <is>
          <t>Lá cánh van (3 cánh overlap)</t>
        </is>
      </c>
      <c r="D1008" t="inlineStr">
        <is>
          <t>TÔN_CUỘN_MẠ_KẼM</t>
        </is>
      </c>
      <c r="E1008" t="inlineStr">
        <is>
          <t>MAT-STEEL-PN-0.75</t>
        </is>
      </c>
      <c r="F1008" t="inlineStr">
        <is>
          <t>kg</t>
        </is>
      </c>
      <c r="G1008" s="4" t="n">
        <v>1.945701</v>
      </c>
      <c r="H1008" s="2">
        <f>XLOOKUP(B1008, '00_TONG_HOP_BAO_GIA'!B:B, '00_TONG_HOP_BAO_GIA'!G:G, 1)</f>
        <v/>
      </c>
      <c r="I1008" s="5">
        <f>G1008*H1008</f>
        <v/>
      </c>
      <c r="J1008" s="2">
        <f>XLOOKUP(E1008, '06_BANG_GIA_VAT_TU_AP_DUNG'!B:B, '06_BANG_GIA_VAT_TU_AP_DUNG'!C:C, "LỖI_MÃ_VT")</f>
        <v/>
      </c>
      <c r="K1008" s="2">
        <f>I1008*J1008</f>
        <v/>
      </c>
      <c r="L1008" t="inlineStr">
        <is>
          <t>3 cánh cao 170mm</t>
        </is>
      </c>
    </row>
    <row r="1009">
      <c r="A1009" t="inlineStr">
        <is>
          <t>SW-DAMPER-256-AXLE</t>
        </is>
      </c>
      <c r="B1009" t="inlineStr">
        <is>
          <t>SW-DAMPER-256</t>
        </is>
      </c>
      <c r="C1009" t="inlineStr">
        <is>
          <t>Trục Sus 201 D10</t>
        </is>
      </c>
      <c r="D1009" t="inlineStr">
        <is>
          <t>PHỤ_KIỆN_VAN</t>
        </is>
      </c>
      <c r="E1009" t="inlineStr">
        <is>
          <t>MAT-DAMPER-TRUC-SUS-201-D10</t>
        </is>
      </c>
      <c r="F1009" t="inlineStr">
        <is>
          <t>m</t>
        </is>
      </c>
      <c r="G1009" s="4" t="n">
        <v>1.98</v>
      </c>
      <c r="H1009" s="2">
        <f>XLOOKUP(B1009, '00_TONG_HOP_BAO_GIA'!B:B, '00_TONG_HOP_BAO_GIA'!G:G, 1)</f>
        <v/>
      </c>
      <c r="I1009" s="5">
        <f>G1009*H1009</f>
        <v/>
      </c>
      <c r="J1009" s="2">
        <f>XLOOKUP(E1009, '06_BANG_GIA_VAT_TU_AP_DUNG'!B:B, '06_BANG_GIA_VAT_TU_AP_DUNG'!C:C, "LỖI_MÃ_VT")</f>
        <v/>
      </c>
      <c r="K1009" s="2">
        <f>I1009*J1009</f>
        <v/>
      </c>
      <c r="L1009" t="inlineStr">
        <is>
          <t>3 trục dài 660mm</t>
        </is>
      </c>
    </row>
    <row r="1010">
      <c r="A1010" t="inlineStr">
        <is>
          <t>SW-DAMPER-256-BEARING</t>
        </is>
      </c>
      <c r="B1010" t="inlineStr">
        <is>
          <t>SW-DAMPER-256</t>
        </is>
      </c>
      <c r="C1010" t="inlineStr">
        <is>
          <t>Bạc đồng D10</t>
        </is>
      </c>
      <c r="D1010" t="inlineStr">
        <is>
          <t>PHỤ_KIỆN_VAN</t>
        </is>
      </c>
      <c r="E1010" t="inlineStr">
        <is>
          <t>MAT-DAMPER-BAC-DONG-D10</t>
        </is>
      </c>
      <c r="F1010" t="inlineStr">
        <is>
          <t>Đôi</t>
        </is>
      </c>
      <c r="G1010" s="4" t="n">
        <v>3</v>
      </c>
      <c r="H1010" s="2">
        <f>XLOOKUP(B1010, '00_TONG_HOP_BAO_GIA'!B:B, '00_TONG_HOP_BAO_GIA'!G:G, 1)</f>
        <v/>
      </c>
      <c r="I1010" s="5">
        <f>G1010*H1010</f>
        <v/>
      </c>
      <c r="J1010" s="2">
        <f>XLOOKUP(E1010, '06_BANG_GIA_VAT_TU_AP_DUNG'!B:B, '06_BANG_GIA_VAT_TU_AP_DUNG'!C:C, "LỖI_MÃ_VT")</f>
        <v/>
      </c>
      <c r="K1010" s="2">
        <f>I1010*J1010</f>
        <v/>
      </c>
      <c r="L1010" t="inlineStr">
        <is>
          <t>3 đôi bạc đỡ 2 bên thân</t>
        </is>
      </c>
    </row>
    <row r="1011">
      <c r="A1011" t="inlineStr">
        <is>
          <t>SW-DAMPER-256-GEAR</t>
        </is>
      </c>
      <c r="B1011" t="inlineStr">
        <is>
          <t>SW-DAMPER-256</t>
        </is>
      </c>
      <c r="C1011" t="inlineStr">
        <is>
          <t>Bánh răng van nhôm</t>
        </is>
      </c>
      <c r="D1011" t="inlineStr">
        <is>
          <t>PHỤ_KIỆN_VAN</t>
        </is>
      </c>
      <c r="E1011" t="inlineStr">
        <is>
          <t>MAT-DAMPER-BANH-RANG-VAN-NHOM</t>
        </is>
      </c>
      <c r="F1011" t="inlineStr">
        <is>
          <t>Bộ</t>
        </is>
      </c>
      <c r="G1011" s="4" t="n">
        <v>1</v>
      </c>
      <c r="H1011" s="2">
        <f>XLOOKUP(B1011, '00_TONG_HOP_BAO_GIA'!B:B, '00_TONG_HOP_BAO_GIA'!G:G, 1)</f>
        <v/>
      </c>
      <c r="I1011" s="5">
        <f>G1011*H1011</f>
        <v/>
      </c>
      <c r="J1011" s="2">
        <f>XLOOKUP(E1011, '06_BANG_GIA_VAT_TU_AP_DUNG'!B:B, '06_BANG_GIA_VAT_TU_AP_DUNG'!C:C, "LỖI_MÃ_VT")</f>
        <v/>
      </c>
      <c r="K1011" s="2">
        <f>I1011*J1011</f>
        <v/>
      </c>
      <c r="L1011" t="inlineStr">
        <is>
          <t>Cơ cấu liên động bánh răng van</t>
        </is>
      </c>
    </row>
    <row r="1012">
      <c r="A1012" t="inlineStr">
        <is>
          <t>SW-DAMPER-256-FUSE</t>
        </is>
      </c>
      <c r="B1012" t="inlineStr">
        <is>
          <t>SW-DAMPER-256</t>
        </is>
      </c>
      <c r="C1012" t="inlineStr">
        <is>
          <t>Cầu chì nhiệt nóng chảy 70°C (Elsie/USA)</t>
        </is>
      </c>
      <c r="D1012" t="inlineStr">
        <is>
          <t>PHỤ_KIỆN_VAN</t>
        </is>
      </c>
      <c r="E1012" t="inlineStr">
        <is>
          <t>MAT-DAMPER-CAU-CHI-USA-2-400X400</t>
        </is>
      </c>
      <c r="F1012" t="inlineStr">
        <is>
          <t>Cái</t>
        </is>
      </c>
      <c r="G1012" s="4" t="n">
        <v>1</v>
      </c>
      <c r="H1012" s="2">
        <f>XLOOKUP(B1012, '00_TONG_HOP_BAO_GIA'!B:B, '00_TONG_HOP_BAO_GIA'!G:G, 1)</f>
        <v/>
      </c>
      <c r="I1012" s="5">
        <f>G1012*H1012</f>
        <v/>
      </c>
      <c r="J1012" s="2">
        <f>XLOOKUP(E1012, '06_BANG_GIA_VAT_TU_AP_DUNG'!B:B, '06_BANG_GIA_VAT_TU_AP_DUNG'!C:C, "LỖI_MÃ_VT")</f>
        <v/>
      </c>
      <c r="K1012" s="2">
        <f>I1012*J1012</f>
        <v/>
      </c>
      <c r="L1012" t="inlineStr">
        <is>
          <t>Cầu chì kiểm định PCCC</t>
        </is>
      </c>
    </row>
    <row r="1013">
      <c r="A1013" t="inlineStr">
        <is>
          <t>SW-DAMPER-257-BODY</t>
        </is>
      </c>
      <c r="B1013" t="inlineStr">
        <is>
          <t>SW-DAMPER-257</t>
        </is>
      </c>
      <c r="C1013" t="inlineStr">
        <is>
          <t>Thân vỏ van FD bích TDF (0.75mm)</t>
        </is>
      </c>
      <c r="D1013" t="inlineStr">
        <is>
          <t>TÔN_CUỘN_MẠ_KẼM</t>
        </is>
      </c>
      <c r="E1013" t="inlineStr">
        <is>
          <t>MAT-STEEL-PN-0.75</t>
        </is>
      </c>
      <c r="F1013" t="inlineStr">
        <is>
          <t>kg</t>
        </is>
      </c>
      <c r="G1013" s="4" t="n">
        <v>4.826808</v>
      </c>
      <c r="H1013" s="2">
        <f>XLOOKUP(B1013, '00_TONG_HOP_BAO_GIA'!B:B, '00_TONG_HOP_BAO_GIA'!G:G, 1)</f>
        <v/>
      </c>
      <c r="I1013" s="5">
        <f>G1013*H1013</f>
        <v/>
      </c>
      <c r="J1013" s="2">
        <f>XLOOKUP(E1013, '06_BANG_GIA_VAT_TU_AP_DUNG'!B:B, '06_BANG_GIA_VAT_TU_AP_DUNG'!C:C, "LỖI_MÃ_VT")</f>
        <v/>
      </c>
      <c r="K1013" s="2">
        <f>I1013*J1013</f>
        <v/>
      </c>
      <c r="L1013" t="inlineStr">
        <is>
          <t>Kích thước vỏ 600.0x600.0x250mm</t>
        </is>
      </c>
    </row>
    <row r="1014">
      <c r="A1014" t="inlineStr">
        <is>
          <t>SW-DAMPER-257-BLADE</t>
        </is>
      </c>
      <c r="B1014" t="inlineStr">
        <is>
          <t>SW-DAMPER-257</t>
        </is>
      </c>
      <c r="C1014" t="inlineStr">
        <is>
          <t>Lá cánh van (4 cánh overlap)</t>
        </is>
      </c>
      <c r="D1014" t="inlineStr">
        <is>
          <t>TÔN_CUỘN_MẠ_KẼM</t>
        </is>
      </c>
      <c r="E1014" t="inlineStr">
        <is>
          <t>MAT-STEEL-PN-0.75</t>
        </is>
      </c>
      <c r="F1014" t="inlineStr">
        <is>
          <t>kg</t>
        </is>
      </c>
      <c r="G1014" s="4" t="n">
        <v>2.594268</v>
      </c>
      <c r="H1014" s="2">
        <f>XLOOKUP(B1014, '00_TONG_HOP_BAO_GIA'!B:B, '00_TONG_HOP_BAO_GIA'!G:G, 1)</f>
        <v/>
      </c>
      <c r="I1014" s="5">
        <f>G1014*H1014</f>
        <v/>
      </c>
      <c r="J1014" s="2">
        <f>XLOOKUP(E1014, '06_BANG_GIA_VAT_TU_AP_DUNG'!B:B, '06_BANG_GIA_VAT_TU_AP_DUNG'!C:C, "LỖI_MÃ_VT")</f>
        <v/>
      </c>
      <c r="K1014" s="2">
        <f>I1014*J1014</f>
        <v/>
      </c>
      <c r="L1014" t="inlineStr">
        <is>
          <t>4 cánh cao 170mm</t>
        </is>
      </c>
    </row>
    <row r="1015">
      <c r="A1015" t="inlineStr">
        <is>
          <t>SW-DAMPER-257-AXLE</t>
        </is>
      </c>
      <c r="B1015" t="inlineStr">
        <is>
          <t>SW-DAMPER-257</t>
        </is>
      </c>
      <c r="C1015" t="inlineStr">
        <is>
          <t>Trục Sus 201 D10</t>
        </is>
      </c>
      <c r="D1015" t="inlineStr">
        <is>
          <t>PHỤ_KIỆN_VAN</t>
        </is>
      </c>
      <c r="E1015" t="inlineStr">
        <is>
          <t>MAT-DAMPER-TRUC-SUS-201-D10</t>
        </is>
      </c>
      <c r="F1015" t="inlineStr">
        <is>
          <t>m</t>
        </is>
      </c>
      <c r="G1015" s="4" t="n">
        <v>2.64</v>
      </c>
      <c r="H1015" s="2">
        <f>XLOOKUP(B1015, '00_TONG_HOP_BAO_GIA'!B:B, '00_TONG_HOP_BAO_GIA'!G:G, 1)</f>
        <v/>
      </c>
      <c r="I1015" s="5">
        <f>G1015*H1015</f>
        <v/>
      </c>
      <c r="J1015" s="2">
        <f>XLOOKUP(E1015, '06_BANG_GIA_VAT_TU_AP_DUNG'!B:B, '06_BANG_GIA_VAT_TU_AP_DUNG'!C:C, "LỖI_MÃ_VT")</f>
        <v/>
      </c>
      <c r="K1015" s="2">
        <f>I1015*J1015</f>
        <v/>
      </c>
      <c r="L1015" t="inlineStr">
        <is>
          <t>4 trục dài 660mm</t>
        </is>
      </c>
    </row>
    <row r="1016">
      <c r="A1016" t="inlineStr">
        <is>
          <t>SW-DAMPER-257-BEARING</t>
        </is>
      </c>
      <c r="B1016" t="inlineStr">
        <is>
          <t>SW-DAMPER-257</t>
        </is>
      </c>
      <c r="C1016" t="inlineStr">
        <is>
          <t>Bạc đồng D10</t>
        </is>
      </c>
      <c r="D1016" t="inlineStr">
        <is>
          <t>PHỤ_KIỆN_VAN</t>
        </is>
      </c>
      <c r="E1016" t="inlineStr">
        <is>
          <t>MAT-DAMPER-BAC-DONG-D10</t>
        </is>
      </c>
      <c r="F1016" t="inlineStr">
        <is>
          <t>Đôi</t>
        </is>
      </c>
      <c r="G1016" s="4" t="n">
        <v>4</v>
      </c>
      <c r="H1016" s="2">
        <f>XLOOKUP(B1016, '00_TONG_HOP_BAO_GIA'!B:B, '00_TONG_HOP_BAO_GIA'!G:G, 1)</f>
        <v/>
      </c>
      <c r="I1016" s="5">
        <f>G1016*H1016</f>
        <v/>
      </c>
      <c r="J1016" s="2">
        <f>XLOOKUP(E1016, '06_BANG_GIA_VAT_TU_AP_DUNG'!B:B, '06_BANG_GIA_VAT_TU_AP_DUNG'!C:C, "LỖI_MÃ_VT")</f>
        <v/>
      </c>
      <c r="K1016" s="2">
        <f>I1016*J1016</f>
        <v/>
      </c>
      <c r="L1016" t="inlineStr">
        <is>
          <t>4 đôi bạc đỡ 2 bên thân</t>
        </is>
      </c>
    </row>
    <row r="1017">
      <c r="A1017" t="inlineStr">
        <is>
          <t>SW-DAMPER-257-GEAR</t>
        </is>
      </c>
      <c r="B1017" t="inlineStr">
        <is>
          <t>SW-DAMPER-257</t>
        </is>
      </c>
      <c r="C1017" t="inlineStr">
        <is>
          <t>Bánh răng van nhôm</t>
        </is>
      </c>
      <c r="D1017" t="inlineStr">
        <is>
          <t>PHỤ_KIỆN_VAN</t>
        </is>
      </c>
      <c r="E1017" t="inlineStr">
        <is>
          <t>MAT-DAMPER-BANH-RANG-VAN-NHOM</t>
        </is>
      </c>
      <c r="F1017" t="inlineStr">
        <is>
          <t>Bộ</t>
        </is>
      </c>
      <c r="G1017" s="4" t="n">
        <v>1</v>
      </c>
      <c r="H1017" s="2">
        <f>XLOOKUP(B1017, '00_TONG_HOP_BAO_GIA'!B:B, '00_TONG_HOP_BAO_GIA'!G:G, 1)</f>
        <v/>
      </c>
      <c r="I1017" s="5">
        <f>G1017*H1017</f>
        <v/>
      </c>
      <c r="J1017" s="2">
        <f>XLOOKUP(E1017, '06_BANG_GIA_VAT_TU_AP_DUNG'!B:B, '06_BANG_GIA_VAT_TU_AP_DUNG'!C:C, "LỖI_MÃ_VT")</f>
        <v/>
      </c>
      <c r="K1017" s="2">
        <f>I1017*J1017</f>
        <v/>
      </c>
      <c r="L1017" t="inlineStr">
        <is>
          <t>Cơ cấu liên động bánh răng van</t>
        </is>
      </c>
    </row>
    <row r="1018">
      <c r="A1018" t="inlineStr">
        <is>
          <t>SW-DAMPER-257-FUSE</t>
        </is>
      </c>
      <c r="B1018" t="inlineStr">
        <is>
          <t>SW-DAMPER-257</t>
        </is>
      </c>
      <c r="C1018" t="inlineStr">
        <is>
          <t>Cầu chì nhiệt nóng chảy 70°C (Elsie/USA)</t>
        </is>
      </c>
      <c r="D1018" t="inlineStr">
        <is>
          <t>PHỤ_KIỆN_VAN</t>
        </is>
      </c>
      <c r="E1018" t="inlineStr">
        <is>
          <t>MAT-DAMPER-CAU-CHI-USA-2-400X400</t>
        </is>
      </c>
      <c r="F1018" t="inlineStr">
        <is>
          <t>Cái</t>
        </is>
      </c>
      <c r="G1018" s="4" t="n">
        <v>1</v>
      </c>
      <c r="H1018" s="2">
        <f>XLOOKUP(B1018, '00_TONG_HOP_BAO_GIA'!B:B, '00_TONG_HOP_BAO_GIA'!G:G, 1)</f>
        <v/>
      </c>
      <c r="I1018" s="5">
        <f>G1018*H1018</f>
        <v/>
      </c>
      <c r="J1018" s="2">
        <f>XLOOKUP(E1018, '06_BANG_GIA_VAT_TU_AP_DUNG'!B:B, '06_BANG_GIA_VAT_TU_AP_DUNG'!C:C, "LỖI_MÃ_VT")</f>
        <v/>
      </c>
      <c r="K1018" s="2">
        <f>I1018*J1018</f>
        <v/>
      </c>
      <c r="L1018" t="inlineStr">
        <is>
          <t>Cầu chì kiểm định PCCC</t>
        </is>
      </c>
    </row>
    <row r="1019">
      <c r="A1019" t="inlineStr">
        <is>
          <t>SW-DAMPER-258-BODY</t>
        </is>
      </c>
      <c r="B1019" t="inlineStr">
        <is>
          <t>SW-DAMPER-258</t>
        </is>
      </c>
      <c r="C1019" t="inlineStr">
        <is>
          <t>Thân vỏ van FD bích TDF (0.75mm)</t>
        </is>
      </c>
      <c r="D1019" t="inlineStr">
        <is>
          <t>TÔN_CUỘN_MẠ_KẼM</t>
        </is>
      </c>
      <c r="E1019" t="inlineStr">
        <is>
          <t>MAT-STEEL-PN-0.75</t>
        </is>
      </c>
      <c r="F1019" t="inlineStr">
        <is>
          <t>kg</t>
        </is>
      </c>
      <c r="G1019" s="4" t="n">
        <v>5.420268000000001</v>
      </c>
      <c r="H1019" s="2">
        <f>XLOOKUP(B1019, '00_TONG_HOP_BAO_GIA'!B:B, '00_TONG_HOP_BAO_GIA'!G:G, 1)</f>
        <v/>
      </c>
      <c r="I1019" s="5">
        <f>G1019*H1019</f>
        <v/>
      </c>
      <c r="J1019" s="2">
        <f>XLOOKUP(E1019, '06_BANG_GIA_VAT_TU_AP_DUNG'!B:B, '06_BANG_GIA_VAT_TU_AP_DUNG'!C:C, "LỖI_MÃ_VT")</f>
        <v/>
      </c>
      <c r="K1019" s="2">
        <f>I1019*J1019</f>
        <v/>
      </c>
      <c r="L1019" t="inlineStr">
        <is>
          <t>Kích thước vỏ 750.0x600.0x250mm</t>
        </is>
      </c>
    </row>
    <row r="1020">
      <c r="A1020" t="inlineStr">
        <is>
          <t>SW-DAMPER-258-BLADE</t>
        </is>
      </c>
      <c r="B1020" t="inlineStr">
        <is>
          <t>SW-DAMPER-258</t>
        </is>
      </c>
      <c r="C1020" t="inlineStr">
        <is>
          <t>Lá cánh van (4 cánh overlap)</t>
        </is>
      </c>
      <c r="D1020" t="inlineStr">
        <is>
          <t>TÔN_CUỘN_MẠ_KẼM</t>
        </is>
      </c>
      <c r="E1020" t="inlineStr">
        <is>
          <t>MAT-STEEL-PN-0.75</t>
        </is>
      </c>
      <c r="F1020" t="inlineStr">
        <is>
          <t>kg</t>
        </is>
      </c>
      <c r="G1020" s="4" t="n">
        <v>3.242835</v>
      </c>
      <c r="H1020" s="2">
        <f>XLOOKUP(B1020, '00_TONG_HOP_BAO_GIA'!B:B, '00_TONG_HOP_BAO_GIA'!G:G, 1)</f>
        <v/>
      </c>
      <c r="I1020" s="5">
        <f>G1020*H1020</f>
        <v/>
      </c>
      <c r="J1020" s="2">
        <f>XLOOKUP(E1020, '06_BANG_GIA_VAT_TU_AP_DUNG'!B:B, '06_BANG_GIA_VAT_TU_AP_DUNG'!C:C, "LỖI_MÃ_VT")</f>
        <v/>
      </c>
      <c r="K1020" s="2">
        <f>I1020*J1020</f>
        <v/>
      </c>
      <c r="L1020" t="inlineStr">
        <is>
          <t>4 cánh cao 170mm</t>
        </is>
      </c>
    </row>
    <row r="1021">
      <c r="A1021" t="inlineStr">
        <is>
          <t>SW-DAMPER-258-AXLE</t>
        </is>
      </c>
      <c r="B1021" t="inlineStr">
        <is>
          <t>SW-DAMPER-258</t>
        </is>
      </c>
      <c r="C1021" t="inlineStr">
        <is>
          <t>Trục Sus 201 D10</t>
        </is>
      </c>
      <c r="D1021" t="inlineStr">
        <is>
          <t>PHỤ_KIỆN_VAN</t>
        </is>
      </c>
      <c r="E1021" t="inlineStr">
        <is>
          <t>MAT-DAMPER-TRUC-SUS-201-D10</t>
        </is>
      </c>
      <c r="F1021" t="inlineStr">
        <is>
          <t>m</t>
        </is>
      </c>
      <c r="G1021" s="4" t="n">
        <v>3.24</v>
      </c>
      <c r="H1021" s="2">
        <f>XLOOKUP(B1021, '00_TONG_HOP_BAO_GIA'!B:B, '00_TONG_HOP_BAO_GIA'!G:G, 1)</f>
        <v/>
      </c>
      <c r="I1021" s="5">
        <f>G1021*H1021</f>
        <v/>
      </c>
      <c r="J1021" s="2">
        <f>XLOOKUP(E1021, '06_BANG_GIA_VAT_TU_AP_DUNG'!B:B, '06_BANG_GIA_VAT_TU_AP_DUNG'!C:C, "LỖI_MÃ_VT")</f>
        <v/>
      </c>
      <c r="K1021" s="2">
        <f>I1021*J1021</f>
        <v/>
      </c>
      <c r="L1021" t="inlineStr">
        <is>
          <t>4 trục dài 810mm</t>
        </is>
      </c>
    </row>
    <row r="1022">
      <c r="A1022" t="inlineStr">
        <is>
          <t>SW-DAMPER-258-BEARING</t>
        </is>
      </c>
      <c r="B1022" t="inlineStr">
        <is>
          <t>SW-DAMPER-258</t>
        </is>
      </c>
      <c r="C1022" t="inlineStr">
        <is>
          <t>Bạc đồng D10</t>
        </is>
      </c>
      <c r="D1022" t="inlineStr">
        <is>
          <t>PHỤ_KIỆN_VAN</t>
        </is>
      </c>
      <c r="E1022" t="inlineStr">
        <is>
          <t>MAT-DAMPER-BAC-DONG-D10</t>
        </is>
      </c>
      <c r="F1022" t="inlineStr">
        <is>
          <t>Đôi</t>
        </is>
      </c>
      <c r="G1022" s="4" t="n">
        <v>4</v>
      </c>
      <c r="H1022" s="2">
        <f>XLOOKUP(B1022, '00_TONG_HOP_BAO_GIA'!B:B, '00_TONG_HOP_BAO_GIA'!G:G, 1)</f>
        <v/>
      </c>
      <c r="I1022" s="5">
        <f>G1022*H1022</f>
        <v/>
      </c>
      <c r="J1022" s="2">
        <f>XLOOKUP(E1022, '06_BANG_GIA_VAT_TU_AP_DUNG'!B:B, '06_BANG_GIA_VAT_TU_AP_DUNG'!C:C, "LỖI_MÃ_VT")</f>
        <v/>
      </c>
      <c r="K1022" s="2">
        <f>I1022*J1022</f>
        <v/>
      </c>
      <c r="L1022" t="inlineStr">
        <is>
          <t>4 đôi bạc đỡ 2 bên thân</t>
        </is>
      </c>
    </row>
    <row r="1023">
      <c r="A1023" t="inlineStr">
        <is>
          <t>SW-DAMPER-258-GEAR</t>
        </is>
      </c>
      <c r="B1023" t="inlineStr">
        <is>
          <t>SW-DAMPER-258</t>
        </is>
      </c>
      <c r="C1023" t="inlineStr">
        <is>
          <t>Bánh răng van nhôm</t>
        </is>
      </c>
      <c r="D1023" t="inlineStr">
        <is>
          <t>PHỤ_KIỆN_VAN</t>
        </is>
      </c>
      <c r="E1023" t="inlineStr">
        <is>
          <t>MAT-DAMPER-BANH-RANG-VAN-NHOM</t>
        </is>
      </c>
      <c r="F1023" t="inlineStr">
        <is>
          <t>Bộ</t>
        </is>
      </c>
      <c r="G1023" s="4" t="n">
        <v>1</v>
      </c>
      <c r="H1023" s="2">
        <f>XLOOKUP(B1023, '00_TONG_HOP_BAO_GIA'!B:B, '00_TONG_HOP_BAO_GIA'!G:G, 1)</f>
        <v/>
      </c>
      <c r="I1023" s="5">
        <f>G1023*H1023</f>
        <v/>
      </c>
      <c r="J1023" s="2">
        <f>XLOOKUP(E1023, '06_BANG_GIA_VAT_TU_AP_DUNG'!B:B, '06_BANG_GIA_VAT_TU_AP_DUNG'!C:C, "LỖI_MÃ_VT")</f>
        <v/>
      </c>
      <c r="K1023" s="2">
        <f>I1023*J1023</f>
        <v/>
      </c>
      <c r="L1023" t="inlineStr">
        <is>
          <t>Cơ cấu liên động bánh răng van</t>
        </is>
      </c>
    </row>
    <row r="1024">
      <c r="A1024" t="inlineStr">
        <is>
          <t>SW-DAMPER-258-FUSE</t>
        </is>
      </c>
      <c r="B1024" t="inlineStr">
        <is>
          <t>SW-DAMPER-258</t>
        </is>
      </c>
      <c r="C1024" t="inlineStr">
        <is>
          <t>Cầu chì nhiệt nóng chảy 70°C (Elsie/USA)</t>
        </is>
      </c>
      <c r="D1024" t="inlineStr">
        <is>
          <t>PHỤ_KIỆN_VAN</t>
        </is>
      </c>
      <c r="E1024" t="inlineStr">
        <is>
          <t>MAT-DAMPER-CAU-CHI-USA-2-400X400</t>
        </is>
      </c>
      <c r="F1024" t="inlineStr">
        <is>
          <t>Cái</t>
        </is>
      </c>
      <c r="G1024" s="4" t="n">
        <v>1</v>
      </c>
      <c r="H1024" s="2">
        <f>XLOOKUP(B1024, '00_TONG_HOP_BAO_GIA'!B:B, '00_TONG_HOP_BAO_GIA'!G:G, 1)</f>
        <v/>
      </c>
      <c r="I1024" s="5">
        <f>G1024*H1024</f>
        <v/>
      </c>
      <c r="J1024" s="2">
        <f>XLOOKUP(E1024, '06_BANG_GIA_VAT_TU_AP_DUNG'!B:B, '06_BANG_GIA_VAT_TU_AP_DUNG'!C:C, "LỖI_MÃ_VT")</f>
        <v/>
      </c>
      <c r="K1024" s="2">
        <f>I1024*J1024</f>
        <v/>
      </c>
      <c r="L1024" t="inlineStr">
        <is>
          <t>Cầu chì kiểm định PCCC</t>
        </is>
      </c>
    </row>
    <row r="1025">
      <c r="A1025" t="inlineStr">
        <is>
          <t>SW-DAMPER-259-BODY</t>
        </is>
      </c>
      <c r="B1025" t="inlineStr">
        <is>
          <t>SW-DAMPER-259</t>
        </is>
      </c>
      <c r="C1025" t="inlineStr">
        <is>
          <t>Thân vỏ van FD bích TDF (0.75mm)</t>
        </is>
      </c>
      <c r="D1025" t="inlineStr">
        <is>
          <t>TÔN_CUỘN_MẠ_KẼM</t>
        </is>
      </c>
      <c r="E1025" t="inlineStr">
        <is>
          <t>MAT-STEEL-PN-0.75</t>
        </is>
      </c>
      <c r="F1025" t="inlineStr">
        <is>
          <t>kg</t>
        </is>
      </c>
      <c r="G1025" s="4" t="n">
        <v>6.013728</v>
      </c>
      <c r="H1025" s="2">
        <f>XLOOKUP(B1025, '00_TONG_HOP_BAO_GIA'!B:B, '00_TONG_HOP_BAO_GIA'!G:G, 1)</f>
        <v/>
      </c>
      <c r="I1025" s="5">
        <f>G1025*H1025</f>
        <v/>
      </c>
      <c r="J1025" s="2">
        <f>XLOOKUP(E1025, '06_BANG_GIA_VAT_TU_AP_DUNG'!B:B, '06_BANG_GIA_VAT_TU_AP_DUNG'!C:C, "LỖI_MÃ_VT")</f>
        <v/>
      </c>
      <c r="K1025" s="2">
        <f>I1025*J1025</f>
        <v/>
      </c>
      <c r="L1025" t="inlineStr">
        <is>
          <t>Kích thước vỏ 800.0x700.0x250mm</t>
        </is>
      </c>
    </row>
    <row r="1026">
      <c r="A1026" t="inlineStr">
        <is>
          <t>SW-DAMPER-259-BLADE</t>
        </is>
      </c>
      <c r="B1026" t="inlineStr">
        <is>
          <t>SW-DAMPER-259</t>
        </is>
      </c>
      <c r="C1026" t="inlineStr">
        <is>
          <t>Lá cánh van (4 cánh overlap)</t>
        </is>
      </c>
      <c r="D1026" t="inlineStr">
        <is>
          <t>TÔN_CUỘN_MẠ_KẼM</t>
        </is>
      </c>
      <c r="E1026" t="inlineStr">
        <is>
          <t>MAT-STEEL-PN-0.75</t>
        </is>
      </c>
      <c r="F1026" t="inlineStr">
        <is>
          <t>kg</t>
        </is>
      </c>
      <c r="G1026" s="4" t="n">
        <v>3.967704000000001</v>
      </c>
      <c r="H1026" s="2">
        <f>XLOOKUP(B1026, '00_TONG_HOP_BAO_GIA'!B:B, '00_TONG_HOP_BAO_GIA'!G:G, 1)</f>
        <v/>
      </c>
      <c r="I1026" s="5">
        <f>G1026*H1026</f>
        <v/>
      </c>
      <c r="J1026" s="2">
        <f>XLOOKUP(E1026, '06_BANG_GIA_VAT_TU_AP_DUNG'!B:B, '06_BANG_GIA_VAT_TU_AP_DUNG'!C:C, "LỖI_MÃ_VT")</f>
        <v/>
      </c>
      <c r="K1026" s="2">
        <f>I1026*J1026</f>
        <v/>
      </c>
      <c r="L1026" t="inlineStr">
        <is>
          <t>4 cánh cao 195mm</t>
        </is>
      </c>
    </row>
    <row r="1027">
      <c r="A1027" t="inlineStr">
        <is>
          <t>SW-DAMPER-259-AXLE</t>
        </is>
      </c>
      <c r="B1027" t="inlineStr">
        <is>
          <t>SW-DAMPER-259</t>
        </is>
      </c>
      <c r="C1027" t="inlineStr">
        <is>
          <t>Trục Sus 201 D10</t>
        </is>
      </c>
      <c r="D1027" t="inlineStr">
        <is>
          <t>PHỤ_KIỆN_VAN</t>
        </is>
      </c>
      <c r="E1027" t="inlineStr">
        <is>
          <t>MAT-DAMPER-TRUC-SUS-201-D10</t>
        </is>
      </c>
      <c r="F1027" t="inlineStr">
        <is>
          <t>m</t>
        </is>
      </c>
      <c r="G1027" s="4" t="n">
        <v>3.44</v>
      </c>
      <c r="H1027" s="2">
        <f>XLOOKUP(B1027, '00_TONG_HOP_BAO_GIA'!B:B, '00_TONG_HOP_BAO_GIA'!G:G, 1)</f>
        <v/>
      </c>
      <c r="I1027" s="5">
        <f>G1027*H1027</f>
        <v/>
      </c>
      <c r="J1027" s="2">
        <f>XLOOKUP(E1027, '06_BANG_GIA_VAT_TU_AP_DUNG'!B:B, '06_BANG_GIA_VAT_TU_AP_DUNG'!C:C, "LỖI_MÃ_VT")</f>
        <v/>
      </c>
      <c r="K1027" s="2">
        <f>I1027*J1027</f>
        <v/>
      </c>
      <c r="L1027" t="inlineStr">
        <is>
          <t>4 trục dài 860mm</t>
        </is>
      </c>
    </row>
    <row r="1028">
      <c r="A1028" t="inlineStr">
        <is>
          <t>SW-DAMPER-259-BEARING</t>
        </is>
      </c>
      <c r="B1028" t="inlineStr">
        <is>
          <t>SW-DAMPER-259</t>
        </is>
      </c>
      <c r="C1028" t="inlineStr">
        <is>
          <t>Bạc đồng D10</t>
        </is>
      </c>
      <c r="D1028" t="inlineStr">
        <is>
          <t>PHỤ_KIỆN_VAN</t>
        </is>
      </c>
      <c r="E1028" t="inlineStr">
        <is>
          <t>MAT-DAMPER-BAC-DONG-D10</t>
        </is>
      </c>
      <c r="F1028" t="inlineStr">
        <is>
          <t>Đôi</t>
        </is>
      </c>
      <c r="G1028" s="4" t="n">
        <v>4</v>
      </c>
      <c r="H1028" s="2">
        <f>XLOOKUP(B1028, '00_TONG_HOP_BAO_GIA'!B:B, '00_TONG_HOP_BAO_GIA'!G:G, 1)</f>
        <v/>
      </c>
      <c r="I1028" s="5">
        <f>G1028*H1028</f>
        <v/>
      </c>
      <c r="J1028" s="2">
        <f>XLOOKUP(E1028, '06_BANG_GIA_VAT_TU_AP_DUNG'!B:B, '06_BANG_GIA_VAT_TU_AP_DUNG'!C:C, "LỖI_MÃ_VT")</f>
        <v/>
      </c>
      <c r="K1028" s="2">
        <f>I1028*J1028</f>
        <v/>
      </c>
      <c r="L1028" t="inlineStr">
        <is>
          <t>4 đôi bạc đỡ 2 bên thân</t>
        </is>
      </c>
    </row>
    <row r="1029">
      <c r="A1029" t="inlineStr">
        <is>
          <t>SW-DAMPER-259-GEAR</t>
        </is>
      </c>
      <c r="B1029" t="inlineStr">
        <is>
          <t>SW-DAMPER-259</t>
        </is>
      </c>
      <c r="C1029" t="inlineStr">
        <is>
          <t>Bánh răng van nhôm</t>
        </is>
      </c>
      <c r="D1029" t="inlineStr">
        <is>
          <t>PHỤ_KIỆN_VAN</t>
        </is>
      </c>
      <c r="E1029" t="inlineStr">
        <is>
          <t>MAT-DAMPER-BANH-RANG-VAN-NHOM</t>
        </is>
      </c>
      <c r="F1029" t="inlineStr">
        <is>
          <t>Bộ</t>
        </is>
      </c>
      <c r="G1029" s="4" t="n">
        <v>1</v>
      </c>
      <c r="H1029" s="2">
        <f>XLOOKUP(B1029, '00_TONG_HOP_BAO_GIA'!B:B, '00_TONG_HOP_BAO_GIA'!G:G, 1)</f>
        <v/>
      </c>
      <c r="I1029" s="5">
        <f>G1029*H1029</f>
        <v/>
      </c>
      <c r="J1029" s="2">
        <f>XLOOKUP(E1029, '06_BANG_GIA_VAT_TU_AP_DUNG'!B:B, '06_BANG_GIA_VAT_TU_AP_DUNG'!C:C, "LỖI_MÃ_VT")</f>
        <v/>
      </c>
      <c r="K1029" s="2">
        <f>I1029*J1029</f>
        <v/>
      </c>
      <c r="L1029" t="inlineStr">
        <is>
          <t>Cơ cấu liên động bánh răng van</t>
        </is>
      </c>
    </row>
    <row r="1030">
      <c r="A1030" t="inlineStr">
        <is>
          <t>SW-DAMPER-259-FUSE</t>
        </is>
      </c>
      <c r="B1030" t="inlineStr">
        <is>
          <t>SW-DAMPER-259</t>
        </is>
      </c>
      <c r="C1030" t="inlineStr">
        <is>
          <t>Cầu chì nhiệt nóng chảy 70°C (Elsie/USA)</t>
        </is>
      </c>
      <c r="D1030" t="inlineStr">
        <is>
          <t>PHỤ_KIỆN_VAN</t>
        </is>
      </c>
      <c r="E1030" t="inlineStr">
        <is>
          <t>MAT-DAMPER-CAU-CHI-USA-2-400X400</t>
        </is>
      </c>
      <c r="F1030" t="inlineStr">
        <is>
          <t>Cái</t>
        </is>
      </c>
      <c r="G1030" s="4" t="n">
        <v>1</v>
      </c>
      <c r="H1030" s="2">
        <f>XLOOKUP(B1030, '00_TONG_HOP_BAO_GIA'!B:B, '00_TONG_HOP_BAO_GIA'!G:G, 1)</f>
        <v/>
      </c>
      <c r="I1030" s="5">
        <f>G1030*H1030</f>
        <v/>
      </c>
      <c r="J1030" s="2">
        <f>XLOOKUP(E1030, '06_BANG_GIA_VAT_TU_AP_DUNG'!B:B, '06_BANG_GIA_VAT_TU_AP_DUNG'!C:C, "LỖI_MÃ_VT")</f>
        <v/>
      </c>
      <c r="K1030" s="2">
        <f>I1030*J1030</f>
        <v/>
      </c>
      <c r="L1030" t="inlineStr">
        <is>
          <t>Cầu chì kiểm định PCCC</t>
        </is>
      </c>
    </row>
    <row r="1031">
      <c r="A1031" t="inlineStr">
        <is>
          <t>SW-DAMPER-260-BODY</t>
        </is>
      </c>
      <c r="B1031" t="inlineStr">
        <is>
          <t>SW-DAMPER-260</t>
        </is>
      </c>
      <c r="C1031" t="inlineStr">
        <is>
          <t>Thân vỏ van FD bích TDF (0.95mm)</t>
        </is>
      </c>
      <c r="D1031" t="inlineStr">
        <is>
          <t>TÔN_CUỘN_MẠ_KẼM</t>
        </is>
      </c>
      <c r="E1031" t="inlineStr">
        <is>
          <t>MAT-STEEL-PN-0.95</t>
        </is>
      </c>
      <c r="F1031" t="inlineStr">
        <is>
          <t>kg</t>
        </is>
      </c>
      <c r="G1031" s="4" t="n">
        <v>6.1139568</v>
      </c>
      <c r="H1031" s="2">
        <f>XLOOKUP(B1031, '00_TONG_HOP_BAO_GIA'!B:B, '00_TONG_HOP_BAO_GIA'!G:G, 1)</f>
        <v/>
      </c>
      <c r="I1031" s="5">
        <f>G1031*H1031</f>
        <v/>
      </c>
      <c r="J1031" s="2">
        <f>XLOOKUP(E1031, '06_BANG_GIA_VAT_TU_AP_DUNG'!B:B, '06_BANG_GIA_VAT_TU_AP_DUNG'!C:C, "LỖI_MÃ_VT")</f>
        <v/>
      </c>
      <c r="K1031" s="2">
        <f>I1031*J1031</f>
        <v/>
      </c>
      <c r="L1031" t="inlineStr">
        <is>
          <t>Kích thước vỏ 900.0x300.0x250mm</t>
        </is>
      </c>
    </row>
    <row r="1032">
      <c r="A1032" t="inlineStr">
        <is>
          <t>SW-DAMPER-260-BLADE</t>
        </is>
      </c>
      <c r="B1032" t="inlineStr">
        <is>
          <t>SW-DAMPER-260</t>
        </is>
      </c>
      <c r="C1032" t="inlineStr">
        <is>
          <t>Lá cánh van (2 cánh overlap)</t>
        </is>
      </c>
      <c r="D1032" t="inlineStr">
        <is>
          <t>TÔN_CUỘN_MẠ_KẼM</t>
        </is>
      </c>
      <c r="E1032" t="inlineStr">
        <is>
          <t>MAT-STEEL-PN-0.75</t>
        </is>
      </c>
      <c r="F1032" t="inlineStr">
        <is>
          <t>kg</t>
        </is>
      </c>
      <c r="G1032" s="4" t="n">
        <v>1.945701</v>
      </c>
      <c r="H1032" s="2">
        <f>XLOOKUP(B1032, '00_TONG_HOP_BAO_GIA'!B:B, '00_TONG_HOP_BAO_GIA'!G:G, 1)</f>
        <v/>
      </c>
      <c r="I1032" s="5">
        <f>G1032*H1032</f>
        <v/>
      </c>
      <c r="J1032" s="2">
        <f>XLOOKUP(E1032, '06_BANG_GIA_VAT_TU_AP_DUNG'!B:B, '06_BANG_GIA_VAT_TU_AP_DUNG'!C:C, "LỖI_MÃ_VT")</f>
        <v/>
      </c>
      <c r="K1032" s="2">
        <f>I1032*J1032</f>
        <v/>
      </c>
      <c r="L1032" t="inlineStr">
        <is>
          <t>2 cánh cao 170mm</t>
        </is>
      </c>
    </row>
    <row r="1033">
      <c r="A1033" t="inlineStr">
        <is>
          <t>SW-DAMPER-260-AXLE</t>
        </is>
      </c>
      <c r="B1033" t="inlineStr">
        <is>
          <t>SW-DAMPER-260</t>
        </is>
      </c>
      <c r="C1033" t="inlineStr">
        <is>
          <t>Trục Sus 201 D10</t>
        </is>
      </c>
      <c r="D1033" t="inlineStr">
        <is>
          <t>PHỤ_KIỆN_VAN</t>
        </is>
      </c>
      <c r="E1033" t="inlineStr">
        <is>
          <t>MAT-DAMPER-TRUC-SUS-201-D10</t>
        </is>
      </c>
      <c r="F1033" t="inlineStr">
        <is>
          <t>m</t>
        </is>
      </c>
      <c r="G1033" s="4" t="n">
        <v>1.92</v>
      </c>
      <c r="H1033" s="2">
        <f>XLOOKUP(B1033, '00_TONG_HOP_BAO_GIA'!B:B, '00_TONG_HOP_BAO_GIA'!G:G, 1)</f>
        <v/>
      </c>
      <c r="I1033" s="5">
        <f>G1033*H1033</f>
        <v/>
      </c>
      <c r="J1033" s="2">
        <f>XLOOKUP(E1033, '06_BANG_GIA_VAT_TU_AP_DUNG'!B:B, '06_BANG_GIA_VAT_TU_AP_DUNG'!C:C, "LỖI_MÃ_VT")</f>
        <v/>
      </c>
      <c r="K1033" s="2">
        <f>I1033*J1033</f>
        <v/>
      </c>
      <c r="L1033" t="inlineStr">
        <is>
          <t>2 trục dài 960mm</t>
        </is>
      </c>
    </row>
    <row r="1034">
      <c r="A1034" t="inlineStr">
        <is>
          <t>SW-DAMPER-260-BEARING</t>
        </is>
      </c>
      <c r="B1034" t="inlineStr">
        <is>
          <t>SW-DAMPER-260</t>
        </is>
      </c>
      <c r="C1034" t="inlineStr">
        <is>
          <t>Bạc đồng D10</t>
        </is>
      </c>
      <c r="D1034" t="inlineStr">
        <is>
          <t>PHỤ_KIỆN_VAN</t>
        </is>
      </c>
      <c r="E1034" t="inlineStr">
        <is>
          <t>MAT-DAMPER-BAC-DONG-D10</t>
        </is>
      </c>
      <c r="F1034" t="inlineStr">
        <is>
          <t>Đôi</t>
        </is>
      </c>
      <c r="G1034" s="4" t="n">
        <v>2</v>
      </c>
      <c r="H1034" s="2">
        <f>XLOOKUP(B1034, '00_TONG_HOP_BAO_GIA'!B:B, '00_TONG_HOP_BAO_GIA'!G:G, 1)</f>
        <v/>
      </c>
      <c r="I1034" s="5">
        <f>G1034*H1034</f>
        <v/>
      </c>
      <c r="J1034" s="2">
        <f>XLOOKUP(E1034, '06_BANG_GIA_VAT_TU_AP_DUNG'!B:B, '06_BANG_GIA_VAT_TU_AP_DUNG'!C:C, "LỖI_MÃ_VT")</f>
        <v/>
      </c>
      <c r="K1034" s="2">
        <f>I1034*J1034</f>
        <v/>
      </c>
      <c r="L1034" t="inlineStr">
        <is>
          <t>2 đôi bạc đỡ 2 bên thân</t>
        </is>
      </c>
    </row>
    <row r="1035">
      <c r="A1035" t="inlineStr">
        <is>
          <t>SW-DAMPER-260-GEAR</t>
        </is>
      </c>
      <c r="B1035" t="inlineStr">
        <is>
          <t>SW-DAMPER-260</t>
        </is>
      </c>
      <c r="C1035" t="inlineStr">
        <is>
          <t>Bánh răng van nhôm</t>
        </is>
      </c>
      <c r="D1035" t="inlineStr">
        <is>
          <t>PHỤ_KIỆN_VAN</t>
        </is>
      </c>
      <c r="E1035" t="inlineStr">
        <is>
          <t>MAT-DAMPER-BANH-RANG-VAN-NHOM</t>
        </is>
      </c>
      <c r="F1035" t="inlineStr">
        <is>
          <t>Bộ</t>
        </is>
      </c>
      <c r="G1035" s="4" t="n">
        <v>1</v>
      </c>
      <c r="H1035" s="2">
        <f>XLOOKUP(B1035, '00_TONG_HOP_BAO_GIA'!B:B, '00_TONG_HOP_BAO_GIA'!G:G, 1)</f>
        <v/>
      </c>
      <c r="I1035" s="5">
        <f>G1035*H1035</f>
        <v/>
      </c>
      <c r="J1035" s="2">
        <f>XLOOKUP(E1035, '06_BANG_GIA_VAT_TU_AP_DUNG'!B:B, '06_BANG_GIA_VAT_TU_AP_DUNG'!C:C, "LỖI_MÃ_VT")</f>
        <v/>
      </c>
      <c r="K1035" s="2">
        <f>I1035*J1035</f>
        <v/>
      </c>
      <c r="L1035" t="inlineStr">
        <is>
          <t>Cơ cấu liên động bánh răng van</t>
        </is>
      </c>
    </row>
    <row r="1036">
      <c r="A1036" t="inlineStr">
        <is>
          <t>SW-DAMPER-260-FUSE</t>
        </is>
      </c>
      <c r="B1036" t="inlineStr">
        <is>
          <t>SW-DAMPER-260</t>
        </is>
      </c>
      <c r="C1036" t="inlineStr">
        <is>
          <t>Cầu chì nhiệt nóng chảy 70°C (Elsie/USA)</t>
        </is>
      </c>
      <c r="D1036" t="inlineStr">
        <is>
          <t>PHỤ_KIỆN_VAN</t>
        </is>
      </c>
      <c r="E1036" t="inlineStr">
        <is>
          <t>MAT-DAMPER-CAU-CHI-USA-2-400X400</t>
        </is>
      </c>
      <c r="F1036" t="inlineStr">
        <is>
          <t>Cái</t>
        </is>
      </c>
      <c r="G1036" s="4" t="n">
        <v>1</v>
      </c>
      <c r="H1036" s="2">
        <f>XLOOKUP(B1036, '00_TONG_HOP_BAO_GIA'!B:B, '00_TONG_HOP_BAO_GIA'!G:G, 1)</f>
        <v/>
      </c>
      <c r="I1036" s="5">
        <f>G1036*H1036</f>
        <v/>
      </c>
      <c r="J1036" s="2">
        <f>XLOOKUP(E1036, '06_BANG_GIA_VAT_TU_AP_DUNG'!B:B, '06_BANG_GIA_VAT_TU_AP_DUNG'!C:C, "LỖI_MÃ_VT")</f>
        <v/>
      </c>
      <c r="K1036" s="2">
        <f>I1036*J1036</f>
        <v/>
      </c>
      <c r="L1036" t="inlineStr">
        <is>
          <t>Cầu chì kiểm định PCCC</t>
        </is>
      </c>
    </row>
    <row r="1037">
      <c r="A1037" t="inlineStr">
        <is>
          <t>SW-DAMPER-261-BODY</t>
        </is>
      </c>
      <c r="B1037" t="inlineStr">
        <is>
          <t>SW-DAMPER-261</t>
        </is>
      </c>
      <c r="C1037" t="inlineStr">
        <is>
          <t>Thân vỏ van FD bích TDF (0.95mm)</t>
        </is>
      </c>
      <c r="D1037" t="inlineStr">
        <is>
          <t>TÔN_CUỘN_MẠ_KẼM</t>
        </is>
      </c>
      <c r="E1037" t="inlineStr">
        <is>
          <t>MAT-STEEL-PN-0.95</t>
        </is>
      </c>
      <c r="F1037" t="inlineStr">
        <is>
          <t>kg</t>
        </is>
      </c>
      <c r="G1037" s="4" t="n">
        <v>5.6128128</v>
      </c>
      <c r="H1037" s="2">
        <f>XLOOKUP(B1037, '00_TONG_HOP_BAO_GIA'!B:B, '00_TONG_HOP_BAO_GIA'!G:G, 1)</f>
        <v/>
      </c>
      <c r="I1037" s="5">
        <f>G1037*H1037</f>
        <v/>
      </c>
      <c r="J1037" s="2">
        <f>XLOOKUP(E1037, '06_BANG_GIA_VAT_TU_AP_DUNG'!B:B, '06_BANG_GIA_VAT_TU_AP_DUNG'!C:C, "LỖI_MÃ_VT")</f>
        <v/>
      </c>
      <c r="K1037" s="2">
        <f>I1037*J1037</f>
        <v/>
      </c>
      <c r="L1037" t="inlineStr">
        <is>
          <t>Kích thước vỏ 900.0x200.0x250mm</t>
        </is>
      </c>
    </row>
    <row r="1038">
      <c r="A1038" t="inlineStr">
        <is>
          <t>SW-DAMPER-261-BLADE</t>
        </is>
      </c>
      <c r="B1038" t="inlineStr">
        <is>
          <t>SW-DAMPER-261</t>
        </is>
      </c>
      <c r="C1038" t="inlineStr">
        <is>
          <t>Lá cánh van (2 cánh overlap)</t>
        </is>
      </c>
      <c r="D1038" t="inlineStr">
        <is>
          <t>TÔN_CUỘN_MẠ_KẼM</t>
        </is>
      </c>
      <c r="E1038" t="inlineStr">
        <is>
          <t>MAT-STEEL-PN-0.75</t>
        </is>
      </c>
      <c r="F1038" t="inlineStr">
        <is>
          <t>kg</t>
        </is>
      </c>
      <c r="G1038" s="4" t="n">
        <v>1.373436</v>
      </c>
      <c r="H1038" s="2">
        <f>XLOOKUP(B1038, '00_TONG_HOP_BAO_GIA'!B:B, '00_TONG_HOP_BAO_GIA'!G:G, 1)</f>
        <v/>
      </c>
      <c r="I1038" s="5">
        <f>G1038*H1038</f>
        <v/>
      </c>
      <c r="J1038" s="2">
        <f>XLOOKUP(E1038, '06_BANG_GIA_VAT_TU_AP_DUNG'!B:B, '06_BANG_GIA_VAT_TU_AP_DUNG'!C:C, "LỖI_MÃ_VT")</f>
        <v/>
      </c>
      <c r="K1038" s="2">
        <f>I1038*J1038</f>
        <v/>
      </c>
      <c r="L1038" t="inlineStr">
        <is>
          <t>2 cánh cao 120mm</t>
        </is>
      </c>
    </row>
    <row r="1039">
      <c r="A1039" t="inlineStr">
        <is>
          <t>SW-DAMPER-261-AXLE</t>
        </is>
      </c>
      <c r="B1039" t="inlineStr">
        <is>
          <t>SW-DAMPER-261</t>
        </is>
      </c>
      <c r="C1039" t="inlineStr">
        <is>
          <t>Trục Sus 201 D10</t>
        </is>
      </c>
      <c r="D1039" t="inlineStr">
        <is>
          <t>PHỤ_KIỆN_VAN</t>
        </is>
      </c>
      <c r="E1039" t="inlineStr">
        <is>
          <t>MAT-DAMPER-TRUC-SUS-201-D10</t>
        </is>
      </c>
      <c r="F1039" t="inlineStr">
        <is>
          <t>m</t>
        </is>
      </c>
      <c r="G1039" s="4" t="n">
        <v>1.92</v>
      </c>
      <c r="H1039" s="2">
        <f>XLOOKUP(B1039, '00_TONG_HOP_BAO_GIA'!B:B, '00_TONG_HOP_BAO_GIA'!G:G, 1)</f>
        <v/>
      </c>
      <c r="I1039" s="5">
        <f>G1039*H1039</f>
        <v/>
      </c>
      <c r="J1039" s="2">
        <f>XLOOKUP(E1039, '06_BANG_GIA_VAT_TU_AP_DUNG'!B:B, '06_BANG_GIA_VAT_TU_AP_DUNG'!C:C, "LỖI_MÃ_VT")</f>
        <v/>
      </c>
      <c r="K1039" s="2">
        <f>I1039*J1039</f>
        <v/>
      </c>
      <c r="L1039" t="inlineStr">
        <is>
          <t>2 trục dài 960mm</t>
        </is>
      </c>
    </row>
    <row r="1040">
      <c r="A1040" t="inlineStr">
        <is>
          <t>SW-DAMPER-261-BEARING</t>
        </is>
      </c>
      <c r="B1040" t="inlineStr">
        <is>
          <t>SW-DAMPER-261</t>
        </is>
      </c>
      <c r="C1040" t="inlineStr">
        <is>
          <t>Bạc đồng D10</t>
        </is>
      </c>
      <c r="D1040" t="inlineStr">
        <is>
          <t>PHỤ_KIỆN_VAN</t>
        </is>
      </c>
      <c r="E1040" t="inlineStr">
        <is>
          <t>MAT-DAMPER-BAC-DONG-D10</t>
        </is>
      </c>
      <c r="F1040" t="inlineStr">
        <is>
          <t>Đôi</t>
        </is>
      </c>
      <c r="G1040" s="4" t="n">
        <v>2</v>
      </c>
      <c r="H1040" s="2">
        <f>XLOOKUP(B1040, '00_TONG_HOP_BAO_GIA'!B:B, '00_TONG_HOP_BAO_GIA'!G:G, 1)</f>
        <v/>
      </c>
      <c r="I1040" s="5">
        <f>G1040*H1040</f>
        <v/>
      </c>
      <c r="J1040" s="2">
        <f>XLOOKUP(E1040, '06_BANG_GIA_VAT_TU_AP_DUNG'!B:B, '06_BANG_GIA_VAT_TU_AP_DUNG'!C:C, "LỖI_MÃ_VT")</f>
        <v/>
      </c>
      <c r="K1040" s="2">
        <f>I1040*J1040</f>
        <v/>
      </c>
      <c r="L1040" t="inlineStr">
        <is>
          <t>2 đôi bạc đỡ 2 bên thân</t>
        </is>
      </c>
    </row>
    <row r="1041">
      <c r="A1041" t="inlineStr">
        <is>
          <t>SW-DAMPER-261-GEAR</t>
        </is>
      </c>
      <c r="B1041" t="inlineStr">
        <is>
          <t>SW-DAMPER-261</t>
        </is>
      </c>
      <c r="C1041" t="inlineStr">
        <is>
          <t>Bánh răng van nhôm</t>
        </is>
      </c>
      <c r="D1041" t="inlineStr">
        <is>
          <t>PHỤ_KIỆN_VAN</t>
        </is>
      </c>
      <c r="E1041" t="inlineStr">
        <is>
          <t>MAT-DAMPER-BANH-RANG-VAN-NHOM</t>
        </is>
      </c>
      <c r="F1041" t="inlineStr">
        <is>
          <t>Bộ</t>
        </is>
      </c>
      <c r="G1041" s="4" t="n">
        <v>1</v>
      </c>
      <c r="H1041" s="2">
        <f>XLOOKUP(B1041, '00_TONG_HOP_BAO_GIA'!B:B, '00_TONG_HOP_BAO_GIA'!G:G, 1)</f>
        <v/>
      </c>
      <c r="I1041" s="5">
        <f>G1041*H1041</f>
        <v/>
      </c>
      <c r="J1041" s="2">
        <f>XLOOKUP(E1041, '06_BANG_GIA_VAT_TU_AP_DUNG'!B:B, '06_BANG_GIA_VAT_TU_AP_DUNG'!C:C, "LỖI_MÃ_VT")</f>
        <v/>
      </c>
      <c r="K1041" s="2">
        <f>I1041*J1041</f>
        <v/>
      </c>
      <c r="L1041" t="inlineStr">
        <is>
          <t>Cơ cấu liên động bánh răng van</t>
        </is>
      </c>
    </row>
    <row r="1042">
      <c r="A1042" t="inlineStr">
        <is>
          <t>SW-DAMPER-261-FUSE</t>
        </is>
      </c>
      <c r="B1042" t="inlineStr">
        <is>
          <t>SW-DAMPER-261</t>
        </is>
      </c>
      <c r="C1042" t="inlineStr">
        <is>
          <t>Cầu chì nhiệt nóng chảy 70°C (Elsie/USA)</t>
        </is>
      </c>
      <c r="D1042" t="inlineStr">
        <is>
          <t>PHỤ_KIỆN_VAN</t>
        </is>
      </c>
      <c r="E1042" t="inlineStr">
        <is>
          <t>MAT-DAMPER-CAU-CHI-USA-2-400X400</t>
        </is>
      </c>
      <c r="F1042" t="inlineStr">
        <is>
          <t>Cái</t>
        </is>
      </c>
      <c r="G1042" s="4" t="n">
        <v>1</v>
      </c>
      <c r="H1042" s="2">
        <f>XLOOKUP(B1042, '00_TONG_HOP_BAO_GIA'!B:B, '00_TONG_HOP_BAO_GIA'!G:G, 1)</f>
        <v/>
      </c>
      <c r="I1042" s="5">
        <f>G1042*H1042</f>
        <v/>
      </c>
      <c r="J1042" s="2">
        <f>XLOOKUP(E1042, '06_BANG_GIA_VAT_TU_AP_DUNG'!B:B, '06_BANG_GIA_VAT_TU_AP_DUNG'!C:C, "LỖI_MÃ_VT")</f>
        <v/>
      </c>
      <c r="K1042" s="2">
        <f>I1042*J1042</f>
        <v/>
      </c>
      <c r="L1042" t="inlineStr">
        <is>
          <t>Cầu chì kiểm định PCCC</t>
        </is>
      </c>
    </row>
    <row r="1043">
      <c r="A1043" t="inlineStr">
        <is>
          <t>SW-DAMPER-262-BODY</t>
        </is>
      </c>
      <c r="B1043" t="inlineStr">
        <is>
          <t>SW-DAMPER-262</t>
        </is>
      </c>
      <c r="C1043" t="inlineStr">
        <is>
          <t>Thân vỏ van FD bích TDF (0.95mm)</t>
        </is>
      </c>
      <c r="D1043" t="inlineStr">
        <is>
          <t>TÔN_CUỘN_MẠ_KẼM</t>
        </is>
      </c>
      <c r="E1043" t="inlineStr">
        <is>
          <t>MAT-STEEL-PN-0.95</t>
        </is>
      </c>
      <c r="F1043" t="inlineStr">
        <is>
          <t>kg</t>
        </is>
      </c>
      <c r="G1043" s="4" t="n">
        <v>5.6128128</v>
      </c>
      <c r="H1043" s="2">
        <f>XLOOKUP(B1043, '00_TONG_HOP_BAO_GIA'!B:B, '00_TONG_HOP_BAO_GIA'!G:G, 1)</f>
        <v/>
      </c>
      <c r="I1043" s="5">
        <f>G1043*H1043</f>
        <v/>
      </c>
      <c r="J1043" s="2">
        <f>XLOOKUP(E1043, '06_BANG_GIA_VAT_TU_AP_DUNG'!B:B, '06_BANG_GIA_VAT_TU_AP_DUNG'!C:C, "LỖI_MÃ_VT")</f>
        <v/>
      </c>
      <c r="K1043" s="2">
        <f>I1043*J1043</f>
        <v/>
      </c>
      <c r="L1043" t="inlineStr">
        <is>
          <t>Kích thước vỏ 900.0x200.0x250mm</t>
        </is>
      </c>
    </row>
    <row r="1044">
      <c r="A1044" t="inlineStr">
        <is>
          <t>SW-DAMPER-262-BLADE</t>
        </is>
      </c>
      <c r="B1044" t="inlineStr">
        <is>
          <t>SW-DAMPER-262</t>
        </is>
      </c>
      <c r="C1044" t="inlineStr">
        <is>
          <t>Lá cánh van (2 cánh overlap)</t>
        </is>
      </c>
      <c r="D1044" t="inlineStr">
        <is>
          <t>TÔN_CUỘN_MẠ_KẼM</t>
        </is>
      </c>
      <c r="E1044" t="inlineStr">
        <is>
          <t>MAT-STEEL-PN-0.75</t>
        </is>
      </c>
      <c r="F1044" t="inlineStr">
        <is>
          <t>kg</t>
        </is>
      </c>
      <c r="G1044" s="4" t="n">
        <v>1.373436</v>
      </c>
      <c r="H1044" s="2">
        <f>XLOOKUP(B1044, '00_TONG_HOP_BAO_GIA'!B:B, '00_TONG_HOP_BAO_GIA'!G:G, 1)</f>
        <v/>
      </c>
      <c r="I1044" s="5">
        <f>G1044*H1044</f>
        <v/>
      </c>
      <c r="J1044" s="2">
        <f>XLOOKUP(E1044, '06_BANG_GIA_VAT_TU_AP_DUNG'!B:B, '06_BANG_GIA_VAT_TU_AP_DUNG'!C:C, "LỖI_MÃ_VT")</f>
        <v/>
      </c>
      <c r="K1044" s="2">
        <f>I1044*J1044</f>
        <v/>
      </c>
      <c r="L1044" t="inlineStr">
        <is>
          <t>2 cánh cao 120mm</t>
        </is>
      </c>
    </row>
    <row r="1045">
      <c r="A1045" t="inlineStr">
        <is>
          <t>SW-DAMPER-262-AXLE</t>
        </is>
      </c>
      <c r="B1045" t="inlineStr">
        <is>
          <t>SW-DAMPER-262</t>
        </is>
      </c>
      <c r="C1045" t="inlineStr">
        <is>
          <t>Trục Sus 201 D10</t>
        </is>
      </c>
      <c r="D1045" t="inlineStr">
        <is>
          <t>PHỤ_KIỆN_VAN</t>
        </is>
      </c>
      <c r="E1045" t="inlineStr">
        <is>
          <t>MAT-DAMPER-TRUC-SUS-201-D10</t>
        </is>
      </c>
      <c r="F1045" t="inlineStr">
        <is>
          <t>m</t>
        </is>
      </c>
      <c r="G1045" s="4" t="n">
        <v>1.92</v>
      </c>
      <c r="H1045" s="2">
        <f>XLOOKUP(B1045, '00_TONG_HOP_BAO_GIA'!B:B, '00_TONG_HOP_BAO_GIA'!G:G, 1)</f>
        <v/>
      </c>
      <c r="I1045" s="5">
        <f>G1045*H1045</f>
        <v/>
      </c>
      <c r="J1045" s="2">
        <f>XLOOKUP(E1045, '06_BANG_GIA_VAT_TU_AP_DUNG'!B:B, '06_BANG_GIA_VAT_TU_AP_DUNG'!C:C, "LỖI_MÃ_VT")</f>
        <v/>
      </c>
      <c r="K1045" s="2">
        <f>I1045*J1045</f>
        <v/>
      </c>
      <c r="L1045" t="inlineStr">
        <is>
          <t>2 trục dài 960mm</t>
        </is>
      </c>
    </row>
    <row r="1046">
      <c r="A1046" t="inlineStr">
        <is>
          <t>SW-DAMPER-262-BEARING</t>
        </is>
      </c>
      <c r="B1046" t="inlineStr">
        <is>
          <t>SW-DAMPER-262</t>
        </is>
      </c>
      <c r="C1046" t="inlineStr">
        <is>
          <t>Bạc đồng D10</t>
        </is>
      </c>
      <c r="D1046" t="inlineStr">
        <is>
          <t>PHỤ_KIỆN_VAN</t>
        </is>
      </c>
      <c r="E1046" t="inlineStr">
        <is>
          <t>MAT-DAMPER-BAC-DONG-D10</t>
        </is>
      </c>
      <c r="F1046" t="inlineStr">
        <is>
          <t>Đôi</t>
        </is>
      </c>
      <c r="G1046" s="4" t="n">
        <v>2</v>
      </c>
      <c r="H1046" s="2">
        <f>XLOOKUP(B1046, '00_TONG_HOP_BAO_GIA'!B:B, '00_TONG_HOP_BAO_GIA'!G:G, 1)</f>
        <v/>
      </c>
      <c r="I1046" s="5">
        <f>G1046*H1046</f>
        <v/>
      </c>
      <c r="J1046" s="2">
        <f>XLOOKUP(E1046, '06_BANG_GIA_VAT_TU_AP_DUNG'!B:B, '06_BANG_GIA_VAT_TU_AP_DUNG'!C:C, "LỖI_MÃ_VT")</f>
        <v/>
      </c>
      <c r="K1046" s="2">
        <f>I1046*J1046</f>
        <v/>
      </c>
      <c r="L1046" t="inlineStr">
        <is>
          <t>2 đôi bạc đỡ 2 bên thân</t>
        </is>
      </c>
    </row>
    <row r="1047">
      <c r="A1047" t="inlineStr">
        <is>
          <t>SW-DAMPER-262-GEAR</t>
        </is>
      </c>
      <c r="B1047" t="inlineStr">
        <is>
          <t>SW-DAMPER-262</t>
        </is>
      </c>
      <c r="C1047" t="inlineStr">
        <is>
          <t>Bánh răng van nhôm</t>
        </is>
      </c>
      <c r="D1047" t="inlineStr">
        <is>
          <t>PHỤ_KIỆN_VAN</t>
        </is>
      </c>
      <c r="E1047" t="inlineStr">
        <is>
          <t>MAT-DAMPER-BANH-RANG-VAN-NHOM</t>
        </is>
      </c>
      <c r="F1047" t="inlineStr">
        <is>
          <t>Bộ</t>
        </is>
      </c>
      <c r="G1047" s="4" t="n">
        <v>1</v>
      </c>
      <c r="H1047" s="2">
        <f>XLOOKUP(B1047, '00_TONG_HOP_BAO_GIA'!B:B, '00_TONG_HOP_BAO_GIA'!G:G, 1)</f>
        <v/>
      </c>
      <c r="I1047" s="5">
        <f>G1047*H1047</f>
        <v/>
      </c>
      <c r="J1047" s="2">
        <f>XLOOKUP(E1047, '06_BANG_GIA_VAT_TU_AP_DUNG'!B:B, '06_BANG_GIA_VAT_TU_AP_DUNG'!C:C, "LỖI_MÃ_VT")</f>
        <v/>
      </c>
      <c r="K1047" s="2">
        <f>I1047*J1047</f>
        <v/>
      </c>
      <c r="L1047" t="inlineStr">
        <is>
          <t>Cơ cấu liên động bánh răng van</t>
        </is>
      </c>
    </row>
    <row r="1048">
      <c r="A1048" t="inlineStr">
        <is>
          <t>SW-DAMPER-262-FUSE</t>
        </is>
      </c>
      <c r="B1048" t="inlineStr">
        <is>
          <t>SW-DAMPER-262</t>
        </is>
      </c>
      <c r="C1048" t="inlineStr">
        <is>
          <t>Cầu chì nhiệt nóng chảy 70°C (Elsie/USA)</t>
        </is>
      </c>
      <c r="D1048" t="inlineStr">
        <is>
          <t>PHỤ_KIỆN_VAN</t>
        </is>
      </c>
      <c r="E1048" t="inlineStr">
        <is>
          <t>MAT-DAMPER-CAU-CHI-USA-2-400X400</t>
        </is>
      </c>
      <c r="F1048" t="inlineStr">
        <is>
          <t>Cái</t>
        </is>
      </c>
      <c r="G1048" s="4" t="n">
        <v>1</v>
      </c>
      <c r="H1048" s="2">
        <f>XLOOKUP(B1048, '00_TONG_HOP_BAO_GIA'!B:B, '00_TONG_HOP_BAO_GIA'!G:G, 1)</f>
        <v/>
      </c>
      <c r="I1048" s="5">
        <f>G1048*H1048</f>
        <v/>
      </c>
      <c r="J1048" s="2">
        <f>XLOOKUP(E1048, '06_BANG_GIA_VAT_TU_AP_DUNG'!B:B, '06_BANG_GIA_VAT_TU_AP_DUNG'!C:C, "LỖI_MÃ_VT")</f>
        <v/>
      </c>
      <c r="K1048" s="2">
        <f>I1048*J1048</f>
        <v/>
      </c>
      <c r="L1048" t="inlineStr">
        <is>
          <t>Cầu chì kiểm định PCCC</t>
        </is>
      </c>
    </row>
    <row r="1049">
      <c r="A1049" t="inlineStr">
        <is>
          <t>SW-DAMPER-263-BODY</t>
        </is>
      </c>
      <c r="B1049" t="inlineStr">
        <is>
          <t>SW-DAMPER-263</t>
        </is>
      </c>
      <c r="C1049" t="inlineStr">
        <is>
          <t>Thân vỏ van FD bích TDF (0.95mm)</t>
        </is>
      </c>
      <c r="D1049" t="inlineStr">
        <is>
          <t>TÔN_CUỘN_MẠ_KẼM</t>
        </is>
      </c>
      <c r="E1049" t="inlineStr">
        <is>
          <t>MAT-STEEL-PN-0.95</t>
        </is>
      </c>
      <c r="F1049" t="inlineStr">
        <is>
          <t>kg</t>
        </is>
      </c>
      <c r="G1049" s="4" t="n">
        <v>8.118532800000002</v>
      </c>
      <c r="H1049" s="2">
        <f>XLOOKUP(B1049, '00_TONG_HOP_BAO_GIA'!B:B, '00_TONG_HOP_BAO_GIA'!G:G, 1)</f>
        <v/>
      </c>
      <c r="I1049" s="5">
        <f>G1049*H1049</f>
        <v/>
      </c>
      <c r="J1049" s="2">
        <f>XLOOKUP(E1049, '06_BANG_GIA_VAT_TU_AP_DUNG'!B:B, '06_BANG_GIA_VAT_TU_AP_DUNG'!C:C, "LỖI_MÃ_VT")</f>
        <v/>
      </c>
      <c r="K1049" s="2">
        <f>I1049*J1049</f>
        <v/>
      </c>
      <c r="L1049" t="inlineStr">
        <is>
          <t>Kích thước vỏ 1000.0x600.0x250mm</t>
        </is>
      </c>
    </row>
    <row r="1050">
      <c r="A1050" t="inlineStr">
        <is>
          <t>SW-DAMPER-263-BLADE</t>
        </is>
      </c>
      <c r="B1050" t="inlineStr">
        <is>
          <t>SW-DAMPER-263</t>
        </is>
      </c>
      <c r="C1050" t="inlineStr">
        <is>
          <t>Lá cánh van (4 cánh overlap)</t>
        </is>
      </c>
      <c r="D1050" t="inlineStr">
        <is>
          <t>TÔN_CUỘN_MẠ_KẼM</t>
        </is>
      </c>
      <c r="E1050" t="inlineStr">
        <is>
          <t>MAT-STEEL-PN-0.75</t>
        </is>
      </c>
      <c r="F1050" t="inlineStr">
        <is>
          <t>kg</t>
        </is>
      </c>
      <c r="G1050" s="4" t="n">
        <v>4.32378</v>
      </c>
      <c r="H1050" s="2">
        <f>XLOOKUP(B1050, '00_TONG_HOP_BAO_GIA'!B:B, '00_TONG_HOP_BAO_GIA'!G:G, 1)</f>
        <v/>
      </c>
      <c r="I1050" s="5">
        <f>G1050*H1050</f>
        <v/>
      </c>
      <c r="J1050" s="2">
        <f>XLOOKUP(E1050, '06_BANG_GIA_VAT_TU_AP_DUNG'!B:B, '06_BANG_GIA_VAT_TU_AP_DUNG'!C:C, "LỖI_MÃ_VT")</f>
        <v/>
      </c>
      <c r="K1050" s="2">
        <f>I1050*J1050</f>
        <v/>
      </c>
      <c r="L1050" t="inlineStr">
        <is>
          <t>4 cánh cao 170mm</t>
        </is>
      </c>
    </row>
    <row r="1051">
      <c r="A1051" t="inlineStr">
        <is>
          <t>SW-DAMPER-263-AXLE</t>
        </is>
      </c>
      <c r="B1051" t="inlineStr">
        <is>
          <t>SW-DAMPER-263</t>
        </is>
      </c>
      <c r="C1051" t="inlineStr">
        <is>
          <t>Trục Sus 201 D10</t>
        </is>
      </c>
      <c r="D1051" t="inlineStr">
        <is>
          <t>PHỤ_KIỆN_VAN</t>
        </is>
      </c>
      <c r="E1051" t="inlineStr">
        <is>
          <t>MAT-DAMPER-TRUC-SUS-201-D10</t>
        </is>
      </c>
      <c r="F1051" t="inlineStr">
        <is>
          <t>m</t>
        </is>
      </c>
      <c r="G1051" s="4" t="n">
        <v>4.24</v>
      </c>
      <c r="H1051" s="2">
        <f>XLOOKUP(B1051, '00_TONG_HOP_BAO_GIA'!B:B, '00_TONG_HOP_BAO_GIA'!G:G, 1)</f>
        <v/>
      </c>
      <c r="I1051" s="5">
        <f>G1051*H1051</f>
        <v/>
      </c>
      <c r="J1051" s="2">
        <f>XLOOKUP(E1051, '06_BANG_GIA_VAT_TU_AP_DUNG'!B:B, '06_BANG_GIA_VAT_TU_AP_DUNG'!C:C, "LỖI_MÃ_VT")</f>
        <v/>
      </c>
      <c r="K1051" s="2">
        <f>I1051*J1051</f>
        <v/>
      </c>
      <c r="L1051" t="inlineStr">
        <is>
          <t>4 trục dài 1060mm</t>
        </is>
      </c>
    </row>
    <row r="1052">
      <c r="A1052" t="inlineStr">
        <is>
          <t>SW-DAMPER-263-BEARING</t>
        </is>
      </c>
      <c r="B1052" t="inlineStr">
        <is>
          <t>SW-DAMPER-263</t>
        </is>
      </c>
      <c r="C1052" t="inlineStr">
        <is>
          <t>Bạc đồng D10</t>
        </is>
      </c>
      <c r="D1052" t="inlineStr">
        <is>
          <t>PHỤ_KIỆN_VAN</t>
        </is>
      </c>
      <c r="E1052" t="inlineStr">
        <is>
          <t>MAT-DAMPER-BAC-DONG-D10</t>
        </is>
      </c>
      <c r="F1052" t="inlineStr">
        <is>
          <t>Đôi</t>
        </is>
      </c>
      <c r="G1052" s="4" t="n">
        <v>4</v>
      </c>
      <c r="H1052" s="2">
        <f>XLOOKUP(B1052, '00_TONG_HOP_BAO_GIA'!B:B, '00_TONG_HOP_BAO_GIA'!G:G, 1)</f>
        <v/>
      </c>
      <c r="I1052" s="5">
        <f>G1052*H1052</f>
        <v/>
      </c>
      <c r="J1052" s="2">
        <f>XLOOKUP(E1052, '06_BANG_GIA_VAT_TU_AP_DUNG'!B:B, '06_BANG_GIA_VAT_TU_AP_DUNG'!C:C, "LỖI_MÃ_VT")</f>
        <v/>
      </c>
      <c r="K1052" s="2">
        <f>I1052*J1052</f>
        <v/>
      </c>
      <c r="L1052" t="inlineStr">
        <is>
          <t>4 đôi bạc đỡ 2 bên thân</t>
        </is>
      </c>
    </row>
    <row r="1053">
      <c r="A1053" t="inlineStr">
        <is>
          <t>SW-DAMPER-263-GEAR</t>
        </is>
      </c>
      <c r="B1053" t="inlineStr">
        <is>
          <t>SW-DAMPER-263</t>
        </is>
      </c>
      <c r="C1053" t="inlineStr">
        <is>
          <t>Bánh răng van nhôm</t>
        </is>
      </c>
      <c r="D1053" t="inlineStr">
        <is>
          <t>PHỤ_KIỆN_VAN</t>
        </is>
      </c>
      <c r="E1053" t="inlineStr">
        <is>
          <t>MAT-DAMPER-BANH-RANG-VAN-NHOM</t>
        </is>
      </c>
      <c r="F1053" t="inlineStr">
        <is>
          <t>Bộ</t>
        </is>
      </c>
      <c r="G1053" s="4" t="n">
        <v>1</v>
      </c>
      <c r="H1053" s="2">
        <f>XLOOKUP(B1053, '00_TONG_HOP_BAO_GIA'!B:B, '00_TONG_HOP_BAO_GIA'!G:G, 1)</f>
        <v/>
      </c>
      <c r="I1053" s="5">
        <f>G1053*H1053</f>
        <v/>
      </c>
      <c r="J1053" s="2">
        <f>XLOOKUP(E1053, '06_BANG_GIA_VAT_TU_AP_DUNG'!B:B, '06_BANG_GIA_VAT_TU_AP_DUNG'!C:C, "LỖI_MÃ_VT")</f>
        <v/>
      </c>
      <c r="K1053" s="2">
        <f>I1053*J1053</f>
        <v/>
      </c>
      <c r="L1053" t="inlineStr">
        <is>
          <t>Cơ cấu liên động bánh răng van</t>
        </is>
      </c>
    </row>
    <row r="1054">
      <c r="A1054" t="inlineStr">
        <is>
          <t>SW-DAMPER-263-FUSE</t>
        </is>
      </c>
      <c r="B1054" t="inlineStr">
        <is>
          <t>SW-DAMPER-263</t>
        </is>
      </c>
      <c r="C1054" t="inlineStr">
        <is>
          <t>Cầu chì nhiệt nóng chảy 70°C (Elsie/USA)</t>
        </is>
      </c>
      <c r="D1054" t="inlineStr">
        <is>
          <t>PHỤ_KIỆN_VAN</t>
        </is>
      </c>
      <c r="E1054" t="inlineStr">
        <is>
          <t>MAT-DAMPER-CAU-CHI-USA-2-400X400</t>
        </is>
      </c>
      <c r="F1054" t="inlineStr">
        <is>
          <t>Cái</t>
        </is>
      </c>
      <c r="G1054" s="4" t="n">
        <v>1</v>
      </c>
      <c r="H1054" s="2">
        <f>XLOOKUP(B1054, '00_TONG_HOP_BAO_GIA'!B:B, '00_TONG_HOP_BAO_GIA'!G:G, 1)</f>
        <v/>
      </c>
      <c r="I1054" s="5">
        <f>G1054*H1054</f>
        <v/>
      </c>
      <c r="J1054" s="2">
        <f>XLOOKUP(E1054, '06_BANG_GIA_VAT_TU_AP_DUNG'!B:B, '06_BANG_GIA_VAT_TU_AP_DUNG'!C:C, "LỖI_MÃ_VT")</f>
        <v/>
      </c>
      <c r="K1054" s="2">
        <f>I1054*J1054</f>
        <v/>
      </c>
      <c r="L1054" t="inlineStr">
        <is>
          <t>Cầu chì kiểm định PCCC</t>
        </is>
      </c>
    </row>
    <row r="1055">
      <c r="A1055" t="inlineStr">
        <is>
          <t>SW-DAMPER-264-BODY</t>
        </is>
      </c>
      <c r="B1055" t="inlineStr">
        <is>
          <t>SW-DAMPER-264</t>
        </is>
      </c>
      <c r="C1055" t="inlineStr">
        <is>
          <t>Thân vỏ van FD bích TDF (0.95mm)</t>
        </is>
      </c>
      <c r="D1055" t="inlineStr">
        <is>
          <t>TÔN_CUỘN_MẠ_KẼM</t>
        </is>
      </c>
      <c r="E1055" t="inlineStr">
        <is>
          <t>MAT-STEEL-PN-0.95</t>
        </is>
      </c>
      <c r="F1055" t="inlineStr">
        <is>
          <t>kg</t>
        </is>
      </c>
      <c r="G1055" s="4" t="n">
        <v>9.120820800000001</v>
      </c>
      <c r="H1055" s="2">
        <f>XLOOKUP(B1055, '00_TONG_HOP_BAO_GIA'!B:B, '00_TONG_HOP_BAO_GIA'!G:G, 1)</f>
        <v/>
      </c>
      <c r="I1055" s="5">
        <f>G1055*H1055</f>
        <v/>
      </c>
      <c r="J1055" s="2">
        <f>XLOOKUP(E1055, '06_BANG_GIA_VAT_TU_AP_DUNG'!B:B, '06_BANG_GIA_VAT_TU_AP_DUNG'!C:C, "LỖI_MÃ_VT")</f>
        <v/>
      </c>
      <c r="K1055" s="2">
        <f>I1055*J1055</f>
        <v/>
      </c>
      <c r="L1055" t="inlineStr">
        <is>
          <t>Kích thước vỏ 1000.0x800.0x250mm</t>
        </is>
      </c>
    </row>
    <row r="1056">
      <c r="A1056" t="inlineStr">
        <is>
          <t>SW-DAMPER-264-BLADE</t>
        </is>
      </c>
      <c r="B1056" t="inlineStr">
        <is>
          <t>SW-DAMPER-264</t>
        </is>
      </c>
      <c r="C1056" t="inlineStr">
        <is>
          <t>Lá cánh van (5 cánh overlap)</t>
        </is>
      </c>
      <c r="D1056" t="inlineStr">
        <is>
          <t>TÔN_CUỘN_MẠ_KẼM</t>
        </is>
      </c>
      <c r="E1056" t="inlineStr">
        <is>
          <t>MAT-STEEL-PN-0.75</t>
        </is>
      </c>
      <c r="F1056" t="inlineStr">
        <is>
          <t>kg</t>
        </is>
      </c>
      <c r="G1056" s="4" t="n">
        <v>5.722649999999999</v>
      </c>
      <c r="H1056" s="2">
        <f>XLOOKUP(B1056, '00_TONG_HOP_BAO_GIA'!B:B, '00_TONG_HOP_BAO_GIA'!G:G, 1)</f>
        <v/>
      </c>
      <c r="I1056" s="5">
        <f>G1056*H1056</f>
        <v/>
      </c>
      <c r="J1056" s="2">
        <f>XLOOKUP(E1056, '06_BANG_GIA_VAT_TU_AP_DUNG'!B:B, '06_BANG_GIA_VAT_TU_AP_DUNG'!C:C, "LỖI_MÃ_VT")</f>
        <v/>
      </c>
      <c r="K1056" s="2">
        <f>I1056*J1056</f>
        <v/>
      </c>
      <c r="L1056" t="inlineStr">
        <is>
          <t>5 cánh cao 180mm</t>
        </is>
      </c>
    </row>
    <row r="1057">
      <c r="A1057" t="inlineStr">
        <is>
          <t>SW-DAMPER-264-AXLE</t>
        </is>
      </c>
      <c r="B1057" t="inlineStr">
        <is>
          <t>SW-DAMPER-264</t>
        </is>
      </c>
      <c r="C1057" t="inlineStr">
        <is>
          <t>Trục Sus 201 D10</t>
        </is>
      </c>
      <c r="D1057" t="inlineStr">
        <is>
          <t>PHỤ_KIỆN_VAN</t>
        </is>
      </c>
      <c r="E1057" t="inlineStr">
        <is>
          <t>MAT-DAMPER-TRUC-SUS-201-D10</t>
        </is>
      </c>
      <c r="F1057" t="inlineStr">
        <is>
          <t>m</t>
        </is>
      </c>
      <c r="G1057" s="4" t="n">
        <v>5.300000000000001</v>
      </c>
      <c r="H1057" s="2">
        <f>XLOOKUP(B1057, '00_TONG_HOP_BAO_GIA'!B:B, '00_TONG_HOP_BAO_GIA'!G:G, 1)</f>
        <v/>
      </c>
      <c r="I1057" s="5">
        <f>G1057*H1057</f>
        <v/>
      </c>
      <c r="J1057" s="2">
        <f>XLOOKUP(E1057, '06_BANG_GIA_VAT_TU_AP_DUNG'!B:B, '06_BANG_GIA_VAT_TU_AP_DUNG'!C:C, "LỖI_MÃ_VT")</f>
        <v/>
      </c>
      <c r="K1057" s="2">
        <f>I1057*J1057</f>
        <v/>
      </c>
      <c r="L1057" t="inlineStr">
        <is>
          <t>5 trục dài 1060mm</t>
        </is>
      </c>
    </row>
    <row r="1058">
      <c r="A1058" t="inlineStr">
        <is>
          <t>SW-DAMPER-264-BEARING</t>
        </is>
      </c>
      <c r="B1058" t="inlineStr">
        <is>
          <t>SW-DAMPER-264</t>
        </is>
      </c>
      <c r="C1058" t="inlineStr">
        <is>
          <t>Bạc đồng D10</t>
        </is>
      </c>
      <c r="D1058" t="inlineStr">
        <is>
          <t>PHỤ_KIỆN_VAN</t>
        </is>
      </c>
      <c r="E1058" t="inlineStr">
        <is>
          <t>MAT-DAMPER-BAC-DONG-D10</t>
        </is>
      </c>
      <c r="F1058" t="inlineStr">
        <is>
          <t>Đôi</t>
        </is>
      </c>
      <c r="G1058" s="4" t="n">
        <v>5</v>
      </c>
      <c r="H1058" s="2">
        <f>XLOOKUP(B1058, '00_TONG_HOP_BAO_GIA'!B:B, '00_TONG_HOP_BAO_GIA'!G:G, 1)</f>
        <v/>
      </c>
      <c r="I1058" s="5">
        <f>G1058*H1058</f>
        <v/>
      </c>
      <c r="J1058" s="2">
        <f>XLOOKUP(E1058, '06_BANG_GIA_VAT_TU_AP_DUNG'!B:B, '06_BANG_GIA_VAT_TU_AP_DUNG'!C:C, "LỖI_MÃ_VT")</f>
        <v/>
      </c>
      <c r="K1058" s="2">
        <f>I1058*J1058</f>
        <v/>
      </c>
      <c r="L1058" t="inlineStr">
        <is>
          <t>5 đôi bạc đỡ 2 bên thân</t>
        </is>
      </c>
    </row>
    <row r="1059">
      <c r="A1059" t="inlineStr">
        <is>
          <t>SW-DAMPER-264-GEAR</t>
        </is>
      </c>
      <c r="B1059" t="inlineStr">
        <is>
          <t>SW-DAMPER-264</t>
        </is>
      </c>
      <c r="C1059" t="inlineStr">
        <is>
          <t>Bánh răng van nhôm</t>
        </is>
      </c>
      <c r="D1059" t="inlineStr">
        <is>
          <t>PHỤ_KIỆN_VAN</t>
        </is>
      </c>
      <c r="E1059" t="inlineStr">
        <is>
          <t>MAT-DAMPER-BANH-RANG-VAN-NHOM</t>
        </is>
      </c>
      <c r="F1059" t="inlineStr">
        <is>
          <t>Bộ</t>
        </is>
      </c>
      <c r="G1059" s="4" t="n">
        <v>1</v>
      </c>
      <c r="H1059" s="2">
        <f>XLOOKUP(B1059, '00_TONG_HOP_BAO_GIA'!B:B, '00_TONG_HOP_BAO_GIA'!G:G, 1)</f>
        <v/>
      </c>
      <c r="I1059" s="5">
        <f>G1059*H1059</f>
        <v/>
      </c>
      <c r="J1059" s="2">
        <f>XLOOKUP(E1059, '06_BANG_GIA_VAT_TU_AP_DUNG'!B:B, '06_BANG_GIA_VAT_TU_AP_DUNG'!C:C, "LỖI_MÃ_VT")</f>
        <v/>
      </c>
      <c r="K1059" s="2">
        <f>I1059*J1059</f>
        <v/>
      </c>
      <c r="L1059" t="inlineStr">
        <is>
          <t>Cơ cấu liên động bánh răng van</t>
        </is>
      </c>
    </row>
    <row r="1060">
      <c r="A1060" t="inlineStr">
        <is>
          <t>SW-DAMPER-264-FUSE</t>
        </is>
      </c>
      <c r="B1060" t="inlineStr">
        <is>
          <t>SW-DAMPER-264</t>
        </is>
      </c>
      <c r="C1060" t="inlineStr">
        <is>
          <t>Cầu chì nhiệt nóng chảy 70°C (Elsie/USA)</t>
        </is>
      </c>
      <c r="D1060" t="inlineStr">
        <is>
          <t>PHỤ_KIỆN_VAN</t>
        </is>
      </c>
      <c r="E1060" t="inlineStr">
        <is>
          <t>MAT-DAMPER-CAU-CHI-USA-2-400X400</t>
        </is>
      </c>
      <c r="F1060" t="inlineStr">
        <is>
          <t>Cái</t>
        </is>
      </c>
      <c r="G1060" s="4" t="n">
        <v>1</v>
      </c>
      <c r="H1060" s="2">
        <f>XLOOKUP(B1060, '00_TONG_HOP_BAO_GIA'!B:B, '00_TONG_HOP_BAO_GIA'!G:G, 1)</f>
        <v/>
      </c>
      <c r="I1060" s="5">
        <f>G1060*H1060</f>
        <v/>
      </c>
      <c r="J1060" s="2">
        <f>XLOOKUP(E1060, '06_BANG_GIA_VAT_TU_AP_DUNG'!B:B, '06_BANG_GIA_VAT_TU_AP_DUNG'!C:C, "LỖI_MÃ_VT")</f>
        <v/>
      </c>
      <c r="K1060" s="2">
        <f>I1060*J1060</f>
        <v/>
      </c>
      <c r="L1060" t="inlineStr">
        <is>
          <t>Cầu chì kiểm định PCCC</t>
        </is>
      </c>
    </row>
    <row r="1061">
      <c r="A1061" t="inlineStr">
        <is>
          <t>SW-DAMPER-265-BODY</t>
        </is>
      </c>
      <c r="B1061" t="inlineStr">
        <is>
          <t>SW-DAMPER-265</t>
        </is>
      </c>
      <c r="C1061" t="inlineStr">
        <is>
          <t>Thân vỏ van FD bích TDF (0.95mm)</t>
        </is>
      </c>
      <c r="D1061" t="inlineStr">
        <is>
          <t>TÔN_CUỘN_MẠ_KẼM</t>
        </is>
      </c>
      <c r="E1061" t="inlineStr">
        <is>
          <t>MAT-STEEL-PN-0.95</t>
        </is>
      </c>
      <c r="F1061" t="inlineStr">
        <is>
          <t>kg</t>
        </is>
      </c>
      <c r="G1061" s="4" t="n">
        <v>9.120820800000001</v>
      </c>
      <c r="H1061" s="2">
        <f>XLOOKUP(B1061, '00_TONG_HOP_BAO_GIA'!B:B, '00_TONG_HOP_BAO_GIA'!G:G, 1)</f>
        <v/>
      </c>
      <c r="I1061" s="5">
        <f>G1061*H1061</f>
        <v/>
      </c>
      <c r="J1061" s="2">
        <f>XLOOKUP(E1061, '06_BANG_GIA_VAT_TU_AP_DUNG'!B:B, '06_BANG_GIA_VAT_TU_AP_DUNG'!C:C, "LỖI_MÃ_VT")</f>
        <v/>
      </c>
      <c r="K1061" s="2">
        <f>I1061*J1061</f>
        <v/>
      </c>
      <c r="L1061" t="inlineStr">
        <is>
          <t>Kích thước vỏ 1000.0x800.0x250mm</t>
        </is>
      </c>
    </row>
    <row r="1062">
      <c r="A1062" t="inlineStr">
        <is>
          <t>SW-DAMPER-265-BLADE</t>
        </is>
      </c>
      <c r="B1062" t="inlineStr">
        <is>
          <t>SW-DAMPER-265</t>
        </is>
      </c>
      <c r="C1062" t="inlineStr">
        <is>
          <t>Lá cánh van (5 cánh overlap)</t>
        </is>
      </c>
      <c r="D1062" t="inlineStr">
        <is>
          <t>TÔN_CUỘN_MẠ_KẼM</t>
        </is>
      </c>
      <c r="E1062" t="inlineStr">
        <is>
          <t>MAT-STEEL-PN-0.75</t>
        </is>
      </c>
      <c r="F1062" t="inlineStr">
        <is>
          <t>kg</t>
        </is>
      </c>
      <c r="G1062" s="4" t="n">
        <v>5.722649999999999</v>
      </c>
      <c r="H1062" s="2">
        <f>XLOOKUP(B1062, '00_TONG_HOP_BAO_GIA'!B:B, '00_TONG_HOP_BAO_GIA'!G:G, 1)</f>
        <v/>
      </c>
      <c r="I1062" s="5">
        <f>G1062*H1062</f>
        <v/>
      </c>
      <c r="J1062" s="2">
        <f>XLOOKUP(E1062, '06_BANG_GIA_VAT_TU_AP_DUNG'!B:B, '06_BANG_GIA_VAT_TU_AP_DUNG'!C:C, "LỖI_MÃ_VT")</f>
        <v/>
      </c>
      <c r="K1062" s="2">
        <f>I1062*J1062</f>
        <v/>
      </c>
      <c r="L1062" t="inlineStr">
        <is>
          <t>5 cánh cao 180mm</t>
        </is>
      </c>
    </row>
    <row r="1063">
      <c r="A1063" t="inlineStr">
        <is>
          <t>SW-DAMPER-265-AXLE</t>
        </is>
      </c>
      <c r="B1063" t="inlineStr">
        <is>
          <t>SW-DAMPER-265</t>
        </is>
      </c>
      <c r="C1063" t="inlineStr">
        <is>
          <t>Trục Sus 201 D10</t>
        </is>
      </c>
      <c r="D1063" t="inlineStr">
        <is>
          <t>PHỤ_KIỆN_VAN</t>
        </is>
      </c>
      <c r="E1063" t="inlineStr">
        <is>
          <t>MAT-DAMPER-TRUC-SUS-201-D10</t>
        </is>
      </c>
      <c r="F1063" t="inlineStr">
        <is>
          <t>m</t>
        </is>
      </c>
      <c r="G1063" s="4" t="n">
        <v>5.300000000000001</v>
      </c>
      <c r="H1063" s="2">
        <f>XLOOKUP(B1063, '00_TONG_HOP_BAO_GIA'!B:B, '00_TONG_HOP_BAO_GIA'!G:G, 1)</f>
        <v/>
      </c>
      <c r="I1063" s="5">
        <f>G1063*H1063</f>
        <v/>
      </c>
      <c r="J1063" s="2">
        <f>XLOOKUP(E1063, '06_BANG_GIA_VAT_TU_AP_DUNG'!B:B, '06_BANG_GIA_VAT_TU_AP_DUNG'!C:C, "LỖI_MÃ_VT")</f>
        <v/>
      </c>
      <c r="K1063" s="2">
        <f>I1063*J1063</f>
        <v/>
      </c>
      <c r="L1063" t="inlineStr">
        <is>
          <t>5 trục dài 1060mm</t>
        </is>
      </c>
    </row>
    <row r="1064">
      <c r="A1064" t="inlineStr">
        <is>
          <t>SW-DAMPER-265-BEARING</t>
        </is>
      </c>
      <c r="B1064" t="inlineStr">
        <is>
          <t>SW-DAMPER-265</t>
        </is>
      </c>
      <c r="C1064" t="inlineStr">
        <is>
          <t>Bạc đồng D10</t>
        </is>
      </c>
      <c r="D1064" t="inlineStr">
        <is>
          <t>PHỤ_KIỆN_VAN</t>
        </is>
      </c>
      <c r="E1064" t="inlineStr">
        <is>
          <t>MAT-DAMPER-BAC-DONG-D10</t>
        </is>
      </c>
      <c r="F1064" t="inlineStr">
        <is>
          <t>Đôi</t>
        </is>
      </c>
      <c r="G1064" s="4" t="n">
        <v>5</v>
      </c>
      <c r="H1064" s="2">
        <f>XLOOKUP(B1064, '00_TONG_HOP_BAO_GIA'!B:B, '00_TONG_HOP_BAO_GIA'!G:G, 1)</f>
        <v/>
      </c>
      <c r="I1064" s="5">
        <f>G1064*H1064</f>
        <v/>
      </c>
      <c r="J1064" s="2">
        <f>XLOOKUP(E1064, '06_BANG_GIA_VAT_TU_AP_DUNG'!B:B, '06_BANG_GIA_VAT_TU_AP_DUNG'!C:C, "LỖI_MÃ_VT")</f>
        <v/>
      </c>
      <c r="K1064" s="2">
        <f>I1064*J1064</f>
        <v/>
      </c>
      <c r="L1064" t="inlineStr">
        <is>
          <t>5 đôi bạc đỡ 2 bên thân</t>
        </is>
      </c>
    </row>
    <row r="1065">
      <c r="A1065" t="inlineStr">
        <is>
          <t>SW-DAMPER-265-GEAR</t>
        </is>
      </c>
      <c r="B1065" t="inlineStr">
        <is>
          <t>SW-DAMPER-265</t>
        </is>
      </c>
      <c r="C1065" t="inlineStr">
        <is>
          <t>Bánh răng van nhôm</t>
        </is>
      </c>
      <c r="D1065" t="inlineStr">
        <is>
          <t>PHỤ_KIỆN_VAN</t>
        </is>
      </c>
      <c r="E1065" t="inlineStr">
        <is>
          <t>MAT-DAMPER-BANH-RANG-VAN-NHOM</t>
        </is>
      </c>
      <c r="F1065" t="inlineStr">
        <is>
          <t>Bộ</t>
        </is>
      </c>
      <c r="G1065" s="4" t="n">
        <v>1</v>
      </c>
      <c r="H1065" s="2">
        <f>XLOOKUP(B1065, '00_TONG_HOP_BAO_GIA'!B:B, '00_TONG_HOP_BAO_GIA'!G:G, 1)</f>
        <v/>
      </c>
      <c r="I1065" s="5">
        <f>G1065*H1065</f>
        <v/>
      </c>
      <c r="J1065" s="2">
        <f>XLOOKUP(E1065, '06_BANG_GIA_VAT_TU_AP_DUNG'!B:B, '06_BANG_GIA_VAT_TU_AP_DUNG'!C:C, "LỖI_MÃ_VT")</f>
        <v/>
      </c>
      <c r="K1065" s="2">
        <f>I1065*J1065</f>
        <v/>
      </c>
      <c r="L1065" t="inlineStr">
        <is>
          <t>Cơ cấu liên động bánh răng van</t>
        </is>
      </c>
    </row>
    <row r="1066">
      <c r="A1066" t="inlineStr">
        <is>
          <t>SW-DAMPER-265-FUSE</t>
        </is>
      </c>
      <c r="B1066" t="inlineStr">
        <is>
          <t>SW-DAMPER-265</t>
        </is>
      </c>
      <c r="C1066" t="inlineStr">
        <is>
          <t>Cầu chì nhiệt nóng chảy 70°C (Elsie/USA)</t>
        </is>
      </c>
      <c r="D1066" t="inlineStr">
        <is>
          <t>PHỤ_KIỆN_VAN</t>
        </is>
      </c>
      <c r="E1066" t="inlineStr">
        <is>
          <t>MAT-DAMPER-CAU-CHI-USA-2-400X400</t>
        </is>
      </c>
      <c r="F1066" t="inlineStr">
        <is>
          <t>Cái</t>
        </is>
      </c>
      <c r="G1066" s="4" t="n">
        <v>1</v>
      </c>
      <c r="H1066" s="2">
        <f>XLOOKUP(B1066, '00_TONG_HOP_BAO_GIA'!B:B, '00_TONG_HOP_BAO_GIA'!G:G, 1)</f>
        <v/>
      </c>
      <c r="I1066" s="5">
        <f>G1066*H1066</f>
        <v/>
      </c>
      <c r="J1066" s="2">
        <f>XLOOKUP(E1066, '06_BANG_GIA_VAT_TU_AP_DUNG'!B:B, '06_BANG_GIA_VAT_TU_AP_DUNG'!C:C, "LỖI_MÃ_VT")</f>
        <v/>
      </c>
      <c r="K1066" s="2">
        <f>I1066*J1066</f>
        <v/>
      </c>
      <c r="L1066" t="inlineStr">
        <is>
          <t>Cầu chì kiểm định PCCC</t>
        </is>
      </c>
    </row>
    <row r="1067">
      <c r="A1067" t="inlineStr">
        <is>
          <t>SW-DAMPER-273-BODY</t>
        </is>
      </c>
      <c r="B1067" t="inlineStr">
        <is>
          <t>SW-DAMPER-273</t>
        </is>
      </c>
      <c r="C1067" t="inlineStr">
        <is>
          <t>Thân vỏ van MD bích TDF (0.75mm)</t>
        </is>
      </c>
      <c r="D1067" t="inlineStr">
        <is>
          <t>TÔN_CUỘN_MẠ_KẼM</t>
        </is>
      </c>
      <c r="E1067" t="inlineStr">
        <is>
          <t>MAT-STEEL-PN-0.75</t>
        </is>
      </c>
      <c r="F1067" t="inlineStr">
        <is>
          <t>kg</t>
        </is>
      </c>
      <c r="G1067" s="4" t="n">
        <v>3.184902</v>
      </c>
      <c r="H1067" s="2">
        <f>XLOOKUP(B1067, '00_TONG_HOP_BAO_GIA'!B:B, '00_TONG_HOP_BAO_GIA'!G:G, 1)</f>
        <v/>
      </c>
      <c r="I1067" s="5">
        <f>G1067*H1067</f>
        <v/>
      </c>
      <c r="J1067" s="2">
        <f>XLOOKUP(E1067, '06_BANG_GIA_VAT_TU_AP_DUNG'!B:B, '06_BANG_GIA_VAT_TU_AP_DUNG'!C:C, "LỖI_MÃ_VT")</f>
        <v/>
      </c>
      <c r="K1067" s="2">
        <f>I1067*J1067</f>
        <v/>
      </c>
      <c r="L1067" t="inlineStr">
        <is>
          <t>Kích thước vỏ 600.0x300.0x210mm</t>
        </is>
      </c>
    </row>
    <row r="1068">
      <c r="A1068" t="inlineStr">
        <is>
          <t>SW-DAMPER-273-BLADE</t>
        </is>
      </c>
      <c r="B1068" t="inlineStr">
        <is>
          <t>SW-DAMPER-273</t>
        </is>
      </c>
      <c r="C1068" t="inlineStr">
        <is>
          <t>Lá cánh van (2 cánh overlap)</t>
        </is>
      </c>
      <c r="D1068" t="inlineStr">
        <is>
          <t>TÔN_CUỘN_MẠ_KẼM</t>
        </is>
      </c>
      <c r="E1068" t="inlineStr">
        <is>
          <t>MAT-STEEL-PN-0.75</t>
        </is>
      </c>
      <c r="F1068" t="inlineStr">
        <is>
          <t>kg</t>
        </is>
      </c>
      <c r="G1068" s="4" t="n">
        <v>1.297134</v>
      </c>
      <c r="H1068" s="2">
        <f>XLOOKUP(B1068, '00_TONG_HOP_BAO_GIA'!B:B, '00_TONG_HOP_BAO_GIA'!G:G, 1)</f>
        <v/>
      </c>
      <c r="I1068" s="5">
        <f>G1068*H1068</f>
        <v/>
      </c>
      <c r="J1068" s="2">
        <f>XLOOKUP(E1068, '06_BANG_GIA_VAT_TU_AP_DUNG'!B:B, '06_BANG_GIA_VAT_TU_AP_DUNG'!C:C, "LỖI_MÃ_VT")</f>
        <v/>
      </c>
      <c r="K1068" s="2">
        <f>I1068*J1068</f>
        <v/>
      </c>
      <c r="L1068" t="inlineStr">
        <is>
          <t>2 cánh cao 170mm</t>
        </is>
      </c>
    </row>
    <row r="1069">
      <c r="A1069" t="inlineStr">
        <is>
          <t>SW-DAMPER-273-AXLE</t>
        </is>
      </c>
      <c r="B1069" t="inlineStr">
        <is>
          <t>SW-DAMPER-273</t>
        </is>
      </c>
      <c r="C1069" t="inlineStr">
        <is>
          <t>Trục Sus 201 D10</t>
        </is>
      </c>
      <c r="D1069" t="inlineStr">
        <is>
          <t>PHỤ_KIỆN_VAN</t>
        </is>
      </c>
      <c r="E1069" t="inlineStr">
        <is>
          <t>MAT-DAMPER-TRUC-SUS-201-D10</t>
        </is>
      </c>
      <c r="F1069" t="inlineStr">
        <is>
          <t>m</t>
        </is>
      </c>
      <c r="G1069" s="4" t="n">
        <v>1.32</v>
      </c>
      <c r="H1069" s="2">
        <f>XLOOKUP(B1069, '00_TONG_HOP_BAO_GIA'!B:B, '00_TONG_HOP_BAO_GIA'!G:G, 1)</f>
        <v/>
      </c>
      <c r="I1069" s="5">
        <f>G1069*H1069</f>
        <v/>
      </c>
      <c r="J1069" s="2">
        <f>XLOOKUP(E1069, '06_BANG_GIA_VAT_TU_AP_DUNG'!B:B, '06_BANG_GIA_VAT_TU_AP_DUNG'!C:C, "LỖI_MÃ_VT")</f>
        <v/>
      </c>
      <c r="K1069" s="2">
        <f>I1069*J1069</f>
        <v/>
      </c>
      <c r="L1069" t="inlineStr">
        <is>
          <t>2 trục dài 660mm</t>
        </is>
      </c>
    </row>
    <row r="1070">
      <c r="A1070" t="inlineStr">
        <is>
          <t>SW-DAMPER-273-BEARING</t>
        </is>
      </c>
      <c r="B1070" t="inlineStr">
        <is>
          <t>SW-DAMPER-273</t>
        </is>
      </c>
      <c r="C1070" t="inlineStr">
        <is>
          <t>Bạc đồng D10</t>
        </is>
      </c>
      <c r="D1070" t="inlineStr">
        <is>
          <t>PHỤ_KIỆN_VAN</t>
        </is>
      </c>
      <c r="E1070" t="inlineStr">
        <is>
          <t>MAT-DAMPER-BAC-DONG-D10</t>
        </is>
      </c>
      <c r="F1070" t="inlineStr">
        <is>
          <t>Đôi</t>
        </is>
      </c>
      <c r="G1070" s="4" t="n">
        <v>2</v>
      </c>
      <c r="H1070" s="2">
        <f>XLOOKUP(B1070, '00_TONG_HOP_BAO_GIA'!B:B, '00_TONG_HOP_BAO_GIA'!G:G, 1)</f>
        <v/>
      </c>
      <c r="I1070" s="5">
        <f>G1070*H1070</f>
        <v/>
      </c>
      <c r="J1070" s="2">
        <f>XLOOKUP(E1070, '06_BANG_GIA_VAT_TU_AP_DUNG'!B:B, '06_BANG_GIA_VAT_TU_AP_DUNG'!C:C, "LỖI_MÃ_VT")</f>
        <v/>
      </c>
      <c r="K1070" s="2">
        <f>I1070*J1070</f>
        <v/>
      </c>
      <c r="L1070" t="inlineStr">
        <is>
          <t>2 đôi bạc đỡ 2 bên thân</t>
        </is>
      </c>
    </row>
    <row r="1071">
      <c r="A1071" t="inlineStr">
        <is>
          <t>SW-DAMPER-273-GEAR</t>
        </is>
      </c>
      <c r="B1071" t="inlineStr">
        <is>
          <t>SW-DAMPER-273</t>
        </is>
      </c>
      <c r="C1071" t="inlineStr">
        <is>
          <t>Bánh răng van nhôm</t>
        </is>
      </c>
      <c r="D1071" t="inlineStr">
        <is>
          <t>PHỤ_KIỆN_VAN</t>
        </is>
      </c>
      <c r="E1071" t="inlineStr">
        <is>
          <t>MAT-DAMPER-BANH-RANG-VAN-NHOM</t>
        </is>
      </c>
      <c r="F1071" t="inlineStr">
        <is>
          <t>Bộ</t>
        </is>
      </c>
      <c r="G1071" s="4" t="n">
        <v>1</v>
      </c>
      <c r="H1071" s="2">
        <f>XLOOKUP(B1071, '00_TONG_HOP_BAO_GIA'!B:B, '00_TONG_HOP_BAO_GIA'!G:G, 1)</f>
        <v/>
      </c>
      <c r="I1071" s="5">
        <f>G1071*H1071</f>
        <v/>
      </c>
      <c r="J1071" s="2">
        <f>XLOOKUP(E1071, '06_BANG_GIA_VAT_TU_AP_DUNG'!B:B, '06_BANG_GIA_VAT_TU_AP_DUNG'!C:C, "LỖI_MÃ_VT")</f>
        <v/>
      </c>
      <c r="K1071" s="2">
        <f>I1071*J1071</f>
        <v/>
      </c>
      <c r="L1071" t="inlineStr">
        <is>
          <t>Cơ cấu liên động bánh răng van</t>
        </is>
      </c>
    </row>
    <row r="1072">
      <c r="A1072" t="inlineStr">
        <is>
          <t>SW-DAMPER-273-ACTUATOR</t>
        </is>
      </c>
      <c r="B1072" t="inlineStr">
        <is>
          <t>SW-DAMPER-273</t>
        </is>
      </c>
      <c r="C1072" t="inlineStr">
        <is>
          <t>Model: NACA 2-05 (5Nm, 220VAC)</t>
        </is>
      </c>
      <c r="D1072" t="inlineStr">
        <is>
          <t>ĐỘNG_CƠ_VÀ_CẢM_BIẾN</t>
        </is>
      </c>
      <c r="E1072" t="inlineStr">
        <is>
          <t>MAT-ACTUATOR-NACA-2-05</t>
        </is>
      </c>
      <c r="F1072" t="inlineStr">
        <is>
          <t>Cái</t>
        </is>
      </c>
      <c r="G1072" s="4" t="n">
        <v>1</v>
      </c>
      <c r="H1072" s="2">
        <f>XLOOKUP(B1072, '00_TONG_HOP_BAO_GIA'!B:B, '00_TONG_HOP_BAO_GIA'!G:G, 1)</f>
        <v/>
      </c>
      <c r="I1072" s="5">
        <f>G1072*H1072</f>
        <v/>
      </c>
      <c r="J1072" s="2">
        <f>XLOOKUP(E1072, '06_BANG_GIA_VAT_TU_AP_DUNG'!B:B, '06_BANG_GIA_VAT_TU_AP_DUNG'!C:C, "LỖI_MÃ_VT")</f>
        <v/>
      </c>
      <c r="K1072" s="2">
        <f>I1072*J1072</f>
        <v/>
      </c>
      <c r="L1072" t="inlineStr">
        <is>
          <t>Tiết diện van 0.18m2</t>
        </is>
      </c>
    </row>
    <row r="1073">
      <c r="A1073" t="inlineStr">
        <is>
          <t>SW-DAMPER-274-BODY</t>
        </is>
      </c>
      <c r="B1073" t="inlineStr">
        <is>
          <t>SW-DAMPER-274</t>
        </is>
      </c>
      <c r="C1073" t="inlineStr">
        <is>
          <t>Thân vỏ van MD bích TDF (0.75mm)</t>
        </is>
      </c>
      <c r="D1073" t="inlineStr">
        <is>
          <t>TÔN_CUỘN_MẠ_KẼM</t>
        </is>
      </c>
      <c r="E1073" t="inlineStr">
        <is>
          <t>MAT-STEEL-PN-0.75</t>
        </is>
      </c>
      <c r="F1073" t="inlineStr">
        <is>
          <t>kg</t>
        </is>
      </c>
      <c r="G1073" s="4" t="n">
        <v>3.7041795</v>
      </c>
      <c r="H1073" s="2">
        <f>XLOOKUP(B1073, '00_TONG_HOP_BAO_GIA'!B:B, '00_TONG_HOP_BAO_GIA'!G:G, 1)</f>
        <v/>
      </c>
      <c r="I1073" s="5">
        <f>G1073*H1073</f>
        <v/>
      </c>
      <c r="J1073" s="2">
        <f>XLOOKUP(E1073, '06_BANG_GIA_VAT_TU_AP_DUNG'!B:B, '06_BANG_GIA_VAT_TU_AP_DUNG'!C:C, "LỖI_MÃ_VT")</f>
        <v/>
      </c>
      <c r="K1073" s="2">
        <f>I1073*J1073</f>
        <v/>
      </c>
      <c r="L1073" t="inlineStr">
        <is>
          <t>Kích thước vỏ 600.0x450.0x210mm</t>
        </is>
      </c>
    </row>
    <row r="1074">
      <c r="A1074" t="inlineStr">
        <is>
          <t>SW-DAMPER-274-BLADE</t>
        </is>
      </c>
      <c r="B1074" t="inlineStr">
        <is>
          <t>SW-DAMPER-274</t>
        </is>
      </c>
      <c r="C1074" t="inlineStr">
        <is>
          <t>Lá cánh van (3 cánh overlap)</t>
        </is>
      </c>
      <c r="D1074" t="inlineStr">
        <is>
          <t>TÔN_CUỘN_MẠ_KẼM</t>
        </is>
      </c>
      <c r="E1074" t="inlineStr">
        <is>
          <t>MAT-STEEL-PN-0.75</t>
        </is>
      </c>
      <c r="F1074" t="inlineStr">
        <is>
          <t>kg</t>
        </is>
      </c>
      <c r="G1074" s="4" t="n">
        <v>1.945701</v>
      </c>
      <c r="H1074" s="2">
        <f>XLOOKUP(B1074, '00_TONG_HOP_BAO_GIA'!B:B, '00_TONG_HOP_BAO_GIA'!G:G, 1)</f>
        <v/>
      </c>
      <c r="I1074" s="5">
        <f>G1074*H1074</f>
        <v/>
      </c>
      <c r="J1074" s="2">
        <f>XLOOKUP(E1074, '06_BANG_GIA_VAT_TU_AP_DUNG'!B:B, '06_BANG_GIA_VAT_TU_AP_DUNG'!C:C, "LỖI_MÃ_VT")</f>
        <v/>
      </c>
      <c r="K1074" s="2">
        <f>I1074*J1074</f>
        <v/>
      </c>
      <c r="L1074" t="inlineStr">
        <is>
          <t>3 cánh cao 170mm</t>
        </is>
      </c>
    </row>
    <row r="1075">
      <c r="A1075" t="inlineStr">
        <is>
          <t>SW-DAMPER-274-AXLE</t>
        </is>
      </c>
      <c r="B1075" t="inlineStr">
        <is>
          <t>SW-DAMPER-274</t>
        </is>
      </c>
      <c r="C1075" t="inlineStr">
        <is>
          <t>Trục Sus 201 D10</t>
        </is>
      </c>
      <c r="D1075" t="inlineStr">
        <is>
          <t>PHỤ_KIỆN_VAN</t>
        </is>
      </c>
      <c r="E1075" t="inlineStr">
        <is>
          <t>MAT-DAMPER-TRUC-SUS-201-D10</t>
        </is>
      </c>
      <c r="F1075" t="inlineStr">
        <is>
          <t>m</t>
        </is>
      </c>
      <c r="G1075" s="4" t="n">
        <v>1.98</v>
      </c>
      <c r="H1075" s="2">
        <f>XLOOKUP(B1075, '00_TONG_HOP_BAO_GIA'!B:B, '00_TONG_HOP_BAO_GIA'!G:G, 1)</f>
        <v/>
      </c>
      <c r="I1075" s="5">
        <f>G1075*H1075</f>
        <v/>
      </c>
      <c r="J1075" s="2">
        <f>XLOOKUP(E1075, '06_BANG_GIA_VAT_TU_AP_DUNG'!B:B, '06_BANG_GIA_VAT_TU_AP_DUNG'!C:C, "LỖI_MÃ_VT")</f>
        <v/>
      </c>
      <c r="K1075" s="2">
        <f>I1075*J1075</f>
        <v/>
      </c>
      <c r="L1075" t="inlineStr">
        <is>
          <t>3 trục dài 660mm</t>
        </is>
      </c>
    </row>
    <row r="1076">
      <c r="A1076" t="inlineStr">
        <is>
          <t>SW-DAMPER-274-BEARING</t>
        </is>
      </c>
      <c r="B1076" t="inlineStr">
        <is>
          <t>SW-DAMPER-274</t>
        </is>
      </c>
      <c r="C1076" t="inlineStr">
        <is>
          <t>Bạc đồng D10</t>
        </is>
      </c>
      <c r="D1076" t="inlineStr">
        <is>
          <t>PHỤ_KIỆN_VAN</t>
        </is>
      </c>
      <c r="E1076" t="inlineStr">
        <is>
          <t>MAT-DAMPER-BAC-DONG-D10</t>
        </is>
      </c>
      <c r="F1076" t="inlineStr">
        <is>
          <t>Đôi</t>
        </is>
      </c>
      <c r="G1076" s="4" t="n">
        <v>3</v>
      </c>
      <c r="H1076" s="2">
        <f>XLOOKUP(B1076, '00_TONG_HOP_BAO_GIA'!B:B, '00_TONG_HOP_BAO_GIA'!G:G, 1)</f>
        <v/>
      </c>
      <c r="I1076" s="5">
        <f>G1076*H1076</f>
        <v/>
      </c>
      <c r="J1076" s="2">
        <f>XLOOKUP(E1076, '06_BANG_GIA_VAT_TU_AP_DUNG'!B:B, '06_BANG_GIA_VAT_TU_AP_DUNG'!C:C, "LỖI_MÃ_VT")</f>
        <v/>
      </c>
      <c r="K1076" s="2">
        <f>I1076*J1076</f>
        <v/>
      </c>
      <c r="L1076" t="inlineStr">
        <is>
          <t>3 đôi bạc đỡ 2 bên thân</t>
        </is>
      </c>
    </row>
    <row r="1077">
      <c r="A1077" t="inlineStr">
        <is>
          <t>SW-DAMPER-274-GEAR</t>
        </is>
      </c>
      <c r="B1077" t="inlineStr">
        <is>
          <t>SW-DAMPER-274</t>
        </is>
      </c>
      <c r="C1077" t="inlineStr">
        <is>
          <t>Bánh răng van nhôm</t>
        </is>
      </c>
      <c r="D1077" t="inlineStr">
        <is>
          <t>PHỤ_KIỆN_VAN</t>
        </is>
      </c>
      <c r="E1077" t="inlineStr">
        <is>
          <t>MAT-DAMPER-BANH-RANG-VAN-NHOM</t>
        </is>
      </c>
      <c r="F1077" t="inlineStr">
        <is>
          <t>Bộ</t>
        </is>
      </c>
      <c r="G1077" s="4" t="n">
        <v>1</v>
      </c>
      <c r="H1077" s="2">
        <f>XLOOKUP(B1077, '00_TONG_HOP_BAO_GIA'!B:B, '00_TONG_HOP_BAO_GIA'!G:G, 1)</f>
        <v/>
      </c>
      <c r="I1077" s="5">
        <f>G1077*H1077</f>
        <v/>
      </c>
      <c r="J1077" s="2">
        <f>XLOOKUP(E1077, '06_BANG_GIA_VAT_TU_AP_DUNG'!B:B, '06_BANG_GIA_VAT_TU_AP_DUNG'!C:C, "LỖI_MÃ_VT")</f>
        <v/>
      </c>
      <c r="K1077" s="2">
        <f>I1077*J1077</f>
        <v/>
      </c>
      <c r="L1077" t="inlineStr">
        <is>
          <t>Cơ cấu liên động bánh răng van</t>
        </is>
      </c>
    </row>
    <row r="1078">
      <c r="A1078" t="inlineStr">
        <is>
          <t>SW-DAMPER-274-ACTUATOR</t>
        </is>
      </c>
      <c r="B1078" t="inlineStr">
        <is>
          <t>SW-DAMPER-274</t>
        </is>
      </c>
      <c r="C1078" t="inlineStr">
        <is>
          <t>Model: NACA 2-05 (5Nm, 220VAC)</t>
        </is>
      </c>
      <c r="D1078" t="inlineStr">
        <is>
          <t>ĐỘNG_CƠ_VÀ_CẢM_BIẾN</t>
        </is>
      </c>
      <c r="E1078" t="inlineStr">
        <is>
          <t>MAT-ACTUATOR-NACA-2-05</t>
        </is>
      </c>
      <c r="F1078" t="inlineStr">
        <is>
          <t>Cái</t>
        </is>
      </c>
      <c r="G1078" s="4" t="n">
        <v>1</v>
      </c>
      <c r="H1078" s="2">
        <f>XLOOKUP(B1078, '00_TONG_HOP_BAO_GIA'!B:B, '00_TONG_HOP_BAO_GIA'!G:G, 1)</f>
        <v/>
      </c>
      <c r="I1078" s="5">
        <f>G1078*H1078</f>
        <v/>
      </c>
      <c r="J1078" s="2">
        <f>XLOOKUP(E1078, '06_BANG_GIA_VAT_TU_AP_DUNG'!B:B, '06_BANG_GIA_VAT_TU_AP_DUNG'!C:C, "LỖI_MÃ_VT")</f>
        <v/>
      </c>
      <c r="K1078" s="2">
        <f>I1078*J1078</f>
        <v/>
      </c>
      <c r="L1078" t="inlineStr">
        <is>
          <t>Tiết diện van 0.27m2</t>
        </is>
      </c>
    </row>
    <row r="1079">
      <c r="A1079" t="inlineStr">
        <is>
          <t>SW-DAMPER-275-BODY</t>
        </is>
      </c>
      <c r="B1079" t="inlineStr">
        <is>
          <t>SW-DAMPER-275</t>
        </is>
      </c>
      <c r="C1079" t="inlineStr">
        <is>
          <t>Thân vỏ van MD bích TDF (0.95mm)</t>
        </is>
      </c>
      <c r="D1079" t="inlineStr">
        <is>
          <t>TÔN_CUỘN_MẠ_KẼM</t>
        </is>
      </c>
      <c r="E1079" t="inlineStr">
        <is>
          <t>MAT-STEEL-PN-0.95</t>
        </is>
      </c>
      <c r="F1079" t="inlineStr">
        <is>
          <t>kg</t>
        </is>
      </c>
      <c r="G1079" s="4" t="n">
        <v>6.6652152</v>
      </c>
      <c r="H1079" s="2">
        <f>XLOOKUP(B1079, '00_TONG_HOP_BAO_GIA'!B:B, '00_TONG_HOP_BAO_GIA'!G:G, 1)</f>
        <v/>
      </c>
      <c r="I1079" s="5">
        <f>G1079*H1079</f>
        <v/>
      </c>
      <c r="J1079" s="2">
        <f>XLOOKUP(E1079, '06_BANG_GIA_VAT_TU_AP_DUNG'!B:B, '06_BANG_GIA_VAT_TU_AP_DUNG'!C:C, "LỖI_MÃ_VT")</f>
        <v/>
      </c>
      <c r="K1079" s="2">
        <f>I1079*J1079</f>
        <v/>
      </c>
      <c r="L1079" t="inlineStr">
        <is>
          <t>Kích thước vỏ 1000.0x500.0x210mm</t>
        </is>
      </c>
    </row>
    <row r="1080">
      <c r="A1080" t="inlineStr">
        <is>
          <t>SW-DAMPER-275-BLADE</t>
        </is>
      </c>
      <c r="B1080" t="inlineStr">
        <is>
          <t>SW-DAMPER-275</t>
        </is>
      </c>
      <c r="C1080" t="inlineStr">
        <is>
          <t>Lá cánh van (3 cánh overlap)</t>
        </is>
      </c>
      <c r="D1080" t="inlineStr">
        <is>
          <t>TÔN_CUỘN_MẠ_KẼM</t>
        </is>
      </c>
      <c r="E1080" t="inlineStr">
        <is>
          <t>MAT-STEEL-PN-0.75</t>
        </is>
      </c>
      <c r="F1080" t="inlineStr">
        <is>
          <t>kg</t>
        </is>
      </c>
      <c r="G1080" s="4" t="n">
        <v>3.56076</v>
      </c>
      <c r="H1080" s="2">
        <f>XLOOKUP(B1080, '00_TONG_HOP_BAO_GIA'!B:B, '00_TONG_HOP_BAO_GIA'!G:G, 1)</f>
        <v/>
      </c>
      <c r="I1080" s="5">
        <f>G1080*H1080</f>
        <v/>
      </c>
      <c r="J1080" s="2">
        <f>XLOOKUP(E1080, '06_BANG_GIA_VAT_TU_AP_DUNG'!B:B, '06_BANG_GIA_VAT_TU_AP_DUNG'!C:C, "LỖI_MÃ_VT")</f>
        <v/>
      </c>
      <c r="K1080" s="2">
        <f>I1080*J1080</f>
        <v/>
      </c>
      <c r="L1080" t="inlineStr">
        <is>
          <t>3 cánh cao 187mm</t>
        </is>
      </c>
    </row>
    <row r="1081">
      <c r="A1081" t="inlineStr">
        <is>
          <t>SW-DAMPER-275-AXLE</t>
        </is>
      </c>
      <c r="B1081" t="inlineStr">
        <is>
          <t>SW-DAMPER-275</t>
        </is>
      </c>
      <c r="C1081" t="inlineStr">
        <is>
          <t>Trục Sus 201 D10</t>
        </is>
      </c>
      <c r="D1081" t="inlineStr">
        <is>
          <t>PHỤ_KIỆN_VAN</t>
        </is>
      </c>
      <c r="E1081" t="inlineStr">
        <is>
          <t>MAT-DAMPER-TRUC-SUS-201-D10</t>
        </is>
      </c>
      <c r="F1081" t="inlineStr">
        <is>
          <t>m</t>
        </is>
      </c>
      <c r="G1081" s="4" t="n">
        <v>3.18</v>
      </c>
      <c r="H1081" s="2">
        <f>XLOOKUP(B1081, '00_TONG_HOP_BAO_GIA'!B:B, '00_TONG_HOP_BAO_GIA'!G:G, 1)</f>
        <v/>
      </c>
      <c r="I1081" s="5">
        <f>G1081*H1081</f>
        <v/>
      </c>
      <c r="J1081" s="2">
        <f>XLOOKUP(E1081, '06_BANG_GIA_VAT_TU_AP_DUNG'!B:B, '06_BANG_GIA_VAT_TU_AP_DUNG'!C:C, "LỖI_MÃ_VT")</f>
        <v/>
      </c>
      <c r="K1081" s="2">
        <f>I1081*J1081</f>
        <v/>
      </c>
      <c r="L1081" t="inlineStr">
        <is>
          <t>3 trục dài 1060mm</t>
        </is>
      </c>
    </row>
    <row r="1082">
      <c r="A1082" t="inlineStr">
        <is>
          <t>SW-DAMPER-275-BEARING</t>
        </is>
      </c>
      <c r="B1082" t="inlineStr">
        <is>
          <t>SW-DAMPER-275</t>
        </is>
      </c>
      <c r="C1082" t="inlineStr">
        <is>
          <t>Bạc đồng D10</t>
        </is>
      </c>
      <c r="D1082" t="inlineStr">
        <is>
          <t>PHỤ_KIỆN_VAN</t>
        </is>
      </c>
      <c r="E1082" t="inlineStr">
        <is>
          <t>MAT-DAMPER-BAC-DONG-D10</t>
        </is>
      </c>
      <c r="F1082" t="inlineStr">
        <is>
          <t>Đôi</t>
        </is>
      </c>
      <c r="G1082" s="4" t="n">
        <v>3</v>
      </c>
      <c r="H1082" s="2">
        <f>XLOOKUP(B1082, '00_TONG_HOP_BAO_GIA'!B:B, '00_TONG_HOP_BAO_GIA'!G:G, 1)</f>
        <v/>
      </c>
      <c r="I1082" s="5">
        <f>G1082*H1082</f>
        <v/>
      </c>
      <c r="J1082" s="2">
        <f>XLOOKUP(E1082, '06_BANG_GIA_VAT_TU_AP_DUNG'!B:B, '06_BANG_GIA_VAT_TU_AP_DUNG'!C:C, "LỖI_MÃ_VT")</f>
        <v/>
      </c>
      <c r="K1082" s="2">
        <f>I1082*J1082</f>
        <v/>
      </c>
      <c r="L1082" t="inlineStr">
        <is>
          <t>3 đôi bạc đỡ 2 bên thân</t>
        </is>
      </c>
    </row>
    <row r="1083">
      <c r="A1083" t="inlineStr">
        <is>
          <t>SW-DAMPER-275-GEAR</t>
        </is>
      </c>
      <c r="B1083" t="inlineStr">
        <is>
          <t>SW-DAMPER-275</t>
        </is>
      </c>
      <c r="C1083" t="inlineStr">
        <is>
          <t>Bánh răng van nhôm</t>
        </is>
      </c>
      <c r="D1083" t="inlineStr">
        <is>
          <t>PHỤ_KIỆN_VAN</t>
        </is>
      </c>
      <c r="E1083" t="inlineStr">
        <is>
          <t>MAT-DAMPER-BANH-RANG-VAN-NHOM</t>
        </is>
      </c>
      <c r="F1083" t="inlineStr">
        <is>
          <t>Bộ</t>
        </is>
      </c>
      <c r="G1083" s="4" t="n">
        <v>1</v>
      </c>
      <c r="H1083" s="2">
        <f>XLOOKUP(B1083, '00_TONG_HOP_BAO_GIA'!B:B, '00_TONG_HOP_BAO_GIA'!G:G, 1)</f>
        <v/>
      </c>
      <c r="I1083" s="5">
        <f>G1083*H1083</f>
        <v/>
      </c>
      <c r="J1083" s="2">
        <f>XLOOKUP(E1083, '06_BANG_GIA_VAT_TU_AP_DUNG'!B:B, '06_BANG_GIA_VAT_TU_AP_DUNG'!C:C, "LỖI_MÃ_VT")</f>
        <v/>
      </c>
      <c r="K1083" s="2">
        <f>I1083*J1083</f>
        <v/>
      </c>
      <c r="L1083" t="inlineStr">
        <is>
          <t>Cơ cấu liên động bánh răng van</t>
        </is>
      </c>
    </row>
    <row r="1084">
      <c r="A1084" t="inlineStr">
        <is>
          <t>SW-DAMPER-275-ACTUATOR</t>
        </is>
      </c>
      <c r="B1084" t="inlineStr">
        <is>
          <t>SW-DAMPER-275</t>
        </is>
      </c>
      <c r="C1084" t="inlineStr">
        <is>
          <t>Model: NACA 2-05 (5Nm, 220VAC)</t>
        </is>
      </c>
      <c r="D1084" t="inlineStr">
        <is>
          <t>ĐỘNG_CƠ_VÀ_CẢM_BIẾN</t>
        </is>
      </c>
      <c r="E1084" t="inlineStr">
        <is>
          <t>MAT-ACTUATOR-NACA-2-05</t>
        </is>
      </c>
      <c r="F1084" t="inlineStr">
        <is>
          <t>Cái</t>
        </is>
      </c>
      <c r="G1084" s="4" t="n">
        <v>1</v>
      </c>
      <c r="H1084" s="2">
        <f>XLOOKUP(B1084, '00_TONG_HOP_BAO_GIA'!B:B, '00_TONG_HOP_BAO_GIA'!G:G, 1)</f>
        <v/>
      </c>
      <c r="I1084" s="5">
        <f>G1084*H1084</f>
        <v/>
      </c>
      <c r="J1084" s="2">
        <f>XLOOKUP(E1084, '06_BANG_GIA_VAT_TU_AP_DUNG'!B:B, '06_BANG_GIA_VAT_TU_AP_DUNG'!C:C, "LỖI_MÃ_VT")</f>
        <v/>
      </c>
      <c r="K1084" s="2">
        <f>I1084*J1084</f>
        <v/>
      </c>
      <c r="L1084" t="inlineStr">
        <is>
          <t>Tiết diện van 0.50m2</t>
        </is>
      </c>
    </row>
    <row r="1085">
      <c r="A1085" t="inlineStr">
        <is>
          <t>SW-DAMPER-276-BODY</t>
        </is>
      </c>
      <c r="B1085" t="inlineStr">
        <is>
          <t>SW-DAMPER-276</t>
        </is>
      </c>
      <c r="C1085" t="inlineStr">
        <is>
          <t>Thân vỏ van MD bích TDF (0.95mm)</t>
        </is>
      </c>
      <c r="D1085" t="inlineStr">
        <is>
          <t>TÔN_CUỘN_MẠ_KẼM</t>
        </is>
      </c>
      <c r="E1085" t="inlineStr">
        <is>
          <t>MAT-STEEL-PN-0.95</t>
        </is>
      </c>
      <c r="F1085" t="inlineStr">
        <is>
          <t>kg</t>
        </is>
      </c>
      <c r="G1085" s="4" t="n">
        <v>7.103716200000001</v>
      </c>
      <c r="H1085" s="2">
        <f>XLOOKUP(B1085, '00_TONG_HOP_BAO_GIA'!B:B, '00_TONG_HOP_BAO_GIA'!G:G, 1)</f>
        <v/>
      </c>
      <c r="I1085" s="5">
        <f>G1085*H1085</f>
        <v/>
      </c>
      <c r="J1085" s="2">
        <f>XLOOKUP(E1085, '06_BANG_GIA_VAT_TU_AP_DUNG'!B:B, '06_BANG_GIA_VAT_TU_AP_DUNG'!C:C, "LỖI_MÃ_VT")</f>
        <v/>
      </c>
      <c r="K1085" s="2">
        <f>I1085*J1085</f>
        <v/>
      </c>
      <c r="L1085" t="inlineStr">
        <is>
          <t>Kích thước vỏ 1000.0x600.0x210mm</t>
        </is>
      </c>
    </row>
    <row r="1086">
      <c r="A1086" t="inlineStr">
        <is>
          <t>SW-DAMPER-276-BLADE</t>
        </is>
      </c>
      <c r="B1086" t="inlineStr">
        <is>
          <t>SW-DAMPER-276</t>
        </is>
      </c>
      <c r="C1086" t="inlineStr">
        <is>
          <t>Lá cánh van (4 cánh overlap)</t>
        </is>
      </c>
      <c r="D1086" t="inlineStr">
        <is>
          <t>TÔN_CUỘN_MẠ_KẼM</t>
        </is>
      </c>
      <c r="E1086" t="inlineStr">
        <is>
          <t>MAT-STEEL-PN-0.75</t>
        </is>
      </c>
      <c r="F1086" t="inlineStr">
        <is>
          <t>kg</t>
        </is>
      </c>
      <c r="G1086" s="4" t="n">
        <v>4.32378</v>
      </c>
      <c r="H1086" s="2">
        <f>XLOOKUP(B1086, '00_TONG_HOP_BAO_GIA'!B:B, '00_TONG_HOP_BAO_GIA'!G:G, 1)</f>
        <v/>
      </c>
      <c r="I1086" s="5">
        <f>G1086*H1086</f>
        <v/>
      </c>
      <c r="J1086" s="2">
        <f>XLOOKUP(E1086, '06_BANG_GIA_VAT_TU_AP_DUNG'!B:B, '06_BANG_GIA_VAT_TU_AP_DUNG'!C:C, "LỖI_MÃ_VT")</f>
        <v/>
      </c>
      <c r="K1086" s="2">
        <f>I1086*J1086</f>
        <v/>
      </c>
      <c r="L1086" t="inlineStr">
        <is>
          <t>4 cánh cao 170mm</t>
        </is>
      </c>
    </row>
    <row r="1087">
      <c r="A1087" t="inlineStr">
        <is>
          <t>SW-DAMPER-276-AXLE</t>
        </is>
      </c>
      <c r="B1087" t="inlineStr">
        <is>
          <t>SW-DAMPER-276</t>
        </is>
      </c>
      <c r="C1087" t="inlineStr">
        <is>
          <t>Trục Sus 201 D10</t>
        </is>
      </c>
      <c r="D1087" t="inlineStr">
        <is>
          <t>PHỤ_KIỆN_VAN</t>
        </is>
      </c>
      <c r="E1087" t="inlineStr">
        <is>
          <t>MAT-DAMPER-TRUC-SUS-201-D10</t>
        </is>
      </c>
      <c r="F1087" t="inlineStr">
        <is>
          <t>m</t>
        </is>
      </c>
      <c r="G1087" s="4" t="n">
        <v>4.24</v>
      </c>
      <c r="H1087" s="2">
        <f>XLOOKUP(B1087, '00_TONG_HOP_BAO_GIA'!B:B, '00_TONG_HOP_BAO_GIA'!G:G, 1)</f>
        <v/>
      </c>
      <c r="I1087" s="5">
        <f>G1087*H1087</f>
        <v/>
      </c>
      <c r="J1087" s="2">
        <f>XLOOKUP(E1087, '06_BANG_GIA_VAT_TU_AP_DUNG'!B:B, '06_BANG_GIA_VAT_TU_AP_DUNG'!C:C, "LỖI_MÃ_VT")</f>
        <v/>
      </c>
      <c r="K1087" s="2">
        <f>I1087*J1087</f>
        <v/>
      </c>
      <c r="L1087" t="inlineStr">
        <is>
          <t>4 trục dài 1060mm</t>
        </is>
      </c>
    </row>
    <row r="1088">
      <c r="A1088" t="inlineStr">
        <is>
          <t>SW-DAMPER-276-BEARING</t>
        </is>
      </c>
      <c r="B1088" t="inlineStr">
        <is>
          <t>SW-DAMPER-276</t>
        </is>
      </c>
      <c r="C1088" t="inlineStr">
        <is>
          <t>Bạc đồng D10</t>
        </is>
      </c>
      <c r="D1088" t="inlineStr">
        <is>
          <t>PHỤ_KIỆN_VAN</t>
        </is>
      </c>
      <c r="E1088" t="inlineStr">
        <is>
          <t>MAT-DAMPER-BAC-DONG-D10</t>
        </is>
      </c>
      <c r="F1088" t="inlineStr">
        <is>
          <t>Đôi</t>
        </is>
      </c>
      <c r="G1088" s="4" t="n">
        <v>4</v>
      </c>
      <c r="H1088" s="2">
        <f>XLOOKUP(B1088, '00_TONG_HOP_BAO_GIA'!B:B, '00_TONG_HOP_BAO_GIA'!G:G, 1)</f>
        <v/>
      </c>
      <c r="I1088" s="5">
        <f>G1088*H1088</f>
        <v/>
      </c>
      <c r="J1088" s="2">
        <f>XLOOKUP(E1088, '06_BANG_GIA_VAT_TU_AP_DUNG'!B:B, '06_BANG_GIA_VAT_TU_AP_DUNG'!C:C, "LỖI_MÃ_VT")</f>
        <v/>
      </c>
      <c r="K1088" s="2">
        <f>I1088*J1088</f>
        <v/>
      </c>
      <c r="L1088" t="inlineStr">
        <is>
          <t>4 đôi bạc đỡ 2 bên thân</t>
        </is>
      </c>
    </row>
    <row r="1089">
      <c r="A1089" t="inlineStr">
        <is>
          <t>SW-DAMPER-276-GEAR</t>
        </is>
      </c>
      <c r="B1089" t="inlineStr">
        <is>
          <t>SW-DAMPER-276</t>
        </is>
      </c>
      <c r="C1089" t="inlineStr">
        <is>
          <t>Bánh răng van nhôm</t>
        </is>
      </c>
      <c r="D1089" t="inlineStr">
        <is>
          <t>PHỤ_KIỆN_VAN</t>
        </is>
      </c>
      <c r="E1089" t="inlineStr">
        <is>
          <t>MAT-DAMPER-BANH-RANG-VAN-NHOM</t>
        </is>
      </c>
      <c r="F1089" t="inlineStr">
        <is>
          <t>Bộ</t>
        </is>
      </c>
      <c r="G1089" s="4" t="n">
        <v>1</v>
      </c>
      <c r="H1089" s="2">
        <f>XLOOKUP(B1089, '00_TONG_HOP_BAO_GIA'!B:B, '00_TONG_HOP_BAO_GIA'!G:G, 1)</f>
        <v/>
      </c>
      <c r="I1089" s="5">
        <f>G1089*H1089</f>
        <v/>
      </c>
      <c r="J1089" s="2">
        <f>XLOOKUP(E1089, '06_BANG_GIA_VAT_TU_AP_DUNG'!B:B, '06_BANG_GIA_VAT_TU_AP_DUNG'!C:C, "LỖI_MÃ_VT")</f>
        <v/>
      </c>
      <c r="K1089" s="2">
        <f>I1089*J1089</f>
        <v/>
      </c>
      <c r="L1089" t="inlineStr">
        <is>
          <t>Cơ cấu liên động bánh răng van</t>
        </is>
      </c>
    </row>
    <row r="1090">
      <c r="A1090" t="inlineStr">
        <is>
          <t>SW-DAMPER-276-ACTUATOR</t>
        </is>
      </c>
      <c r="B1090" t="inlineStr">
        <is>
          <t>SW-DAMPER-276</t>
        </is>
      </c>
      <c r="C1090" t="inlineStr">
        <is>
          <t>Model: NACA 2-10 (10Nm, 220VAC)</t>
        </is>
      </c>
      <c r="D1090" t="inlineStr">
        <is>
          <t>ĐỘNG_CƠ_VÀ_CẢM_BIẾN</t>
        </is>
      </c>
      <c r="E1090" t="inlineStr">
        <is>
          <t>MAT-ACTUATOR-NACA-2-10</t>
        </is>
      </c>
      <c r="F1090" t="inlineStr">
        <is>
          <t>Cái</t>
        </is>
      </c>
      <c r="G1090" s="4" t="n">
        <v>1</v>
      </c>
      <c r="H1090" s="2">
        <f>XLOOKUP(B1090, '00_TONG_HOP_BAO_GIA'!B:B, '00_TONG_HOP_BAO_GIA'!G:G, 1)</f>
        <v/>
      </c>
      <c r="I1090" s="5">
        <f>G1090*H1090</f>
        <v/>
      </c>
      <c r="J1090" s="2">
        <f>XLOOKUP(E1090, '06_BANG_GIA_VAT_TU_AP_DUNG'!B:B, '06_BANG_GIA_VAT_TU_AP_DUNG'!C:C, "LỖI_MÃ_VT")</f>
        <v/>
      </c>
      <c r="K1090" s="2">
        <f>I1090*J1090</f>
        <v/>
      </c>
      <c r="L1090" t="inlineStr">
        <is>
          <t>Tiết diện van 0.60m2</t>
        </is>
      </c>
    </row>
    <row r="1091">
      <c r="A1091" t="inlineStr">
        <is>
          <t>SW-DAMPER-277-BODY</t>
        </is>
      </c>
      <c r="B1091" t="inlineStr">
        <is>
          <t>SW-DAMPER-277</t>
        </is>
      </c>
      <c r="C1091" t="inlineStr">
        <is>
          <t>Thân vỏ van MD bích TDF (0.95mm)</t>
        </is>
      </c>
      <c r="D1091" t="inlineStr">
        <is>
          <t>TÔN_CUỘN_MẠ_KẼM</t>
        </is>
      </c>
      <c r="E1091" t="inlineStr">
        <is>
          <t>MAT-STEEL-PN-0.95</t>
        </is>
      </c>
      <c r="F1091" t="inlineStr">
        <is>
          <t>kg</t>
        </is>
      </c>
      <c r="G1091" s="4" t="n">
        <v>9.296221200000002</v>
      </c>
      <c r="H1091" s="2">
        <f>XLOOKUP(B1091, '00_TONG_HOP_BAO_GIA'!B:B, '00_TONG_HOP_BAO_GIA'!G:G, 1)</f>
        <v/>
      </c>
      <c r="I1091" s="5">
        <f>G1091*H1091</f>
        <v/>
      </c>
      <c r="J1091" s="2">
        <f>XLOOKUP(E1091, '06_BANG_GIA_VAT_TU_AP_DUNG'!B:B, '06_BANG_GIA_VAT_TU_AP_DUNG'!C:C, "LỖI_MÃ_VT")</f>
        <v/>
      </c>
      <c r="K1091" s="2">
        <f>I1091*J1091</f>
        <v/>
      </c>
      <c r="L1091" t="inlineStr">
        <is>
          <t>Kích thước vỏ 1200.0x900.0x210mm</t>
        </is>
      </c>
    </row>
    <row r="1092">
      <c r="A1092" t="inlineStr">
        <is>
          <t>SW-DAMPER-277-BLADE</t>
        </is>
      </c>
      <c r="B1092" t="inlineStr">
        <is>
          <t>SW-DAMPER-277</t>
        </is>
      </c>
      <c r="C1092" t="inlineStr">
        <is>
          <t>Lá cánh van (5 cánh overlap)</t>
        </is>
      </c>
      <c r="D1092" t="inlineStr">
        <is>
          <t>TÔN_CUỘN_MẠ_KẼM</t>
        </is>
      </c>
      <c r="E1092" t="inlineStr">
        <is>
          <t>MAT-STEEL-PN-0.75</t>
        </is>
      </c>
      <c r="F1092" t="inlineStr">
        <is>
          <t>kg</t>
        </is>
      </c>
      <c r="G1092" s="4" t="n">
        <v>7.6302</v>
      </c>
      <c r="H1092" s="2">
        <f>XLOOKUP(B1092, '00_TONG_HOP_BAO_GIA'!B:B, '00_TONG_HOP_BAO_GIA'!G:G, 1)</f>
        <v/>
      </c>
      <c r="I1092" s="5">
        <f>G1092*H1092</f>
        <v/>
      </c>
      <c r="J1092" s="2">
        <f>XLOOKUP(E1092, '06_BANG_GIA_VAT_TU_AP_DUNG'!B:B, '06_BANG_GIA_VAT_TU_AP_DUNG'!C:C, "LỖI_MÃ_VT")</f>
        <v/>
      </c>
      <c r="K1092" s="2">
        <f>I1092*J1092</f>
        <v/>
      </c>
      <c r="L1092" t="inlineStr">
        <is>
          <t>5 cánh cao 200mm</t>
        </is>
      </c>
    </row>
    <row r="1093">
      <c r="A1093" t="inlineStr">
        <is>
          <t>SW-DAMPER-277-AXLE</t>
        </is>
      </c>
      <c r="B1093" t="inlineStr">
        <is>
          <t>SW-DAMPER-277</t>
        </is>
      </c>
      <c r="C1093" t="inlineStr">
        <is>
          <t>Trục Sus 201 D10</t>
        </is>
      </c>
      <c r="D1093" t="inlineStr">
        <is>
          <t>PHỤ_KIỆN_VAN</t>
        </is>
      </c>
      <c r="E1093" t="inlineStr">
        <is>
          <t>MAT-DAMPER-TRUC-SUS-201-D10</t>
        </is>
      </c>
      <c r="F1093" t="inlineStr">
        <is>
          <t>m</t>
        </is>
      </c>
      <c r="G1093" s="4" t="n">
        <v>6.3</v>
      </c>
      <c r="H1093" s="2">
        <f>XLOOKUP(B1093, '00_TONG_HOP_BAO_GIA'!B:B, '00_TONG_HOP_BAO_GIA'!G:G, 1)</f>
        <v/>
      </c>
      <c r="I1093" s="5">
        <f>G1093*H1093</f>
        <v/>
      </c>
      <c r="J1093" s="2">
        <f>XLOOKUP(E1093, '06_BANG_GIA_VAT_TU_AP_DUNG'!B:B, '06_BANG_GIA_VAT_TU_AP_DUNG'!C:C, "LỖI_MÃ_VT")</f>
        <v/>
      </c>
      <c r="K1093" s="2">
        <f>I1093*J1093</f>
        <v/>
      </c>
      <c r="L1093" t="inlineStr">
        <is>
          <t>5 trục dài 1260mm</t>
        </is>
      </c>
    </row>
    <row r="1094">
      <c r="A1094" t="inlineStr">
        <is>
          <t>SW-DAMPER-277-BEARING</t>
        </is>
      </c>
      <c r="B1094" t="inlineStr">
        <is>
          <t>SW-DAMPER-277</t>
        </is>
      </c>
      <c r="C1094" t="inlineStr">
        <is>
          <t>Bạc đồng D10</t>
        </is>
      </c>
      <c r="D1094" t="inlineStr">
        <is>
          <t>PHỤ_KIỆN_VAN</t>
        </is>
      </c>
      <c r="E1094" t="inlineStr">
        <is>
          <t>MAT-DAMPER-BAC-DONG-D10</t>
        </is>
      </c>
      <c r="F1094" t="inlineStr">
        <is>
          <t>Đôi</t>
        </is>
      </c>
      <c r="G1094" s="4" t="n">
        <v>5</v>
      </c>
      <c r="H1094" s="2">
        <f>XLOOKUP(B1094, '00_TONG_HOP_BAO_GIA'!B:B, '00_TONG_HOP_BAO_GIA'!G:G, 1)</f>
        <v/>
      </c>
      <c r="I1094" s="5">
        <f>G1094*H1094</f>
        <v/>
      </c>
      <c r="J1094" s="2">
        <f>XLOOKUP(E1094, '06_BANG_GIA_VAT_TU_AP_DUNG'!B:B, '06_BANG_GIA_VAT_TU_AP_DUNG'!C:C, "LỖI_MÃ_VT")</f>
        <v/>
      </c>
      <c r="K1094" s="2">
        <f>I1094*J1094</f>
        <v/>
      </c>
      <c r="L1094" t="inlineStr">
        <is>
          <t>5 đôi bạc đỡ 2 bên thân</t>
        </is>
      </c>
    </row>
    <row r="1095">
      <c r="A1095" t="inlineStr">
        <is>
          <t>SW-DAMPER-277-GEAR</t>
        </is>
      </c>
      <c r="B1095" t="inlineStr">
        <is>
          <t>SW-DAMPER-277</t>
        </is>
      </c>
      <c r="C1095" t="inlineStr">
        <is>
          <t>Bánh răng van nhôm</t>
        </is>
      </c>
      <c r="D1095" t="inlineStr">
        <is>
          <t>PHỤ_KIỆN_VAN</t>
        </is>
      </c>
      <c r="E1095" t="inlineStr">
        <is>
          <t>MAT-DAMPER-BANH-RANG-VAN-NHOM</t>
        </is>
      </c>
      <c r="F1095" t="inlineStr">
        <is>
          <t>Bộ</t>
        </is>
      </c>
      <c r="G1095" s="4" t="n">
        <v>1</v>
      </c>
      <c r="H1095" s="2">
        <f>XLOOKUP(B1095, '00_TONG_HOP_BAO_GIA'!B:B, '00_TONG_HOP_BAO_GIA'!G:G, 1)</f>
        <v/>
      </c>
      <c r="I1095" s="5">
        <f>G1095*H1095</f>
        <v/>
      </c>
      <c r="J1095" s="2">
        <f>XLOOKUP(E1095, '06_BANG_GIA_VAT_TU_AP_DUNG'!B:B, '06_BANG_GIA_VAT_TU_AP_DUNG'!C:C, "LỖI_MÃ_VT")</f>
        <v/>
      </c>
      <c r="K1095" s="2">
        <f>I1095*J1095</f>
        <v/>
      </c>
      <c r="L1095" t="inlineStr">
        <is>
          <t>Cơ cấu liên động bánh răng van</t>
        </is>
      </c>
    </row>
    <row r="1096">
      <c r="A1096" t="inlineStr">
        <is>
          <t>SW-DAMPER-277-ACTUATOR</t>
        </is>
      </c>
      <c r="B1096" t="inlineStr">
        <is>
          <t>SW-DAMPER-277</t>
        </is>
      </c>
      <c r="C1096" t="inlineStr">
        <is>
          <t>Model: NACA 2-20 (20Nm, 220VAC)</t>
        </is>
      </c>
      <c r="D1096" t="inlineStr">
        <is>
          <t>ĐỘNG_CƠ_VÀ_CẢM_BIẾN</t>
        </is>
      </c>
      <c r="E1096" t="inlineStr">
        <is>
          <t>MAT-ACTUATOR-NACA-2-20</t>
        </is>
      </c>
      <c r="F1096" t="inlineStr">
        <is>
          <t>Cái</t>
        </is>
      </c>
      <c r="G1096" s="4" t="n">
        <v>1</v>
      </c>
      <c r="H1096" s="2">
        <f>XLOOKUP(B1096, '00_TONG_HOP_BAO_GIA'!B:B, '00_TONG_HOP_BAO_GIA'!G:G, 1)</f>
        <v/>
      </c>
      <c r="I1096" s="5">
        <f>G1096*H1096</f>
        <v/>
      </c>
      <c r="J1096" s="2">
        <f>XLOOKUP(E1096, '06_BANG_GIA_VAT_TU_AP_DUNG'!B:B, '06_BANG_GIA_VAT_TU_AP_DUNG'!C:C, "LỖI_MÃ_VT")</f>
        <v/>
      </c>
      <c r="K1096" s="2">
        <f>I1096*J1096</f>
        <v/>
      </c>
      <c r="L1096" t="inlineStr">
        <is>
          <t>Tiết diện van 1.08m2</t>
        </is>
      </c>
    </row>
    <row r="1097">
      <c r="A1097" t="inlineStr">
        <is>
          <t>SW-DAMPER-278-BODY</t>
        </is>
      </c>
      <c r="B1097" t="inlineStr">
        <is>
          <t>SW-DAMPER-278</t>
        </is>
      </c>
      <c r="C1097" t="inlineStr">
        <is>
          <t>Thân vỏ van MD bích TDF (0.75mm)</t>
        </is>
      </c>
      <c r="D1097" t="inlineStr">
        <is>
          <t>TÔN_CUỘN_MẠ_KẼM</t>
        </is>
      </c>
      <c r="E1097" t="inlineStr">
        <is>
          <t>MAT-STEEL-PN-0.75</t>
        </is>
      </c>
      <c r="F1097" t="inlineStr">
        <is>
          <t>kg</t>
        </is>
      </c>
      <c r="G1097" s="4" t="n">
        <v>4.223457</v>
      </c>
      <c r="H1097" s="2">
        <f>XLOOKUP(B1097, '00_TONG_HOP_BAO_GIA'!B:B, '00_TONG_HOP_BAO_GIA'!G:G, 1)</f>
        <v/>
      </c>
      <c r="I1097" s="5">
        <f>G1097*H1097</f>
        <v/>
      </c>
      <c r="J1097" s="2">
        <f>XLOOKUP(E1097, '06_BANG_GIA_VAT_TU_AP_DUNG'!B:B, '06_BANG_GIA_VAT_TU_AP_DUNG'!C:C, "LỖI_MÃ_VT")</f>
        <v/>
      </c>
      <c r="K1097" s="2">
        <f>I1097*J1097</f>
        <v/>
      </c>
      <c r="L1097" t="inlineStr">
        <is>
          <t>Kích thước vỏ 600.0x600.0x210mm</t>
        </is>
      </c>
    </row>
    <row r="1098">
      <c r="A1098" t="inlineStr">
        <is>
          <t>SW-DAMPER-278-BLADE</t>
        </is>
      </c>
      <c r="B1098" t="inlineStr">
        <is>
          <t>SW-DAMPER-278</t>
        </is>
      </c>
      <c r="C1098" t="inlineStr">
        <is>
          <t>Lá cánh van (4 cánh overlap)</t>
        </is>
      </c>
      <c r="D1098" t="inlineStr">
        <is>
          <t>TÔN_CUỘN_MẠ_KẼM</t>
        </is>
      </c>
      <c r="E1098" t="inlineStr">
        <is>
          <t>MAT-STEEL-PN-0.75</t>
        </is>
      </c>
      <c r="F1098" t="inlineStr">
        <is>
          <t>kg</t>
        </is>
      </c>
      <c r="G1098" s="4" t="n">
        <v>2.594268</v>
      </c>
      <c r="H1098" s="2">
        <f>XLOOKUP(B1098, '00_TONG_HOP_BAO_GIA'!B:B, '00_TONG_HOP_BAO_GIA'!G:G, 1)</f>
        <v/>
      </c>
      <c r="I1098" s="5">
        <f>G1098*H1098</f>
        <v/>
      </c>
      <c r="J1098" s="2">
        <f>XLOOKUP(E1098, '06_BANG_GIA_VAT_TU_AP_DUNG'!B:B, '06_BANG_GIA_VAT_TU_AP_DUNG'!C:C, "LỖI_MÃ_VT")</f>
        <v/>
      </c>
      <c r="K1098" s="2">
        <f>I1098*J1098</f>
        <v/>
      </c>
      <c r="L1098" t="inlineStr">
        <is>
          <t>4 cánh cao 170mm</t>
        </is>
      </c>
    </row>
    <row r="1099">
      <c r="A1099" t="inlineStr">
        <is>
          <t>SW-DAMPER-278-AXLE</t>
        </is>
      </c>
      <c r="B1099" t="inlineStr">
        <is>
          <t>SW-DAMPER-278</t>
        </is>
      </c>
      <c r="C1099" t="inlineStr">
        <is>
          <t>Trục Sus 201 D10</t>
        </is>
      </c>
      <c r="D1099" t="inlineStr">
        <is>
          <t>PHỤ_KIỆN_VAN</t>
        </is>
      </c>
      <c r="E1099" t="inlineStr">
        <is>
          <t>MAT-DAMPER-TRUC-SUS-201-D10</t>
        </is>
      </c>
      <c r="F1099" t="inlineStr">
        <is>
          <t>m</t>
        </is>
      </c>
      <c r="G1099" s="4" t="n">
        <v>2.64</v>
      </c>
      <c r="H1099" s="2">
        <f>XLOOKUP(B1099, '00_TONG_HOP_BAO_GIA'!B:B, '00_TONG_HOP_BAO_GIA'!G:G, 1)</f>
        <v/>
      </c>
      <c r="I1099" s="5">
        <f>G1099*H1099</f>
        <v/>
      </c>
      <c r="J1099" s="2">
        <f>XLOOKUP(E1099, '06_BANG_GIA_VAT_TU_AP_DUNG'!B:B, '06_BANG_GIA_VAT_TU_AP_DUNG'!C:C, "LỖI_MÃ_VT")</f>
        <v/>
      </c>
      <c r="K1099" s="2">
        <f>I1099*J1099</f>
        <v/>
      </c>
      <c r="L1099" t="inlineStr">
        <is>
          <t>4 trục dài 660mm</t>
        </is>
      </c>
    </row>
    <row r="1100">
      <c r="A1100" t="inlineStr">
        <is>
          <t>SW-DAMPER-278-BEARING</t>
        </is>
      </c>
      <c r="B1100" t="inlineStr">
        <is>
          <t>SW-DAMPER-278</t>
        </is>
      </c>
      <c r="C1100" t="inlineStr">
        <is>
          <t>Bạc đồng D10</t>
        </is>
      </c>
      <c r="D1100" t="inlineStr">
        <is>
          <t>PHỤ_KIỆN_VAN</t>
        </is>
      </c>
      <c r="E1100" t="inlineStr">
        <is>
          <t>MAT-DAMPER-BAC-DONG-D10</t>
        </is>
      </c>
      <c r="F1100" t="inlineStr">
        <is>
          <t>Đôi</t>
        </is>
      </c>
      <c r="G1100" s="4" t="n">
        <v>4</v>
      </c>
      <c r="H1100" s="2">
        <f>XLOOKUP(B1100, '00_TONG_HOP_BAO_GIA'!B:B, '00_TONG_HOP_BAO_GIA'!G:G, 1)</f>
        <v/>
      </c>
      <c r="I1100" s="5">
        <f>G1100*H1100</f>
        <v/>
      </c>
      <c r="J1100" s="2">
        <f>XLOOKUP(E1100, '06_BANG_GIA_VAT_TU_AP_DUNG'!B:B, '06_BANG_GIA_VAT_TU_AP_DUNG'!C:C, "LỖI_MÃ_VT")</f>
        <v/>
      </c>
      <c r="K1100" s="2">
        <f>I1100*J1100</f>
        <v/>
      </c>
      <c r="L1100" t="inlineStr">
        <is>
          <t>4 đôi bạc đỡ 2 bên thân</t>
        </is>
      </c>
    </row>
    <row r="1101">
      <c r="A1101" t="inlineStr">
        <is>
          <t>SW-DAMPER-278-GEAR</t>
        </is>
      </c>
      <c r="B1101" t="inlineStr">
        <is>
          <t>SW-DAMPER-278</t>
        </is>
      </c>
      <c r="C1101" t="inlineStr">
        <is>
          <t>Bánh răng van nhôm</t>
        </is>
      </c>
      <c r="D1101" t="inlineStr">
        <is>
          <t>PHỤ_KIỆN_VAN</t>
        </is>
      </c>
      <c r="E1101" t="inlineStr">
        <is>
          <t>MAT-DAMPER-BANH-RANG-VAN-NHOM</t>
        </is>
      </c>
      <c r="F1101" t="inlineStr">
        <is>
          <t>Bộ</t>
        </is>
      </c>
      <c r="G1101" s="4" t="n">
        <v>1</v>
      </c>
      <c r="H1101" s="2">
        <f>XLOOKUP(B1101, '00_TONG_HOP_BAO_GIA'!B:B, '00_TONG_HOP_BAO_GIA'!G:G, 1)</f>
        <v/>
      </c>
      <c r="I1101" s="5">
        <f>G1101*H1101</f>
        <v/>
      </c>
      <c r="J1101" s="2">
        <f>XLOOKUP(E1101, '06_BANG_GIA_VAT_TU_AP_DUNG'!B:B, '06_BANG_GIA_VAT_TU_AP_DUNG'!C:C, "LỖI_MÃ_VT")</f>
        <v/>
      </c>
      <c r="K1101" s="2">
        <f>I1101*J1101</f>
        <v/>
      </c>
      <c r="L1101" t="inlineStr">
        <is>
          <t>Cơ cấu liên động bánh răng van</t>
        </is>
      </c>
    </row>
    <row r="1102">
      <c r="A1102" t="inlineStr">
        <is>
          <t>SW-DAMPER-278-ACTUATOR</t>
        </is>
      </c>
      <c r="B1102" t="inlineStr">
        <is>
          <t>SW-DAMPER-278</t>
        </is>
      </c>
      <c r="C1102" t="inlineStr">
        <is>
          <t>Model: NACA 2-05 (5Nm, 220VAC)</t>
        </is>
      </c>
      <c r="D1102" t="inlineStr">
        <is>
          <t>ĐỘNG_CƠ_VÀ_CẢM_BIẾN</t>
        </is>
      </c>
      <c r="E1102" t="inlineStr">
        <is>
          <t>MAT-ACTUATOR-NACA-2-05</t>
        </is>
      </c>
      <c r="F1102" t="inlineStr">
        <is>
          <t>Cái</t>
        </is>
      </c>
      <c r="G1102" s="4" t="n">
        <v>1</v>
      </c>
      <c r="H1102" s="2">
        <f>XLOOKUP(B1102, '00_TONG_HOP_BAO_GIA'!B:B, '00_TONG_HOP_BAO_GIA'!G:G, 1)</f>
        <v/>
      </c>
      <c r="I1102" s="5">
        <f>G1102*H1102</f>
        <v/>
      </c>
      <c r="J1102" s="2">
        <f>XLOOKUP(E1102, '06_BANG_GIA_VAT_TU_AP_DUNG'!B:B, '06_BANG_GIA_VAT_TU_AP_DUNG'!C:C, "LỖI_MÃ_VT")</f>
        <v/>
      </c>
      <c r="K1102" s="2">
        <f>I1102*J1102</f>
        <v/>
      </c>
      <c r="L1102" t="inlineStr">
        <is>
          <t>Tiết diện van 0.36m2</t>
        </is>
      </c>
    </row>
    <row r="1103">
      <c r="A1103" t="inlineStr">
        <is>
          <t>SW-DAMPER-279-BODY</t>
        </is>
      </c>
      <c r="B1103" t="inlineStr">
        <is>
          <t>SW-DAMPER-279</t>
        </is>
      </c>
      <c r="C1103" t="inlineStr">
        <is>
          <t>Thân vỏ van MD bích TDF (0.75mm)</t>
        </is>
      </c>
      <c r="D1103" t="inlineStr">
        <is>
          <t>TÔN_CUỘN_MẠ_KẼM</t>
        </is>
      </c>
      <c r="E1103" t="inlineStr">
        <is>
          <t>MAT-STEEL-PN-0.75</t>
        </is>
      </c>
      <c r="F1103" t="inlineStr">
        <is>
          <t>kg</t>
        </is>
      </c>
      <c r="G1103" s="4" t="n">
        <v>5.262012</v>
      </c>
      <c r="H1103" s="2">
        <f>XLOOKUP(B1103, '00_TONG_HOP_BAO_GIA'!B:B, '00_TONG_HOP_BAO_GIA'!G:G, 1)</f>
        <v/>
      </c>
      <c r="I1103" s="5">
        <f>G1103*H1103</f>
        <v/>
      </c>
      <c r="J1103" s="2">
        <f>XLOOKUP(E1103, '06_BANG_GIA_VAT_TU_AP_DUNG'!B:B, '06_BANG_GIA_VAT_TU_AP_DUNG'!C:C, "LỖI_MÃ_VT")</f>
        <v/>
      </c>
      <c r="K1103" s="2">
        <f>I1103*J1103</f>
        <v/>
      </c>
      <c r="L1103" t="inlineStr">
        <is>
          <t>Kích thước vỏ 750.0x750.0x210mm</t>
        </is>
      </c>
    </row>
    <row r="1104">
      <c r="A1104" t="inlineStr">
        <is>
          <t>SW-DAMPER-279-BLADE</t>
        </is>
      </c>
      <c r="B1104" t="inlineStr">
        <is>
          <t>SW-DAMPER-279</t>
        </is>
      </c>
      <c r="C1104" t="inlineStr">
        <is>
          <t>Lá cánh van (5 cánh overlap)</t>
        </is>
      </c>
      <c r="D1104" t="inlineStr">
        <is>
          <t>TÔN_CUỘN_MẠ_KẼM</t>
        </is>
      </c>
      <c r="E1104" t="inlineStr">
        <is>
          <t>MAT-STEEL-PN-0.75</t>
        </is>
      </c>
      <c r="F1104" t="inlineStr">
        <is>
          <t>kg</t>
        </is>
      </c>
      <c r="G1104" s="4" t="n">
        <v>4.05354375</v>
      </c>
      <c r="H1104" s="2">
        <f>XLOOKUP(B1104, '00_TONG_HOP_BAO_GIA'!B:B, '00_TONG_HOP_BAO_GIA'!G:G, 1)</f>
        <v/>
      </c>
      <c r="I1104" s="5">
        <f>G1104*H1104</f>
        <v/>
      </c>
      <c r="J1104" s="2">
        <f>XLOOKUP(E1104, '06_BANG_GIA_VAT_TU_AP_DUNG'!B:B, '06_BANG_GIA_VAT_TU_AP_DUNG'!C:C, "LỖI_MÃ_VT")</f>
        <v/>
      </c>
      <c r="K1104" s="2">
        <f>I1104*J1104</f>
        <v/>
      </c>
      <c r="L1104" t="inlineStr">
        <is>
          <t>5 cánh cao 170mm</t>
        </is>
      </c>
    </row>
    <row r="1105">
      <c r="A1105" t="inlineStr">
        <is>
          <t>SW-DAMPER-279-AXLE</t>
        </is>
      </c>
      <c r="B1105" t="inlineStr">
        <is>
          <t>SW-DAMPER-279</t>
        </is>
      </c>
      <c r="C1105" t="inlineStr">
        <is>
          <t>Trục Sus 201 D10</t>
        </is>
      </c>
      <c r="D1105" t="inlineStr">
        <is>
          <t>PHỤ_KIỆN_VAN</t>
        </is>
      </c>
      <c r="E1105" t="inlineStr">
        <is>
          <t>MAT-DAMPER-TRUC-SUS-201-D10</t>
        </is>
      </c>
      <c r="F1105" t="inlineStr">
        <is>
          <t>m</t>
        </is>
      </c>
      <c r="G1105" s="4" t="n">
        <v>4.050000000000001</v>
      </c>
      <c r="H1105" s="2">
        <f>XLOOKUP(B1105, '00_TONG_HOP_BAO_GIA'!B:B, '00_TONG_HOP_BAO_GIA'!G:G, 1)</f>
        <v/>
      </c>
      <c r="I1105" s="5">
        <f>G1105*H1105</f>
        <v/>
      </c>
      <c r="J1105" s="2">
        <f>XLOOKUP(E1105, '06_BANG_GIA_VAT_TU_AP_DUNG'!B:B, '06_BANG_GIA_VAT_TU_AP_DUNG'!C:C, "LỖI_MÃ_VT")</f>
        <v/>
      </c>
      <c r="K1105" s="2">
        <f>I1105*J1105</f>
        <v/>
      </c>
      <c r="L1105" t="inlineStr">
        <is>
          <t>5 trục dài 810mm</t>
        </is>
      </c>
    </row>
    <row r="1106">
      <c r="A1106" t="inlineStr">
        <is>
          <t>SW-DAMPER-279-BEARING</t>
        </is>
      </c>
      <c r="B1106" t="inlineStr">
        <is>
          <t>SW-DAMPER-279</t>
        </is>
      </c>
      <c r="C1106" t="inlineStr">
        <is>
          <t>Bạc đồng D10</t>
        </is>
      </c>
      <c r="D1106" t="inlineStr">
        <is>
          <t>PHỤ_KIỆN_VAN</t>
        </is>
      </c>
      <c r="E1106" t="inlineStr">
        <is>
          <t>MAT-DAMPER-BAC-DONG-D10</t>
        </is>
      </c>
      <c r="F1106" t="inlineStr">
        <is>
          <t>Đôi</t>
        </is>
      </c>
      <c r="G1106" s="4" t="n">
        <v>5</v>
      </c>
      <c r="H1106" s="2">
        <f>XLOOKUP(B1106, '00_TONG_HOP_BAO_GIA'!B:B, '00_TONG_HOP_BAO_GIA'!G:G, 1)</f>
        <v/>
      </c>
      <c r="I1106" s="5">
        <f>G1106*H1106</f>
        <v/>
      </c>
      <c r="J1106" s="2">
        <f>XLOOKUP(E1106, '06_BANG_GIA_VAT_TU_AP_DUNG'!B:B, '06_BANG_GIA_VAT_TU_AP_DUNG'!C:C, "LỖI_MÃ_VT")</f>
        <v/>
      </c>
      <c r="K1106" s="2">
        <f>I1106*J1106</f>
        <v/>
      </c>
      <c r="L1106" t="inlineStr">
        <is>
          <t>5 đôi bạc đỡ 2 bên thân</t>
        </is>
      </c>
    </row>
    <row r="1107">
      <c r="A1107" t="inlineStr">
        <is>
          <t>SW-DAMPER-279-GEAR</t>
        </is>
      </c>
      <c r="B1107" t="inlineStr">
        <is>
          <t>SW-DAMPER-279</t>
        </is>
      </c>
      <c r="C1107" t="inlineStr">
        <is>
          <t>Bánh răng van nhôm</t>
        </is>
      </c>
      <c r="D1107" t="inlineStr">
        <is>
          <t>PHỤ_KIỆN_VAN</t>
        </is>
      </c>
      <c r="E1107" t="inlineStr">
        <is>
          <t>MAT-DAMPER-BANH-RANG-VAN-NHOM</t>
        </is>
      </c>
      <c r="F1107" t="inlineStr">
        <is>
          <t>Bộ</t>
        </is>
      </c>
      <c r="G1107" s="4" t="n">
        <v>1</v>
      </c>
      <c r="H1107" s="2">
        <f>XLOOKUP(B1107, '00_TONG_HOP_BAO_GIA'!B:B, '00_TONG_HOP_BAO_GIA'!G:G, 1)</f>
        <v/>
      </c>
      <c r="I1107" s="5">
        <f>G1107*H1107</f>
        <v/>
      </c>
      <c r="J1107" s="2">
        <f>XLOOKUP(E1107, '06_BANG_GIA_VAT_TU_AP_DUNG'!B:B, '06_BANG_GIA_VAT_TU_AP_DUNG'!C:C, "LỖI_MÃ_VT")</f>
        <v/>
      </c>
      <c r="K1107" s="2">
        <f>I1107*J1107</f>
        <v/>
      </c>
      <c r="L1107" t="inlineStr">
        <is>
          <t>Cơ cấu liên động bánh răng van</t>
        </is>
      </c>
    </row>
    <row r="1108">
      <c r="A1108" t="inlineStr">
        <is>
          <t>SW-DAMPER-279-ACTUATOR</t>
        </is>
      </c>
      <c r="B1108" t="inlineStr">
        <is>
          <t>SW-DAMPER-279</t>
        </is>
      </c>
      <c r="C1108" t="inlineStr">
        <is>
          <t>Model: NACA 2-10 (10Nm, 220VAC)</t>
        </is>
      </c>
      <c r="D1108" t="inlineStr">
        <is>
          <t>ĐỘNG_CƠ_VÀ_CẢM_BIẾN</t>
        </is>
      </c>
      <c r="E1108" t="inlineStr">
        <is>
          <t>MAT-ACTUATOR-NACA-2-10</t>
        </is>
      </c>
      <c r="F1108" t="inlineStr">
        <is>
          <t>Cái</t>
        </is>
      </c>
      <c r="G1108" s="4" t="n">
        <v>1</v>
      </c>
      <c r="H1108" s="2">
        <f>XLOOKUP(B1108, '00_TONG_HOP_BAO_GIA'!B:B, '00_TONG_HOP_BAO_GIA'!G:G, 1)</f>
        <v/>
      </c>
      <c r="I1108" s="5">
        <f>G1108*H1108</f>
        <v/>
      </c>
      <c r="J1108" s="2">
        <f>XLOOKUP(E1108, '06_BANG_GIA_VAT_TU_AP_DUNG'!B:B, '06_BANG_GIA_VAT_TU_AP_DUNG'!C:C, "LỖI_MÃ_VT")</f>
        <v/>
      </c>
      <c r="K1108" s="2">
        <f>I1108*J1108</f>
        <v/>
      </c>
      <c r="L1108" t="inlineStr">
        <is>
          <t>Tiết diện van 0.56m2</t>
        </is>
      </c>
    </row>
    <row r="1109">
      <c r="A1109" t="inlineStr">
        <is>
          <t>SW-DAMPER-280-BODY</t>
        </is>
      </c>
      <c r="B1109" t="inlineStr">
        <is>
          <t>SW-DAMPER-280</t>
        </is>
      </c>
      <c r="C1109" t="inlineStr">
        <is>
          <t>Thân vỏ van FD bích TDF (0.75mm)</t>
        </is>
      </c>
      <c r="D1109" t="inlineStr">
        <is>
          <t>TÔN_CUỘN_MẠ_KẼM</t>
        </is>
      </c>
      <c r="E1109" t="inlineStr">
        <is>
          <t>MAT-STEEL-PN-0.75</t>
        </is>
      </c>
      <c r="F1109" t="inlineStr">
        <is>
          <t>kg</t>
        </is>
      </c>
      <c r="G1109" s="4" t="n">
        <v>3.442067999999999</v>
      </c>
      <c r="H1109" s="2">
        <f>XLOOKUP(B1109, '00_TONG_HOP_BAO_GIA'!B:B, '00_TONG_HOP_BAO_GIA'!G:G, 1)</f>
        <v/>
      </c>
      <c r="I1109" s="5">
        <f>G1109*H1109</f>
        <v/>
      </c>
      <c r="J1109" s="2">
        <f>XLOOKUP(E1109, '06_BANG_GIA_VAT_TU_AP_DUNG'!B:B, '06_BANG_GIA_VAT_TU_AP_DUNG'!C:C, "LỖI_MÃ_VT")</f>
        <v/>
      </c>
      <c r="K1109" s="2">
        <f>I1109*J1109</f>
        <v/>
      </c>
      <c r="L1109" t="inlineStr">
        <is>
          <t>Kích thước vỏ 600.0x250.0x250mm</t>
        </is>
      </c>
    </row>
    <row r="1110">
      <c r="A1110" t="inlineStr">
        <is>
          <t>SW-DAMPER-280-BLADE</t>
        </is>
      </c>
      <c r="B1110" t="inlineStr">
        <is>
          <t>SW-DAMPER-280</t>
        </is>
      </c>
      <c r="C1110" t="inlineStr">
        <is>
          <t>Lá cánh van (2 cánh overlap)</t>
        </is>
      </c>
      <c r="D1110" t="inlineStr">
        <is>
          <t>TÔN_CUỘN_MẠ_KẼM</t>
        </is>
      </c>
      <c r="E1110" t="inlineStr">
        <is>
          <t>MAT-STEEL-PN-0.75</t>
        </is>
      </c>
      <c r="F1110" t="inlineStr">
        <is>
          <t>kg</t>
        </is>
      </c>
      <c r="G1110" s="4" t="n">
        <v>1.106379</v>
      </c>
      <c r="H1110" s="2">
        <f>XLOOKUP(B1110, '00_TONG_HOP_BAO_GIA'!B:B, '00_TONG_HOP_BAO_GIA'!G:G, 1)</f>
        <v/>
      </c>
      <c r="I1110" s="5">
        <f>G1110*H1110</f>
        <v/>
      </c>
      <c r="J1110" s="2">
        <f>XLOOKUP(E1110, '06_BANG_GIA_VAT_TU_AP_DUNG'!B:B, '06_BANG_GIA_VAT_TU_AP_DUNG'!C:C, "LỖI_MÃ_VT")</f>
        <v/>
      </c>
      <c r="K1110" s="2">
        <f>I1110*J1110</f>
        <v/>
      </c>
      <c r="L1110" t="inlineStr">
        <is>
          <t>2 cánh cao 145mm</t>
        </is>
      </c>
    </row>
    <row r="1111">
      <c r="A1111" t="inlineStr">
        <is>
          <t>SW-DAMPER-280-AXLE</t>
        </is>
      </c>
      <c r="B1111" t="inlineStr">
        <is>
          <t>SW-DAMPER-280</t>
        </is>
      </c>
      <c r="C1111" t="inlineStr">
        <is>
          <t>Trục Sus 201 D10</t>
        </is>
      </c>
      <c r="D1111" t="inlineStr">
        <is>
          <t>PHỤ_KIỆN_VAN</t>
        </is>
      </c>
      <c r="E1111" t="inlineStr">
        <is>
          <t>MAT-DAMPER-TRUC-SUS-201-D10</t>
        </is>
      </c>
      <c r="F1111" t="inlineStr">
        <is>
          <t>m</t>
        </is>
      </c>
      <c r="G1111" s="4" t="n">
        <v>1.32</v>
      </c>
      <c r="H1111" s="2">
        <f>XLOOKUP(B1111, '00_TONG_HOP_BAO_GIA'!B:B, '00_TONG_HOP_BAO_GIA'!G:G, 1)</f>
        <v/>
      </c>
      <c r="I1111" s="5">
        <f>G1111*H1111</f>
        <v/>
      </c>
      <c r="J1111" s="2">
        <f>XLOOKUP(E1111, '06_BANG_GIA_VAT_TU_AP_DUNG'!B:B, '06_BANG_GIA_VAT_TU_AP_DUNG'!C:C, "LỖI_MÃ_VT")</f>
        <v/>
      </c>
      <c r="K1111" s="2">
        <f>I1111*J1111</f>
        <v/>
      </c>
      <c r="L1111" t="inlineStr">
        <is>
          <t>2 trục dài 660mm</t>
        </is>
      </c>
    </row>
    <row r="1112">
      <c r="A1112" t="inlineStr">
        <is>
          <t>SW-DAMPER-280-BEARING</t>
        </is>
      </c>
      <c r="B1112" t="inlineStr">
        <is>
          <t>SW-DAMPER-280</t>
        </is>
      </c>
      <c r="C1112" t="inlineStr">
        <is>
          <t>Bạc đồng D10</t>
        </is>
      </c>
      <c r="D1112" t="inlineStr">
        <is>
          <t>PHỤ_KIỆN_VAN</t>
        </is>
      </c>
      <c r="E1112" t="inlineStr">
        <is>
          <t>MAT-DAMPER-BAC-DONG-D10</t>
        </is>
      </c>
      <c r="F1112" t="inlineStr">
        <is>
          <t>Đôi</t>
        </is>
      </c>
      <c r="G1112" s="4" t="n">
        <v>2</v>
      </c>
      <c r="H1112" s="2">
        <f>XLOOKUP(B1112, '00_TONG_HOP_BAO_GIA'!B:B, '00_TONG_HOP_BAO_GIA'!G:G, 1)</f>
        <v/>
      </c>
      <c r="I1112" s="5">
        <f>G1112*H1112</f>
        <v/>
      </c>
      <c r="J1112" s="2">
        <f>XLOOKUP(E1112, '06_BANG_GIA_VAT_TU_AP_DUNG'!B:B, '06_BANG_GIA_VAT_TU_AP_DUNG'!C:C, "LỖI_MÃ_VT")</f>
        <v/>
      </c>
      <c r="K1112" s="2">
        <f>I1112*J1112</f>
        <v/>
      </c>
      <c r="L1112" t="inlineStr">
        <is>
          <t>2 đôi bạc đỡ 2 bên thân</t>
        </is>
      </c>
    </row>
    <row r="1113">
      <c r="A1113" t="inlineStr">
        <is>
          <t>SW-DAMPER-280-GEAR</t>
        </is>
      </c>
      <c r="B1113" t="inlineStr">
        <is>
          <t>SW-DAMPER-280</t>
        </is>
      </c>
      <c r="C1113" t="inlineStr">
        <is>
          <t>Bánh răng van nhôm</t>
        </is>
      </c>
      <c r="D1113" t="inlineStr">
        <is>
          <t>PHỤ_KIỆN_VAN</t>
        </is>
      </c>
      <c r="E1113" t="inlineStr">
        <is>
          <t>MAT-DAMPER-BANH-RANG-VAN-NHOM</t>
        </is>
      </c>
      <c r="F1113" t="inlineStr">
        <is>
          <t>Bộ</t>
        </is>
      </c>
      <c r="G1113" s="4" t="n">
        <v>1</v>
      </c>
      <c r="H1113" s="2">
        <f>XLOOKUP(B1113, '00_TONG_HOP_BAO_GIA'!B:B, '00_TONG_HOP_BAO_GIA'!G:G, 1)</f>
        <v/>
      </c>
      <c r="I1113" s="5">
        <f>G1113*H1113</f>
        <v/>
      </c>
      <c r="J1113" s="2">
        <f>XLOOKUP(E1113, '06_BANG_GIA_VAT_TU_AP_DUNG'!B:B, '06_BANG_GIA_VAT_TU_AP_DUNG'!C:C, "LỖI_MÃ_VT")</f>
        <v/>
      </c>
      <c r="K1113" s="2">
        <f>I1113*J1113</f>
        <v/>
      </c>
      <c r="L1113" t="inlineStr">
        <is>
          <t>Cơ cấu liên động bánh răng van</t>
        </is>
      </c>
    </row>
    <row r="1114">
      <c r="A1114" t="inlineStr">
        <is>
          <t>SW-DAMPER-280-FUSE</t>
        </is>
      </c>
      <c r="B1114" t="inlineStr">
        <is>
          <t>SW-DAMPER-280</t>
        </is>
      </c>
      <c r="C1114" t="inlineStr">
        <is>
          <t>Cầu chì nhiệt nóng chảy 70°C (Elsie/USA)</t>
        </is>
      </c>
      <c r="D1114" t="inlineStr">
        <is>
          <t>PHỤ_KIỆN_VAN</t>
        </is>
      </c>
      <c r="E1114" t="inlineStr">
        <is>
          <t>MAT-DAMPER-CAU-CHI-USA-2-400X400</t>
        </is>
      </c>
      <c r="F1114" t="inlineStr">
        <is>
          <t>Cái</t>
        </is>
      </c>
      <c r="G1114" s="4" t="n">
        <v>1</v>
      </c>
      <c r="H1114" s="2">
        <f>XLOOKUP(B1114, '00_TONG_HOP_BAO_GIA'!B:B, '00_TONG_HOP_BAO_GIA'!G:G, 1)</f>
        <v/>
      </c>
      <c r="I1114" s="5">
        <f>G1114*H1114</f>
        <v/>
      </c>
      <c r="J1114" s="2">
        <f>XLOOKUP(E1114, '06_BANG_GIA_VAT_TU_AP_DUNG'!B:B, '06_BANG_GIA_VAT_TU_AP_DUNG'!C:C, "LỖI_MÃ_VT")</f>
        <v/>
      </c>
      <c r="K1114" s="2">
        <f>I1114*J1114</f>
        <v/>
      </c>
      <c r="L1114" t="inlineStr">
        <is>
          <t>Cầu chì kiểm định PCCC</t>
        </is>
      </c>
    </row>
    <row r="1115">
      <c r="A1115" t="inlineStr">
        <is>
          <t>SW-DAMPER-281-BODY</t>
        </is>
      </c>
      <c r="B1115" t="inlineStr">
        <is>
          <t>SW-DAMPER-281</t>
        </is>
      </c>
      <c r="C1115" t="inlineStr">
        <is>
          <t>Thân vỏ van FD bích TDF (0.75mm)</t>
        </is>
      </c>
      <c r="D1115" t="inlineStr">
        <is>
          <t>TÔN_CUỘN_MẠ_KẼM</t>
        </is>
      </c>
      <c r="E1115" t="inlineStr">
        <is>
          <t>MAT-STEEL-PN-0.75</t>
        </is>
      </c>
      <c r="F1115" t="inlineStr">
        <is>
          <t>kg</t>
        </is>
      </c>
      <c r="G1115" s="4" t="n">
        <v>3.639888</v>
      </c>
      <c r="H1115" s="2">
        <f>XLOOKUP(B1115, '00_TONG_HOP_BAO_GIA'!B:B, '00_TONG_HOP_BAO_GIA'!G:G, 1)</f>
        <v/>
      </c>
      <c r="I1115" s="5">
        <f>G1115*H1115</f>
        <v/>
      </c>
      <c r="J1115" s="2">
        <f>XLOOKUP(E1115, '06_BANG_GIA_VAT_TU_AP_DUNG'!B:B, '06_BANG_GIA_VAT_TU_AP_DUNG'!C:C, "LỖI_MÃ_VT")</f>
        <v/>
      </c>
      <c r="K1115" s="2">
        <f>I1115*J1115</f>
        <v/>
      </c>
      <c r="L1115" t="inlineStr">
        <is>
          <t>Kích thước vỏ 600.0x300.0x250mm</t>
        </is>
      </c>
    </row>
    <row r="1116">
      <c r="A1116" t="inlineStr">
        <is>
          <t>SW-DAMPER-281-BLADE</t>
        </is>
      </c>
      <c r="B1116" t="inlineStr">
        <is>
          <t>SW-DAMPER-281</t>
        </is>
      </c>
      <c r="C1116" t="inlineStr">
        <is>
          <t>Lá cánh van (2 cánh overlap)</t>
        </is>
      </c>
      <c r="D1116" t="inlineStr">
        <is>
          <t>TÔN_CUỘN_MẠ_KẼM</t>
        </is>
      </c>
      <c r="E1116" t="inlineStr">
        <is>
          <t>MAT-STEEL-PN-0.75</t>
        </is>
      </c>
      <c r="F1116" t="inlineStr">
        <is>
          <t>kg</t>
        </is>
      </c>
      <c r="G1116" s="4" t="n">
        <v>1.297134</v>
      </c>
      <c r="H1116" s="2">
        <f>XLOOKUP(B1116, '00_TONG_HOP_BAO_GIA'!B:B, '00_TONG_HOP_BAO_GIA'!G:G, 1)</f>
        <v/>
      </c>
      <c r="I1116" s="5">
        <f>G1116*H1116</f>
        <v/>
      </c>
      <c r="J1116" s="2">
        <f>XLOOKUP(E1116, '06_BANG_GIA_VAT_TU_AP_DUNG'!B:B, '06_BANG_GIA_VAT_TU_AP_DUNG'!C:C, "LỖI_MÃ_VT")</f>
        <v/>
      </c>
      <c r="K1116" s="2">
        <f>I1116*J1116</f>
        <v/>
      </c>
      <c r="L1116" t="inlineStr">
        <is>
          <t>2 cánh cao 170mm</t>
        </is>
      </c>
    </row>
    <row r="1117">
      <c r="A1117" t="inlineStr">
        <is>
          <t>SW-DAMPER-281-AXLE</t>
        </is>
      </c>
      <c r="B1117" t="inlineStr">
        <is>
          <t>SW-DAMPER-281</t>
        </is>
      </c>
      <c r="C1117" t="inlineStr">
        <is>
          <t>Trục Sus 201 D10</t>
        </is>
      </c>
      <c r="D1117" t="inlineStr">
        <is>
          <t>PHỤ_KIỆN_VAN</t>
        </is>
      </c>
      <c r="E1117" t="inlineStr">
        <is>
          <t>MAT-DAMPER-TRUC-SUS-201-D10</t>
        </is>
      </c>
      <c r="F1117" t="inlineStr">
        <is>
          <t>m</t>
        </is>
      </c>
      <c r="G1117" s="4" t="n">
        <v>1.32</v>
      </c>
      <c r="H1117" s="2">
        <f>XLOOKUP(B1117, '00_TONG_HOP_BAO_GIA'!B:B, '00_TONG_HOP_BAO_GIA'!G:G, 1)</f>
        <v/>
      </c>
      <c r="I1117" s="5">
        <f>G1117*H1117</f>
        <v/>
      </c>
      <c r="J1117" s="2">
        <f>XLOOKUP(E1117, '06_BANG_GIA_VAT_TU_AP_DUNG'!B:B, '06_BANG_GIA_VAT_TU_AP_DUNG'!C:C, "LỖI_MÃ_VT")</f>
        <v/>
      </c>
      <c r="K1117" s="2">
        <f>I1117*J1117</f>
        <v/>
      </c>
      <c r="L1117" t="inlineStr">
        <is>
          <t>2 trục dài 660mm</t>
        </is>
      </c>
    </row>
    <row r="1118">
      <c r="A1118" t="inlineStr">
        <is>
          <t>SW-DAMPER-281-BEARING</t>
        </is>
      </c>
      <c r="B1118" t="inlineStr">
        <is>
          <t>SW-DAMPER-281</t>
        </is>
      </c>
      <c r="C1118" t="inlineStr">
        <is>
          <t>Bạc đồng D10</t>
        </is>
      </c>
      <c r="D1118" t="inlineStr">
        <is>
          <t>PHỤ_KIỆN_VAN</t>
        </is>
      </c>
      <c r="E1118" t="inlineStr">
        <is>
          <t>MAT-DAMPER-BAC-DONG-D10</t>
        </is>
      </c>
      <c r="F1118" t="inlineStr">
        <is>
          <t>Đôi</t>
        </is>
      </c>
      <c r="G1118" s="4" t="n">
        <v>2</v>
      </c>
      <c r="H1118" s="2">
        <f>XLOOKUP(B1118, '00_TONG_HOP_BAO_GIA'!B:B, '00_TONG_HOP_BAO_GIA'!G:G, 1)</f>
        <v/>
      </c>
      <c r="I1118" s="5">
        <f>G1118*H1118</f>
        <v/>
      </c>
      <c r="J1118" s="2">
        <f>XLOOKUP(E1118, '06_BANG_GIA_VAT_TU_AP_DUNG'!B:B, '06_BANG_GIA_VAT_TU_AP_DUNG'!C:C, "LỖI_MÃ_VT")</f>
        <v/>
      </c>
      <c r="K1118" s="2">
        <f>I1118*J1118</f>
        <v/>
      </c>
      <c r="L1118" t="inlineStr">
        <is>
          <t>2 đôi bạc đỡ 2 bên thân</t>
        </is>
      </c>
    </row>
    <row r="1119">
      <c r="A1119" t="inlineStr">
        <is>
          <t>SW-DAMPER-281-GEAR</t>
        </is>
      </c>
      <c r="B1119" t="inlineStr">
        <is>
          <t>SW-DAMPER-281</t>
        </is>
      </c>
      <c r="C1119" t="inlineStr">
        <is>
          <t>Bánh răng van nhôm</t>
        </is>
      </c>
      <c r="D1119" t="inlineStr">
        <is>
          <t>PHỤ_KIỆN_VAN</t>
        </is>
      </c>
      <c r="E1119" t="inlineStr">
        <is>
          <t>MAT-DAMPER-BANH-RANG-VAN-NHOM</t>
        </is>
      </c>
      <c r="F1119" t="inlineStr">
        <is>
          <t>Bộ</t>
        </is>
      </c>
      <c r="G1119" s="4" t="n">
        <v>1</v>
      </c>
      <c r="H1119" s="2">
        <f>XLOOKUP(B1119, '00_TONG_HOP_BAO_GIA'!B:B, '00_TONG_HOP_BAO_GIA'!G:G, 1)</f>
        <v/>
      </c>
      <c r="I1119" s="5">
        <f>G1119*H1119</f>
        <v/>
      </c>
      <c r="J1119" s="2">
        <f>XLOOKUP(E1119, '06_BANG_GIA_VAT_TU_AP_DUNG'!B:B, '06_BANG_GIA_VAT_TU_AP_DUNG'!C:C, "LỖI_MÃ_VT")</f>
        <v/>
      </c>
      <c r="K1119" s="2">
        <f>I1119*J1119</f>
        <v/>
      </c>
      <c r="L1119" t="inlineStr">
        <is>
          <t>Cơ cấu liên động bánh răng van</t>
        </is>
      </c>
    </row>
    <row r="1120">
      <c r="A1120" t="inlineStr">
        <is>
          <t>SW-DAMPER-281-FUSE</t>
        </is>
      </c>
      <c r="B1120" t="inlineStr">
        <is>
          <t>SW-DAMPER-281</t>
        </is>
      </c>
      <c r="C1120" t="inlineStr">
        <is>
          <t>Cầu chì nhiệt nóng chảy 70°C (Elsie/USA)</t>
        </is>
      </c>
      <c r="D1120" t="inlineStr">
        <is>
          <t>PHỤ_KIỆN_VAN</t>
        </is>
      </c>
      <c r="E1120" t="inlineStr">
        <is>
          <t>MAT-DAMPER-CAU-CHI-USA-2-400X400</t>
        </is>
      </c>
      <c r="F1120" t="inlineStr">
        <is>
          <t>Cái</t>
        </is>
      </c>
      <c r="G1120" s="4" t="n">
        <v>1</v>
      </c>
      <c r="H1120" s="2">
        <f>XLOOKUP(B1120, '00_TONG_HOP_BAO_GIA'!B:B, '00_TONG_HOP_BAO_GIA'!G:G, 1)</f>
        <v/>
      </c>
      <c r="I1120" s="5">
        <f>G1120*H1120</f>
        <v/>
      </c>
      <c r="J1120" s="2">
        <f>XLOOKUP(E1120, '06_BANG_GIA_VAT_TU_AP_DUNG'!B:B, '06_BANG_GIA_VAT_TU_AP_DUNG'!C:C, "LỖI_MÃ_VT")</f>
        <v/>
      </c>
      <c r="K1120" s="2">
        <f>I1120*J1120</f>
        <v/>
      </c>
      <c r="L1120" t="inlineStr">
        <is>
          <t>Cầu chì kiểm định PCCC</t>
        </is>
      </c>
    </row>
    <row r="1121">
      <c r="A1121" t="inlineStr">
        <is>
          <t>SW-DAMPER-282-BODY</t>
        </is>
      </c>
      <c r="B1121" t="inlineStr">
        <is>
          <t>SW-DAMPER-282</t>
        </is>
      </c>
      <c r="C1121" t="inlineStr">
        <is>
          <t>Thân vỏ van FD bích TDF (0.75mm)</t>
        </is>
      </c>
      <c r="D1121" t="inlineStr">
        <is>
          <t>TÔN_CUỘN_MẠ_KẼM</t>
        </is>
      </c>
      <c r="E1121" t="inlineStr">
        <is>
          <t>MAT-STEEL-PN-0.75</t>
        </is>
      </c>
      <c r="F1121" t="inlineStr">
        <is>
          <t>kg</t>
        </is>
      </c>
      <c r="G1121" s="4" t="n">
        <v>3.639888</v>
      </c>
      <c r="H1121" s="2">
        <f>XLOOKUP(B1121, '00_TONG_HOP_BAO_GIA'!B:B, '00_TONG_HOP_BAO_GIA'!G:G, 1)</f>
        <v/>
      </c>
      <c r="I1121" s="5">
        <f>G1121*H1121</f>
        <v/>
      </c>
      <c r="J1121" s="2">
        <f>XLOOKUP(E1121, '06_BANG_GIA_VAT_TU_AP_DUNG'!B:B, '06_BANG_GIA_VAT_TU_AP_DUNG'!C:C, "LỖI_MÃ_VT")</f>
        <v/>
      </c>
      <c r="K1121" s="2">
        <f>I1121*J1121</f>
        <v/>
      </c>
      <c r="L1121" t="inlineStr">
        <is>
          <t>Kích thước vỏ 600.0x300.0x250mm</t>
        </is>
      </c>
    </row>
    <row r="1122">
      <c r="A1122" t="inlineStr">
        <is>
          <t>SW-DAMPER-282-BLADE</t>
        </is>
      </c>
      <c r="B1122" t="inlineStr">
        <is>
          <t>SW-DAMPER-282</t>
        </is>
      </c>
      <c r="C1122" t="inlineStr">
        <is>
          <t>Lá cánh van (2 cánh overlap)</t>
        </is>
      </c>
      <c r="D1122" t="inlineStr">
        <is>
          <t>TÔN_CUỘN_MẠ_KẼM</t>
        </is>
      </c>
      <c r="E1122" t="inlineStr">
        <is>
          <t>MAT-STEEL-PN-0.75</t>
        </is>
      </c>
      <c r="F1122" t="inlineStr">
        <is>
          <t>kg</t>
        </is>
      </c>
      <c r="G1122" s="4" t="n">
        <v>1.297134</v>
      </c>
      <c r="H1122" s="2">
        <f>XLOOKUP(B1122, '00_TONG_HOP_BAO_GIA'!B:B, '00_TONG_HOP_BAO_GIA'!G:G, 1)</f>
        <v/>
      </c>
      <c r="I1122" s="5">
        <f>G1122*H1122</f>
        <v/>
      </c>
      <c r="J1122" s="2">
        <f>XLOOKUP(E1122, '06_BANG_GIA_VAT_TU_AP_DUNG'!B:B, '06_BANG_GIA_VAT_TU_AP_DUNG'!C:C, "LỖI_MÃ_VT")</f>
        <v/>
      </c>
      <c r="K1122" s="2">
        <f>I1122*J1122</f>
        <v/>
      </c>
      <c r="L1122" t="inlineStr">
        <is>
          <t>2 cánh cao 170mm</t>
        </is>
      </c>
    </row>
    <row r="1123">
      <c r="A1123" t="inlineStr">
        <is>
          <t>SW-DAMPER-282-AXLE</t>
        </is>
      </c>
      <c r="B1123" t="inlineStr">
        <is>
          <t>SW-DAMPER-282</t>
        </is>
      </c>
      <c r="C1123" t="inlineStr">
        <is>
          <t>Trục Sus 201 D10</t>
        </is>
      </c>
      <c r="D1123" t="inlineStr">
        <is>
          <t>PHỤ_KIỆN_VAN</t>
        </is>
      </c>
      <c r="E1123" t="inlineStr">
        <is>
          <t>MAT-DAMPER-TRUC-SUS-201-D10</t>
        </is>
      </c>
      <c r="F1123" t="inlineStr">
        <is>
          <t>m</t>
        </is>
      </c>
      <c r="G1123" s="4" t="n">
        <v>1.32</v>
      </c>
      <c r="H1123" s="2">
        <f>XLOOKUP(B1123, '00_TONG_HOP_BAO_GIA'!B:B, '00_TONG_HOP_BAO_GIA'!G:G, 1)</f>
        <v/>
      </c>
      <c r="I1123" s="5">
        <f>G1123*H1123</f>
        <v/>
      </c>
      <c r="J1123" s="2">
        <f>XLOOKUP(E1123, '06_BANG_GIA_VAT_TU_AP_DUNG'!B:B, '06_BANG_GIA_VAT_TU_AP_DUNG'!C:C, "LỖI_MÃ_VT")</f>
        <v/>
      </c>
      <c r="K1123" s="2">
        <f>I1123*J1123</f>
        <v/>
      </c>
      <c r="L1123" t="inlineStr">
        <is>
          <t>2 trục dài 660mm</t>
        </is>
      </c>
    </row>
    <row r="1124">
      <c r="A1124" t="inlineStr">
        <is>
          <t>SW-DAMPER-282-BEARING</t>
        </is>
      </c>
      <c r="B1124" t="inlineStr">
        <is>
          <t>SW-DAMPER-282</t>
        </is>
      </c>
      <c r="C1124" t="inlineStr">
        <is>
          <t>Bạc đồng D10</t>
        </is>
      </c>
      <c r="D1124" t="inlineStr">
        <is>
          <t>PHỤ_KIỆN_VAN</t>
        </is>
      </c>
      <c r="E1124" t="inlineStr">
        <is>
          <t>MAT-DAMPER-BAC-DONG-D10</t>
        </is>
      </c>
      <c r="F1124" t="inlineStr">
        <is>
          <t>Đôi</t>
        </is>
      </c>
      <c r="G1124" s="4" t="n">
        <v>2</v>
      </c>
      <c r="H1124" s="2">
        <f>XLOOKUP(B1124, '00_TONG_HOP_BAO_GIA'!B:B, '00_TONG_HOP_BAO_GIA'!G:G, 1)</f>
        <v/>
      </c>
      <c r="I1124" s="5">
        <f>G1124*H1124</f>
        <v/>
      </c>
      <c r="J1124" s="2">
        <f>XLOOKUP(E1124, '06_BANG_GIA_VAT_TU_AP_DUNG'!B:B, '06_BANG_GIA_VAT_TU_AP_DUNG'!C:C, "LỖI_MÃ_VT")</f>
        <v/>
      </c>
      <c r="K1124" s="2">
        <f>I1124*J1124</f>
        <v/>
      </c>
      <c r="L1124" t="inlineStr">
        <is>
          <t>2 đôi bạc đỡ 2 bên thân</t>
        </is>
      </c>
    </row>
    <row r="1125">
      <c r="A1125" t="inlineStr">
        <is>
          <t>SW-DAMPER-282-GEAR</t>
        </is>
      </c>
      <c r="B1125" t="inlineStr">
        <is>
          <t>SW-DAMPER-282</t>
        </is>
      </c>
      <c r="C1125" t="inlineStr">
        <is>
          <t>Bánh răng van nhôm</t>
        </is>
      </c>
      <c r="D1125" t="inlineStr">
        <is>
          <t>PHỤ_KIỆN_VAN</t>
        </is>
      </c>
      <c r="E1125" t="inlineStr">
        <is>
          <t>MAT-DAMPER-BANH-RANG-VAN-NHOM</t>
        </is>
      </c>
      <c r="F1125" t="inlineStr">
        <is>
          <t>Bộ</t>
        </is>
      </c>
      <c r="G1125" s="4" t="n">
        <v>1</v>
      </c>
      <c r="H1125" s="2">
        <f>XLOOKUP(B1125, '00_TONG_HOP_BAO_GIA'!B:B, '00_TONG_HOP_BAO_GIA'!G:G, 1)</f>
        <v/>
      </c>
      <c r="I1125" s="5">
        <f>G1125*H1125</f>
        <v/>
      </c>
      <c r="J1125" s="2">
        <f>XLOOKUP(E1125, '06_BANG_GIA_VAT_TU_AP_DUNG'!B:B, '06_BANG_GIA_VAT_TU_AP_DUNG'!C:C, "LỖI_MÃ_VT")</f>
        <v/>
      </c>
      <c r="K1125" s="2">
        <f>I1125*J1125</f>
        <v/>
      </c>
      <c r="L1125" t="inlineStr">
        <is>
          <t>Cơ cấu liên động bánh răng van</t>
        </is>
      </c>
    </row>
    <row r="1126">
      <c r="A1126" t="inlineStr">
        <is>
          <t>SW-DAMPER-282-FUSE</t>
        </is>
      </c>
      <c r="B1126" t="inlineStr">
        <is>
          <t>SW-DAMPER-282</t>
        </is>
      </c>
      <c r="C1126" t="inlineStr">
        <is>
          <t>Cầu chì nhiệt nóng chảy 70°C (Elsie/USA)</t>
        </is>
      </c>
      <c r="D1126" t="inlineStr">
        <is>
          <t>PHỤ_KIỆN_VAN</t>
        </is>
      </c>
      <c r="E1126" t="inlineStr">
        <is>
          <t>MAT-DAMPER-CAU-CHI-USA-2-400X400</t>
        </is>
      </c>
      <c r="F1126" t="inlineStr">
        <is>
          <t>Cái</t>
        </is>
      </c>
      <c r="G1126" s="4" t="n">
        <v>1</v>
      </c>
      <c r="H1126" s="2">
        <f>XLOOKUP(B1126, '00_TONG_HOP_BAO_GIA'!B:B, '00_TONG_HOP_BAO_GIA'!G:G, 1)</f>
        <v/>
      </c>
      <c r="I1126" s="5">
        <f>G1126*H1126</f>
        <v/>
      </c>
      <c r="J1126" s="2">
        <f>XLOOKUP(E1126, '06_BANG_GIA_VAT_TU_AP_DUNG'!B:B, '06_BANG_GIA_VAT_TU_AP_DUNG'!C:C, "LỖI_MÃ_VT")</f>
        <v/>
      </c>
      <c r="K1126" s="2">
        <f>I1126*J1126</f>
        <v/>
      </c>
      <c r="L1126" t="inlineStr">
        <is>
          <t>Cầu chì kiểm định PCCC</t>
        </is>
      </c>
    </row>
    <row r="1127">
      <c r="A1127" t="inlineStr">
        <is>
          <t>SW-DAMPER-283-BODY</t>
        </is>
      </c>
      <c r="B1127" t="inlineStr">
        <is>
          <t>SW-DAMPER-283</t>
        </is>
      </c>
      <c r="C1127" t="inlineStr">
        <is>
          <t>Thân vỏ van FD bích TDF (0.75mm)</t>
        </is>
      </c>
      <c r="D1127" t="inlineStr">
        <is>
          <t>TÔN_CUỘN_MẠ_KẼM</t>
        </is>
      </c>
      <c r="E1127" t="inlineStr">
        <is>
          <t>MAT-STEEL-PN-0.75</t>
        </is>
      </c>
      <c r="F1127" t="inlineStr">
        <is>
          <t>kg</t>
        </is>
      </c>
      <c r="G1127" s="4" t="n">
        <v>4.035528</v>
      </c>
      <c r="H1127" s="2">
        <f>XLOOKUP(B1127, '00_TONG_HOP_BAO_GIA'!B:B, '00_TONG_HOP_BAO_GIA'!G:G, 1)</f>
        <v/>
      </c>
      <c r="I1127" s="5">
        <f>G1127*H1127</f>
        <v/>
      </c>
      <c r="J1127" s="2">
        <f>XLOOKUP(E1127, '06_BANG_GIA_VAT_TU_AP_DUNG'!B:B, '06_BANG_GIA_VAT_TU_AP_DUNG'!C:C, "LỖI_MÃ_VT")</f>
        <v/>
      </c>
      <c r="K1127" s="2">
        <f>I1127*J1127</f>
        <v/>
      </c>
      <c r="L1127" t="inlineStr">
        <is>
          <t>Kích thước vỏ 600.0x400.0x250mm</t>
        </is>
      </c>
    </row>
    <row r="1128">
      <c r="A1128" t="inlineStr">
        <is>
          <t>SW-DAMPER-283-BLADE</t>
        </is>
      </c>
      <c r="B1128" t="inlineStr">
        <is>
          <t>SW-DAMPER-283</t>
        </is>
      </c>
      <c r="C1128" t="inlineStr">
        <is>
          <t>Lá cánh van (3 cánh overlap)</t>
        </is>
      </c>
      <c r="D1128" t="inlineStr">
        <is>
          <t>TÔN_CUỘN_MẠ_KẼM</t>
        </is>
      </c>
      <c r="E1128" t="inlineStr">
        <is>
          <t>MAT-STEEL-PN-0.75</t>
        </is>
      </c>
      <c r="F1128" t="inlineStr">
        <is>
          <t>kg</t>
        </is>
      </c>
      <c r="G1128" s="4" t="n">
        <v>1.754946</v>
      </c>
      <c r="H1128" s="2">
        <f>XLOOKUP(B1128, '00_TONG_HOP_BAO_GIA'!B:B, '00_TONG_HOP_BAO_GIA'!G:G, 1)</f>
        <v/>
      </c>
      <c r="I1128" s="5">
        <f>G1128*H1128</f>
        <v/>
      </c>
      <c r="J1128" s="2">
        <f>XLOOKUP(E1128, '06_BANG_GIA_VAT_TU_AP_DUNG'!B:B, '06_BANG_GIA_VAT_TU_AP_DUNG'!C:C, "LỖI_MÃ_VT")</f>
        <v/>
      </c>
      <c r="K1128" s="2">
        <f>I1128*J1128</f>
        <v/>
      </c>
      <c r="L1128" t="inlineStr">
        <is>
          <t>3 cánh cao 153mm</t>
        </is>
      </c>
    </row>
    <row r="1129">
      <c r="A1129" t="inlineStr">
        <is>
          <t>SW-DAMPER-283-AXLE</t>
        </is>
      </c>
      <c r="B1129" t="inlineStr">
        <is>
          <t>SW-DAMPER-283</t>
        </is>
      </c>
      <c r="C1129" t="inlineStr">
        <is>
          <t>Trục Sus 201 D10</t>
        </is>
      </c>
      <c r="D1129" t="inlineStr">
        <is>
          <t>PHỤ_KIỆN_VAN</t>
        </is>
      </c>
      <c r="E1129" t="inlineStr">
        <is>
          <t>MAT-DAMPER-TRUC-SUS-201-D10</t>
        </is>
      </c>
      <c r="F1129" t="inlineStr">
        <is>
          <t>m</t>
        </is>
      </c>
      <c r="G1129" s="4" t="n">
        <v>1.98</v>
      </c>
      <c r="H1129" s="2">
        <f>XLOOKUP(B1129, '00_TONG_HOP_BAO_GIA'!B:B, '00_TONG_HOP_BAO_GIA'!G:G, 1)</f>
        <v/>
      </c>
      <c r="I1129" s="5">
        <f>G1129*H1129</f>
        <v/>
      </c>
      <c r="J1129" s="2">
        <f>XLOOKUP(E1129, '06_BANG_GIA_VAT_TU_AP_DUNG'!B:B, '06_BANG_GIA_VAT_TU_AP_DUNG'!C:C, "LỖI_MÃ_VT")</f>
        <v/>
      </c>
      <c r="K1129" s="2">
        <f>I1129*J1129</f>
        <v/>
      </c>
      <c r="L1129" t="inlineStr">
        <is>
          <t>3 trục dài 660mm</t>
        </is>
      </c>
    </row>
    <row r="1130">
      <c r="A1130" t="inlineStr">
        <is>
          <t>SW-DAMPER-283-BEARING</t>
        </is>
      </c>
      <c r="B1130" t="inlineStr">
        <is>
          <t>SW-DAMPER-283</t>
        </is>
      </c>
      <c r="C1130" t="inlineStr">
        <is>
          <t>Bạc đồng D10</t>
        </is>
      </c>
      <c r="D1130" t="inlineStr">
        <is>
          <t>PHỤ_KIỆN_VAN</t>
        </is>
      </c>
      <c r="E1130" t="inlineStr">
        <is>
          <t>MAT-DAMPER-BAC-DONG-D10</t>
        </is>
      </c>
      <c r="F1130" t="inlineStr">
        <is>
          <t>Đôi</t>
        </is>
      </c>
      <c r="G1130" s="4" t="n">
        <v>3</v>
      </c>
      <c r="H1130" s="2">
        <f>XLOOKUP(B1130, '00_TONG_HOP_BAO_GIA'!B:B, '00_TONG_HOP_BAO_GIA'!G:G, 1)</f>
        <v/>
      </c>
      <c r="I1130" s="5">
        <f>G1130*H1130</f>
        <v/>
      </c>
      <c r="J1130" s="2">
        <f>XLOOKUP(E1130, '06_BANG_GIA_VAT_TU_AP_DUNG'!B:B, '06_BANG_GIA_VAT_TU_AP_DUNG'!C:C, "LỖI_MÃ_VT")</f>
        <v/>
      </c>
      <c r="K1130" s="2">
        <f>I1130*J1130</f>
        <v/>
      </c>
      <c r="L1130" t="inlineStr">
        <is>
          <t>3 đôi bạc đỡ 2 bên thân</t>
        </is>
      </c>
    </row>
    <row r="1131">
      <c r="A1131" t="inlineStr">
        <is>
          <t>SW-DAMPER-283-GEAR</t>
        </is>
      </c>
      <c r="B1131" t="inlineStr">
        <is>
          <t>SW-DAMPER-283</t>
        </is>
      </c>
      <c r="C1131" t="inlineStr">
        <is>
          <t>Bánh răng van nhôm</t>
        </is>
      </c>
      <c r="D1131" t="inlineStr">
        <is>
          <t>PHỤ_KIỆN_VAN</t>
        </is>
      </c>
      <c r="E1131" t="inlineStr">
        <is>
          <t>MAT-DAMPER-BANH-RANG-VAN-NHOM</t>
        </is>
      </c>
      <c r="F1131" t="inlineStr">
        <is>
          <t>Bộ</t>
        </is>
      </c>
      <c r="G1131" s="4" t="n">
        <v>1</v>
      </c>
      <c r="H1131" s="2">
        <f>XLOOKUP(B1131, '00_TONG_HOP_BAO_GIA'!B:B, '00_TONG_HOP_BAO_GIA'!G:G, 1)</f>
        <v/>
      </c>
      <c r="I1131" s="5">
        <f>G1131*H1131</f>
        <v/>
      </c>
      <c r="J1131" s="2">
        <f>XLOOKUP(E1131, '06_BANG_GIA_VAT_TU_AP_DUNG'!B:B, '06_BANG_GIA_VAT_TU_AP_DUNG'!C:C, "LỖI_MÃ_VT")</f>
        <v/>
      </c>
      <c r="K1131" s="2">
        <f>I1131*J1131</f>
        <v/>
      </c>
      <c r="L1131" t="inlineStr">
        <is>
          <t>Cơ cấu liên động bánh răng van</t>
        </is>
      </c>
    </row>
    <row r="1132">
      <c r="A1132" t="inlineStr">
        <is>
          <t>SW-DAMPER-283-FUSE</t>
        </is>
      </c>
      <c r="B1132" t="inlineStr">
        <is>
          <t>SW-DAMPER-283</t>
        </is>
      </c>
      <c r="C1132" t="inlineStr">
        <is>
          <t>Cầu chì nhiệt nóng chảy 70°C (Elsie/USA)</t>
        </is>
      </c>
      <c r="D1132" t="inlineStr">
        <is>
          <t>PHỤ_KIỆN_VAN</t>
        </is>
      </c>
      <c r="E1132" t="inlineStr">
        <is>
          <t>MAT-DAMPER-CAU-CHI-USA-2-400X400</t>
        </is>
      </c>
      <c r="F1132" t="inlineStr">
        <is>
          <t>Cái</t>
        </is>
      </c>
      <c r="G1132" s="4" t="n">
        <v>1</v>
      </c>
      <c r="H1132" s="2">
        <f>XLOOKUP(B1132, '00_TONG_HOP_BAO_GIA'!B:B, '00_TONG_HOP_BAO_GIA'!G:G, 1)</f>
        <v/>
      </c>
      <c r="I1132" s="5">
        <f>G1132*H1132</f>
        <v/>
      </c>
      <c r="J1132" s="2">
        <f>XLOOKUP(E1132, '06_BANG_GIA_VAT_TU_AP_DUNG'!B:B, '06_BANG_GIA_VAT_TU_AP_DUNG'!C:C, "LỖI_MÃ_VT")</f>
        <v/>
      </c>
      <c r="K1132" s="2">
        <f>I1132*J1132</f>
        <v/>
      </c>
      <c r="L1132" t="inlineStr">
        <is>
          <t>Cầu chì kiểm định PCCC</t>
        </is>
      </c>
    </row>
    <row r="1133">
      <c r="A1133" t="inlineStr">
        <is>
          <t>SW-DAMPER-284-BODY</t>
        </is>
      </c>
      <c r="B1133" t="inlineStr">
        <is>
          <t>SW-DAMPER-284</t>
        </is>
      </c>
      <c r="C1133" t="inlineStr">
        <is>
          <t>Thân vỏ van FD bích TDF (0.75mm)</t>
        </is>
      </c>
      <c r="D1133" t="inlineStr">
        <is>
          <t>TÔN_CUỘN_MẠ_KẼM</t>
        </is>
      </c>
      <c r="E1133" t="inlineStr">
        <is>
          <t>MAT-STEEL-PN-0.75</t>
        </is>
      </c>
      <c r="F1133" t="inlineStr">
        <is>
          <t>kg</t>
        </is>
      </c>
      <c r="G1133" s="4" t="n">
        <v>4.233348</v>
      </c>
      <c r="H1133" s="2">
        <f>XLOOKUP(B1133, '00_TONG_HOP_BAO_GIA'!B:B, '00_TONG_HOP_BAO_GIA'!G:G, 1)</f>
        <v/>
      </c>
      <c r="I1133" s="5">
        <f>G1133*H1133</f>
        <v/>
      </c>
      <c r="J1133" s="2">
        <f>XLOOKUP(E1133, '06_BANG_GIA_VAT_TU_AP_DUNG'!B:B, '06_BANG_GIA_VAT_TU_AP_DUNG'!C:C, "LỖI_MÃ_VT")</f>
        <v/>
      </c>
      <c r="K1133" s="2">
        <f>I1133*J1133</f>
        <v/>
      </c>
      <c r="L1133" t="inlineStr">
        <is>
          <t>Kích thước vỏ 600.0x450.0x250mm</t>
        </is>
      </c>
    </row>
    <row r="1134">
      <c r="A1134" t="inlineStr">
        <is>
          <t>SW-DAMPER-284-BLADE</t>
        </is>
      </c>
      <c r="B1134" t="inlineStr">
        <is>
          <t>SW-DAMPER-284</t>
        </is>
      </c>
      <c r="C1134" t="inlineStr">
        <is>
          <t>Lá cánh van (3 cánh overlap)</t>
        </is>
      </c>
      <c r="D1134" t="inlineStr">
        <is>
          <t>TÔN_CUỘN_MẠ_KẼM</t>
        </is>
      </c>
      <c r="E1134" t="inlineStr">
        <is>
          <t>MAT-STEEL-PN-0.75</t>
        </is>
      </c>
      <c r="F1134" t="inlineStr">
        <is>
          <t>kg</t>
        </is>
      </c>
      <c r="G1134" s="4" t="n">
        <v>1.945701</v>
      </c>
      <c r="H1134" s="2">
        <f>XLOOKUP(B1134, '00_TONG_HOP_BAO_GIA'!B:B, '00_TONG_HOP_BAO_GIA'!G:G, 1)</f>
        <v/>
      </c>
      <c r="I1134" s="5">
        <f>G1134*H1134</f>
        <v/>
      </c>
      <c r="J1134" s="2">
        <f>XLOOKUP(E1134, '06_BANG_GIA_VAT_TU_AP_DUNG'!B:B, '06_BANG_GIA_VAT_TU_AP_DUNG'!C:C, "LỖI_MÃ_VT")</f>
        <v/>
      </c>
      <c r="K1134" s="2">
        <f>I1134*J1134</f>
        <v/>
      </c>
      <c r="L1134" t="inlineStr">
        <is>
          <t>3 cánh cao 170mm</t>
        </is>
      </c>
    </row>
    <row r="1135">
      <c r="A1135" t="inlineStr">
        <is>
          <t>SW-DAMPER-284-AXLE</t>
        </is>
      </c>
      <c r="B1135" t="inlineStr">
        <is>
          <t>SW-DAMPER-284</t>
        </is>
      </c>
      <c r="C1135" t="inlineStr">
        <is>
          <t>Trục Sus 201 D10</t>
        </is>
      </c>
      <c r="D1135" t="inlineStr">
        <is>
          <t>PHỤ_KIỆN_VAN</t>
        </is>
      </c>
      <c r="E1135" t="inlineStr">
        <is>
          <t>MAT-DAMPER-TRUC-SUS-201-D10</t>
        </is>
      </c>
      <c r="F1135" t="inlineStr">
        <is>
          <t>m</t>
        </is>
      </c>
      <c r="G1135" s="4" t="n">
        <v>1.98</v>
      </c>
      <c r="H1135" s="2">
        <f>XLOOKUP(B1135, '00_TONG_HOP_BAO_GIA'!B:B, '00_TONG_HOP_BAO_GIA'!G:G, 1)</f>
        <v/>
      </c>
      <c r="I1135" s="5">
        <f>G1135*H1135</f>
        <v/>
      </c>
      <c r="J1135" s="2">
        <f>XLOOKUP(E1135, '06_BANG_GIA_VAT_TU_AP_DUNG'!B:B, '06_BANG_GIA_VAT_TU_AP_DUNG'!C:C, "LỖI_MÃ_VT")</f>
        <v/>
      </c>
      <c r="K1135" s="2">
        <f>I1135*J1135</f>
        <v/>
      </c>
      <c r="L1135" t="inlineStr">
        <is>
          <t>3 trục dài 660mm</t>
        </is>
      </c>
    </row>
    <row r="1136">
      <c r="A1136" t="inlineStr">
        <is>
          <t>SW-DAMPER-284-BEARING</t>
        </is>
      </c>
      <c r="B1136" t="inlineStr">
        <is>
          <t>SW-DAMPER-284</t>
        </is>
      </c>
      <c r="C1136" t="inlineStr">
        <is>
          <t>Bạc đồng D10</t>
        </is>
      </c>
      <c r="D1136" t="inlineStr">
        <is>
          <t>PHỤ_KIỆN_VAN</t>
        </is>
      </c>
      <c r="E1136" t="inlineStr">
        <is>
          <t>MAT-DAMPER-BAC-DONG-D10</t>
        </is>
      </c>
      <c r="F1136" t="inlineStr">
        <is>
          <t>Đôi</t>
        </is>
      </c>
      <c r="G1136" s="4" t="n">
        <v>3</v>
      </c>
      <c r="H1136" s="2">
        <f>XLOOKUP(B1136, '00_TONG_HOP_BAO_GIA'!B:B, '00_TONG_HOP_BAO_GIA'!G:G, 1)</f>
        <v/>
      </c>
      <c r="I1136" s="5">
        <f>G1136*H1136</f>
        <v/>
      </c>
      <c r="J1136" s="2">
        <f>XLOOKUP(E1136, '06_BANG_GIA_VAT_TU_AP_DUNG'!B:B, '06_BANG_GIA_VAT_TU_AP_DUNG'!C:C, "LỖI_MÃ_VT")</f>
        <v/>
      </c>
      <c r="K1136" s="2">
        <f>I1136*J1136</f>
        <v/>
      </c>
      <c r="L1136" t="inlineStr">
        <is>
          <t>3 đôi bạc đỡ 2 bên thân</t>
        </is>
      </c>
    </row>
    <row r="1137">
      <c r="A1137" t="inlineStr">
        <is>
          <t>SW-DAMPER-284-GEAR</t>
        </is>
      </c>
      <c r="B1137" t="inlineStr">
        <is>
          <t>SW-DAMPER-284</t>
        </is>
      </c>
      <c r="C1137" t="inlineStr">
        <is>
          <t>Bánh răng van nhôm</t>
        </is>
      </c>
      <c r="D1137" t="inlineStr">
        <is>
          <t>PHỤ_KIỆN_VAN</t>
        </is>
      </c>
      <c r="E1137" t="inlineStr">
        <is>
          <t>MAT-DAMPER-BANH-RANG-VAN-NHOM</t>
        </is>
      </c>
      <c r="F1137" t="inlineStr">
        <is>
          <t>Bộ</t>
        </is>
      </c>
      <c r="G1137" s="4" t="n">
        <v>1</v>
      </c>
      <c r="H1137" s="2">
        <f>XLOOKUP(B1137, '00_TONG_HOP_BAO_GIA'!B:B, '00_TONG_HOP_BAO_GIA'!G:G, 1)</f>
        <v/>
      </c>
      <c r="I1137" s="5">
        <f>G1137*H1137</f>
        <v/>
      </c>
      <c r="J1137" s="2">
        <f>XLOOKUP(E1137, '06_BANG_GIA_VAT_TU_AP_DUNG'!B:B, '06_BANG_GIA_VAT_TU_AP_DUNG'!C:C, "LỖI_MÃ_VT")</f>
        <v/>
      </c>
      <c r="K1137" s="2">
        <f>I1137*J1137</f>
        <v/>
      </c>
      <c r="L1137" t="inlineStr">
        <is>
          <t>Cơ cấu liên động bánh răng van</t>
        </is>
      </c>
    </row>
    <row r="1138">
      <c r="A1138" t="inlineStr">
        <is>
          <t>SW-DAMPER-284-FUSE</t>
        </is>
      </c>
      <c r="B1138" t="inlineStr">
        <is>
          <t>SW-DAMPER-284</t>
        </is>
      </c>
      <c r="C1138" t="inlineStr">
        <is>
          <t>Cầu chì nhiệt nóng chảy 70°C (Elsie/USA)</t>
        </is>
      </c>
      <c r="D1138" t="inlineStr">
        <is>
          <t>PHỤ_KIỆN_VAN</t>
        </is>
      </c>
      <c r="E1138" t="inlineStr">
        <is>
          <t>MAT-DAMPER-CAU-CHI-USA-2-400X400</t>
        </is>
      </c>
      <c r="F1138" t="inlineStr">
        <is>
          <t>Cái</t>
        </is>
      </c>
      <c r="G1138" s="4" t="n">
        <v>1</v>
      </c>
      <c r="H1138" s="2">
        <f>XLOOKUP(B1138, '00_TONG_HOP_BAO_GIA'!B:B, '00_TONG_HOP_BAO_GIA'!G:G, 1)</f>
        <v/>
      </c>
      <c r="I1138" s="5">
        <f>G1138*H1138</f>
        <v/>
      </c>
      <c r="J1138" s="2">
        <f>XLOOKUP(E1138, '06_BANG_GIA_VAT_TU_AP_DUNG'!B:B, '06_BANG_GIA_VAT_TU_AP_DUNG'!C:C, "LỖI_MÃ_VT")</f>
        <v/>
      </c>
      <c r="K1138" s="2">
        <f>I1138*J1138</f>
        <v/>
      </c>
      <c r="L1138" t="inlineStr">
        <is>
          <t>Cầu chì kiểm định PCCC</t>
        </is>
      </c>
    </row>
    <row r="1139">
      <c r="A1139" t="inlineStr">
        <is>
          <t>SW-DAMPER-285-BODY</t>
        </is>
      </c>
      <c r="B1139" t="inlineStr">
        <is>
          <t>SW-DAMPER-285</t>
        </is>
      </c>
      <c r="C1139" t="inlineStr">
        <is>
          <t>Thân vỏ van FD bích TDF (0.75mm)</t>
        </is>
      </c>
      <c r="D1139" t="inlineStr">
        <is>
          <t>TÔN_CUỘN_MẠ_KẼM</t>
        </is>
      </c>
      <c r="E1139" t="inlineStr">
        <is>
          <t>MAT-STEEL-PN-0.75</t>
        </is>
      </c>
      <c r="F1139" t="inlineStr">
        <is>
          <t>kg</t>
        </is>
      </c>
      <c r="G1139" s="4" t="n">
        <v>4.233348</v>
      </c>
      <c r="H1139" s="2">
        <f>XLOOKUP(B1139, '00_TONG_HOP_BAO_GIA'!B:B, '00_TONG_HOP_BAO_GIA'!G:G, 1)</f>
        <v/>
      </c>
      <c r="I1139" s="5">
        <f>G1139*H1139</f>
        <v/>
      </c>
      <c r="J1139" s="2">
        <f>XLOOKUP(E1139, '06_BANG_GIA_VAT_TU_AP_DUNG'!B:B, '06_BANG_GIA_VAT_TU_AP_DUNG'!C:C, "LỖI_MÃ_VT")</f>
        <v/>
      </c>
      <c r="K1139" s="2">
        <f>I1139*J1139</f>
        <v/>
      </c>
      <c r="L1139" t="inlineStr">
        <is>
          <t>Kích thước vỏ 600.0x450.0x250mm</t>
        </is>
      </c>
    </row>
    <row r="1140">
      <c r="A1140" t="inlineStr">
        <is>
          <t>SW-DAMPER-285-BLADE</t>
        </is>
      </c>
      <c r="B1140" t="inlineStr">
        <is>
          <t>SW-DAMPER-285</t>
        </is>
      </c>
      <c r="C1140" t="inlineStr">
        <is>
          <t>Lá cánh van (3 cánh overlap)</t>
        </is>
      </c>
      <c r="D1140" t="inlineStr">
        <is>
          <t>TÔN_CUỘN_MẠ_KẼM</t>
        </is>
      </c>
      <c r="E1140" t="inlineStr">
        <is>
          <t>MAT-STEEL-PN-0.75</t>
        </is>
      </c>
      <c r="F1140" t="inlineStr">
        <is>
          <t>kg</t>
        </is>
      </c>
      <c r="G1140" s="4" t="n">
        <v>1.945701</v>
      </c>
      <c r="H1140" s="2">
        <f>XLOOKUP(B1140, '00_TONG_HOP_BAO_GIA'!B:B, '00_TONG_HOP_BAO_GIA'!G:G, 1)</f>
        <v/>
      </c>
      <c r="I1140" s="5">
        <f>G1140*H1140</f>
        <v/>
      </c>
      <c r="J1140" s="2">
        <f>XLOOKUP(E1140, '06_BANG_GIA_VAT_TU_AP_DUNG'!B:B, '06_BANG_GIA_VAT_TU_AP_DUNG'!C:C, "LỖI_MÃ_VT")</f>
        <v/>
      </c>
      <c r="K1140" s="2">
        <f>I1140*J1140</f>
        <v/>
      </c>
      <c r="L1140" t="inlineStr">
        <is>
          <t>3 cánh cao 170mm</t>
        </is>
      </c>
    </row>
    <row r="1141">
      <c r="A1141" t="inlineStr">
        <is>
          <t>SW-DAMPER-285-AXLE</t>
        </is>
      </c>
      <c r="B1141" t="inlineStr">
        <is>
          <t>SW-DAMPER-285</t>
        </is>
      </c>
      <c r="C1141" t="inlineStr">
        <is>
          <t>Trục Sus 201 D10</t>
        </is>
      </c>
      <c r="D1141" t="inlineStr">
        <is>
          <t>PHỤ_KIỆN_VAN</t>
        </is>
      </c>
      <c r="E1141" t="inlineStr">
        <is>
          <t>MAT-DAMPER-TRUC-SUS-201-D10</t>
        </is>
      </c>
      <c r="F1141" t="inlineStr">
        <is>
          <t>m</t>
        </is>
      </c>
      <c r="G1141" s="4" t="n">
        <v>1.98</v>
      </c>
      <c r="H1141" s="2">
        <f>XLOOKUP(B1141, '00_TONG_HOP_BAO_GIA'!B:B, '00_TONG_HOP_BAO_GIA'!G:G, 1)</f>
        <v/>
      </c>
      <c r="I1141" s="5">
        <f>G1141*H1141</f>
        <v/>
      </c>
      <c r="J1141" s="2">
        <f>XLOOKUP(E1141, '06_BANG_GIA_VAT_TU_AP_DUNG'!B:B, '06_BANG_GIA_VAT_TU_AP_DUNG'!C:C, "LỖI_MÃ_VT")</f>
        <v/>
      </c>
      <c r="K1141" s="2">
        <f>I1141*J1141</f>
        <v/>
      </c>
      <c r="L1141" t="inlineStr">
        <is>
          <t>3 trục dài 660mm</t>
        </is>
      </c>
    </row>
    <row r="1142">
      <c r="A1142" t="inlineStr">
        <is>
          <t>SW-DAMPER-285-BEARING</t>
        </is>
      </c>
      <c r="B1142" t="inlineStr">
        <is>
          <t>SW-DAMPER-285</t>
        </is>
      </c>
      <c r="C1142" t="inlineStr">
        <is>
          <t>Bạc đồng D10</t>
        </is>
      </c>
      <c r="D1142" t="inlineStr">
        <is>
          <t>PHỤ_KIỆN_VAN</t>
        </is>
      </c>
      <c r="E1142" t="inlineStr">
        <is>
          <t>MAT-DAMPER-BAC-DONG-D10</t>
        </is>
      </c>
      <c r="F1142" t="inlineStr">
        <is>
          <t>Đôi</t>
        </is>
      </c>
      <c r="G1142" s="4" t="n">
        <v>3</v>
      </c>
      <c r="H1142" s="2">
        <f>XLOOKUP(B1142, '00_TONG_HOP_BAO_GIA'!B:B, '00_TONG_HOP_BAO_GIA'!G:G, 1)</f>
        <v/>
      </c>
      <c r="I1142" s="5">
        <f>G1142*H1142</f>
        <v/>
      </c>
      <c r="J1142" s="2">
        <f>XLOOKUP(E1142, '06_BANG_GIA_VAT_TU_AP_DUNG'!B:B, '06_BANG_GIA_VAT_TU_AP_DUNG'!C:C, "LỖI_MÃ_VT")</f>
        <v/>
      </c>
      <c r="K1142" s="2">
        <f>I1142*J1142</f>
        <v/>
      </c>
      <c r="L1142" t="inlineStr">
        <is>
          <t>3 đôi bạc đỡ 2 bên thân</t>
        </is>
      </c>
    </row>
    <row r="1143">
      <c r="A1143" t="inlineStr">
        <is>
          <t>SW-DAMPER-285-GEAR</t>
        </is>
      </c>
      <c r="B1143" t="inlineStr">
        <is>
          <t>SW-DAMPER-285</t>
        </is>
      </c>
      <c r="C1143" t="inlineStr">
        <is>
          <t>Bánh răng van nhôm</t>
        </is>
      </c>
      <c r="D1143" t="inlineStr">
        <is>
          <t>PHỤ_KIỆN_VAN</t>
        </is>
      </c>
      <c r="E1143" t="inlineStr">
        <is>
          <t>MAT-DAMPER-BANH-RANG-VAN-NHOM</t>
        </is>
      </c>
      <c r="F1143" t="inlineStr">
        <is>
          <t>Bộ</t>
        </is>
      </c>
      <c r="G1143" s="4" t="n">
        <v>1</v>
      </c>
      <c r="H1143" s="2">
        <f>XLOOKUP(B1143, '00_TONG_HOP_BAO_GIA'!B:B, '00_TONG_HOP_BAO_GIA'!G:G, 1)</f>
        <v/>
      </c>
      <c r="I1143" s="5">
        <f>G1143*H1143</f>
        <v/>
      </c>
      <c r="J1143" s="2">
        <f>XLOOKUP(E1143, '06_BANG_GIA_VAT_TU_AP_DUNG'!B:B, '06_BANG_GIA_VAT_TU_AP_DUNG'!C:C, "LỖI_MÃ_VT")</f>
        <v/>
      </c>
      <c r="K1143" s="2">
        <f>I1143*J1143</f>
        <v/>
      </c>
      <c r="L1143" t="inlineStr">
        <is>
          <t>Cơ cấu liên động bánh răng van</t>
        </is>
      </c>
    </row>
    <row r="1144">
      <c r="A1144" t="inlineStr">
        <is>
          <t>SW-DAMPER-285-FUSE</t>
        </is>
      </c>
      <c r="B1144" t="inlineStr">
        <is>
          <t>SW-DAMPER-285</t>
        </is>
      </c>
      <c r="C1144" t="inlineStr">
        <is>
          <t>Cầu chì nhiệt nóng chảy 70°C (Elsie/USA)</t>
        </is>
      </c>
      <c r="D1144" t="inlineStr">
        <is>
          <t>PHỤ_KIỆN_VAN</t>
        </is>
      </c>
      <c r="E1144" t="inlineStr">
        <is>
          <t>MAT-DAMPER-CAU-CHI-USA-2-400X400</t>
        </is>
      </c>
      <c r="F1144" t="inlineStr">
        <is>
          <t>Cái</t>
        </is>
      </c>
      <c r="G1144" s="4" t="n">
        <v>1</v>
      </c>
      <c r="H1144" s="2">
        <f>XLOOKUP(B1144, '00_TONG_HOP_BAO_GIA'!B:B, '00_TONG_HOP_BAO_GIA'!G:G, 1)</f>
        <v/>
      </c>
      <c r="I1144" s="5">
        <f>G1144*H1144</f>
        <v/>
      </c>
      <c r="J1144" s="2">
        <f>XLOOKUP(E1144, '06_BANG_GIA_VAT_TU_AP_DUNG'!B:B, '06_BANG_GIA_VAT_TU_AP_DUNG'!C:C, "LỖI_MÃ_VT")</f>
        <v/>
      </c>
      <c r="K1144" s="2">
        <f>I1144*J1144</f>
        <v/>
      </c>
      <c r="L1144" t="inlineStr">
        <is>
          <t>Cầu chì kiểm định PCCC</t>
        </is>
      </c>
    </row>
    <row r="1145">
      <c r="A1145" t="inlineStr">
        <is>
          <t>SW-DAMPER-286-BODY</t>
        </is>
      </c>
      <c r="B1145" t="inlineStr">
        <is>
          <t>SW-DAMPER-286</t>
        </is>
      </c>
      <c r="C1145" t="inlineStr">
        <is>
          <t>Thân vỏ van FD bích TDF (0.75mm)</t>
        </is>
      </c>
      <c r="D1145" t="inlineStr">
        <is>
          <t>TÔN_CUỘN_MẠ_KẼM</t>
        </is>
      </c>
      <c r="E1145" t="inlineStr">
        <is>
          <t>MAT-STEEL-PN-0.75</t>
        </is>
      </c>
      <c r="F1145" t="inlineStr">
        <is>
          <t>kg</t>
        </is>
      </c>
      <c r="G1145" s="4" t="n">
        <v>4.431168</v>
      </c>
      <c r="H1145" s="2">
        <f>XLOOKUP(B1145, '00_TONG_HOP_BAO_GIA'!B:B, '00_TONG_HOP_BAO_GIA'!G:G, 1)</f>
        <v/>
      </c>
      <c r="I1145" s="5">
        <f>G1145*H1145</f>
        <v/>
      </c>
      <c r="J1145" s="2">
        <f>XLOOKUP(E1145, '06_BANG_GIA_VAT_TU_AP_DUNG'!B:B, '06_BANG_GIA_VAT_TU_AP_DUNG'!C:C, "LỖI_MÃ_VT")</f>
        <v/>
      </c>
      <c r="K1145" s="2">
        <f>I1145*J1145</f>
        <v/>
      </c>
      <c r="L1145" t="inlineStr">
        <is>
          <t>Kích thước vỏ 750.0x350.0x250mm</t>
        </is>
      </c>
    </row>
    <row r="1146">
      <c r="A1146" t="inlineStr">
        <is>
          <t>SW-DAMPER-286-BLADE</t>
        </is>
      </c>
      <c r="B1146" t="inlineStr">
        <is>
          <t>SW-DAMPER-286</t>
        </is>
      </c>
      <c r="C1146" t="inlineStr">
        <is>
          <t>Lá cánh van (2 cánh overlap)</t>
        </is>
      </c>
      <c r="D1146" t="inlineStr">
        <is>
          <t>TÔN_CUỘN_MẠ_KẼM</t>
        </is>
      </c>
      <c r="E1146" t="inlineStr">
        <is>
          <t>MAT-STEEL-PN-0.75</t>
        </is>
      </c>
      <c r="F1146" t="inlineStr">
        <is>
          <t>kg</t>
        </is>
      </c>
      <c r="G1146" s="4" t="n">
        <v>1.85986125</v>
      </c>
      <c r="H1146" s="2">
        <f>XLOOKUP(B1146, '00_TONG_HOP_BAO_GIA'!B:B, '00_TONG_HOP_BAO_GIA'!G:G, 1)</f>
        <v/>
      </c>
      <c r="I1146" s="5">
        <f>G1146*H1146</f>
        <v/>
      </c>
      <c r="J1146" s="2">
        <f>XLOOKUP(E1146, '06_BANG_GIA_VAT_TU_AP_DUNG'!B:B, '06_BANG_GIA_VAT_TU_AP_DUNG'!C:C, "LỖI_MÃ_VT")</f>
        <v/>
      </c>
      <c r="K1146" s="2">
        <f>I1146*J1146</f>
        <v/>
      </c>
      <c r="L1146" t="inlineStr">
        <is>
          <t>2 cánh cao 195mm</t>
        </is>
      </c>
    </row>
    <row r="1147">
      <c r="A1147" t="inlineStr">
        <is>
          <t>SW-DAMPER-286-AXLE</t>
        </is>
      </c>
      <c r="B1147" t="inlineStr">
        <is>
          <t>SW-DAMPER-286</t>
        </is>
      </c>
      <c r="C1147" t="inlineStr">
        <is>
          <t>Trục Sus 201 D10</t>
        </is>
      </c>
      <c r="D1147" t="inlineStr">
        <is>
          <t>PHỤ_KIỆN_VAN</t>
        </is>
      </c>
      <c r="E1147" t="inlineStr">
        <is>
          <t>MAT-DAMPER-TRUC-SUS-201-D10</t>
        </is>
      </c>
      <c r="F1147" t="inlineStr">
        <is>
          <t>m</t>
        </is>
      </c>
      <c r="G1147" s="4" t="n">
        <v>1.62</v>
      </c>
      <c r="H1147" s="2">
        <f>XLOOKUP(B1147, '00_TONG_HOP_BAO_GIA'!B:B, '00_TONG_HOP_BAO_GIA'!G:G, 1)</f>
        <v/>
      </c>
      <c r="I1147" s="5">
        <f>G1147*H1147</f>
        <v/>
      </c>
      <c r="J1147" s="2">
        <f>XLOOKUP(E1147, '06_BANG_GIA_VAT_TU_AP_DUNG'!B:B, '06_BANG_GIA_VAT_TU_AP_DUNG'!C:C, "LỖI_MÃ_VT")</f>
        <v/>
      </c>
      <c r="K1147" s="2">
        <f>I1147*J1147</f>
        <v/>
      </c>
      <c r="L1147" t="inlineStr">
        <is>
          <t>2 trục dài 810mm</t>
        </is>
      </c>
    </row>
    <row r="1148">
      <c r="A1148" t="inlineStr">
        <is>
          <t>SW-DAMPER-286-BEARING</t>
        </is>
      </c>
      <c r="B1148" t="inlineStr">
        <is>
          <t>SW-DAMPER-286</t>
        </is>
      </c>
      <c r="C1148" t="inlineStr">
        <is>
          <t>Bạc đồng D10</t>
        </is>
      </c>
      <c r="D1148" t="inlineStr">
        <is>
          <t>PHỤ_KIỆN_VAN</t>
        </is>
      </c>
      <c r="E1148" t="inlineStr">
        <is>
          <t>MAT-DAMPER-BAC-DONG-D10</t>
        </is>
      </c>
      <c r="F1148" t="inlineStr">
        <is>
          <t>Đôi</t>
        </is>
      </c>
      <c r="G1148" s="4" t="n">
        <v>2</v>
      </c>
      <c r="H1148" s="2">
        <f>XLOOKUP(B1148, '00_TONG_HOP_BAO_GIA'!B:B, '00_TONG_HOP_BAO_GIA'!G:G, 1)</f>
        <v/>
      </c>
      <c r="I1148" s="5">
        <f>G1148*H1148</f>
        <v/>
      </c>
      <c r="J1148" s="2">
        <f>XLOOKUP(E1148, '06_BANG_GIA_VAT_TU_AP_DUNG'!B:B, '06_BANG_GIA_VAT_TU_AP_DUNG'!C:C, "LỖI_MÃ_VT")</f>
        <v/>
      </c>
      <c r="K1148" s="2">
        <f>I1148*J1148</f>
        <v/>
      </c>
      <c r="L1148" t="inlineStr">
        <is>
          <t>2 đôi bạc đỡ 2 bên thân</t>
        </is>
      </c>
    </row>
    <row r="1149">
      <c r="A1149" t="inlineStr">
        <is>
          <t>SW-DAMPER-286-GEAR</t>
        </is>
      </c>
      <c r="B1149" t="inlineStr">
        <is>
          <t>SW-DAMPER-286</t>
        </is>
      </c>
      <c r="C1149" t="inlineStr">
        <is>
          <t>Bánh răng van nhôm</t>
        </is>
      </c>
      <c r="D1149" t="inlineStr">
        <is>
          <t>PHỤ_KIỆN_VAN</t>
        </is>
      </c>
      <c r="E1149" t="inlineStr">
        <is>
          <t>MAT-DAMPER-BANH-RANG-VAN-NHOM</t>
        </is>
      </c>
      <c r="F1149" t="inlineStr">
        <is>
          <t>Bộ</t>
        </is>
      </c>
      <c r="G1149" s="4" t="n">
        <v>1</v>
      </c>
      <c r="H1149" s="2">
        <f>XLOOKUP(B1149, '00_TONG_HOP_BAO_GIA'!B:B, '00_TONG_HOP_BAO_GIA'!G:G, 1)</f>
        <v/>
      </c>
      <c r="I1149" s="5">
        <f>G1149*H1149</f>
        <v/>
      </c>
      <c r="J1149" s="2">
        <f>XLOOKUP(E1149, '06_BANG_GIA_VAT_TU_AP_DUNG'!B:B, '06_BANG_GIA_VAT_TU_AP_DUNG'!C:C, "LỖI_MÃ_VT")</f>
        <v/>
      </c>
      <c r="K1149" s="2">
        <f>I1149*J1149</f>
        <v/>
      </c>
      <c r="L1149" t="inlineStr">
        <is>
          <t>Cơ cấu liên động bánh răng van</t>
        </is>
      </c>
    </row>
    <row r="1150">
      <c r="A1150" t="inlineStr">
        <is>
          <t>SW-DAMPER-286-FUSE</t>
        </is>
      </c>
      <c r="B1150" t="inlineStr">
        <is>
          <t>SW-DAMPER-286</t>
        </is>
      </c>
      <c r="C1150" t="inlineStr">
        <is>
          <t>Cầu chì nhiệt nóng chảy 70°C (Elsie/USA)</t>
        </is>
      </c>
      <c r="D1150" t="inlineStr">
        <is>
          <t>PHỤ_KIỆN_VAN</t>
        </is>
      </c>
      <c r="E1150" t="inlineStr">
        <is>
          <t>MAT-DAMPER-CAU-CHI-USA-2-400X400</t>
        </is>
      </c>
      <c r="F1150" t="inlineStr">
        <is>
          <t>Cái</t>
        </is>
      </c>
      <c r="G1150" s="4" t="n">
        <v>1</v>
      </c>
      <c r="H1150" s="2">
        <f>XLOOKUP(B1150, '00_TONG_HOP_BAO_GIA'!B:B, '00_TONG_HOP_BAO_GIA'!G:G, 1)</f>
        <v/>
      </c>
      <c r="I1150" s="5">
        <f>G1150*H1150</f>
        <v/>
      </c>
      <c r="J1150" s="2">
        <f>XLOOKUP(E1150, '06_BANG_GIA_VAT_TU_AP_DUNG'!B:B, '06_BANG_GIA_VAT_TU_AP_DUNG'!C:C, "LỖI_MÃ_VT")</f>
        <v/>
      </c>
      <c r="K1150" s="2">
        <f>I1150*J1150</f>
        <v/>
      </c>
      <c r="L1150" t="inlineStr">
        <is>
          <t>Cầu chì kiểm định PCCC</t>
        </is>
      </c>
    </row>
    <row r="1151">
      <c r="A1151" t="inlineStr">
        <is>
          <t>SW-DAMPER-287-BODY</t>
        </is>
      </c>
      <c r="B1151" t="inlineStr">
        <is>
          <t>SW-DAMPER-287</t>
        </is>
      </c>
      <c r="C1151" t="inlineStr">
        <is>
          <t>Thân vỏ van FD bích TDF (0.75mm)</t>
        </is>
      </c>
      <c r="D1151" t="inlineStr">
        <is>
          <t>TÔN_CUỘN_MẠ_KẼM</t>
        </is>
      </c>
      <c r="E1151" t="inlineStr">
        <is>
          <t>MAT-STEEL-PN-0.75</t>
        </is>
      </c>
      <c r="F1151" t="inlineStr">
        <is>
          <t>kg</t>
        </is>
      </c>
      <c r="G1151" s="4" t="n">
        <v>4.431168</v>
      </c>
      <c r="H1151" s="2">
        <f>XLOOKUP(B1151, '00_TONG_HOP_BAO_GIA'!B:B, '00_TONG_HOP_BAO_GIA'!G:G, 1)</f>
        <v/>
      </c>
      <c r="I1151" s="5">
        <f>G1151*H1151</f>
        <v/>
      </c>
      <c r="J1151" s="2">
        <f>XLOOKUP(E1151, '06_BANG_GIA_VAT_TU_AP_DUNG'!B:B, '06_BANG_GIA_VAT_TU_AP_DUNG'!C:C, "LỖI_MÃ_VT")</f>
        <v/>
      </c>
      <c r="K1151" s="2">
        <f>I1151*J1151</f>
        <v/>
      </c>
      <c r="L1151" t="inlineStr">
        <is>
          <t>Kích thước vỏ 750.0x350.0x250mm</t>
        </is>
      </c>
    </row>
    <row r="1152">
      <c r="A1152" t="inlineStr">
        <is>
          <t>SW-DAMPER-287-BLADE</t>
        </is>
      </c>
      <c r="B1152" t="inlineStr">
        <is>
          <t>SW-DAMPER-287</t>
        </is>
      </c>
      <c r="C1152" t="inlineStr">
        <is>
          <t>Lá cánh van (2 cánh overlap)</t>
        </is>
      </c>
      <c r="D1152" t="inlineStr">
        <is>
          <t>TÔN_CUỘN_MẠ_KẼM</t>
        </is>
      </c>
      <c r="E1152" t="inlineStr">
        <is>
          <t>MAT-STEEL-PN-0.75</t>
        </is>
      </c>
      <c r="F1152" t="inlineStr">
        <is>
          <t>kg</t>
        </is>
      </c>
      <c r="G1152" s="4" t="n">
        <v>1.85986125</v>
      </c>
      <c r="H1152" s="2">
        <f>XLOOKUP(B1152, '00_TONG_HOP_BAO_GIA'!B:B, '00_TONG_HOP_BAO_GIA'!G:G, 1)</f>
        <v/>
      </c>
      <c r="I1152" s="5">
        <f>G1152*H1152</f>
        <v/>
      </c>
      <c r="J1152" s="2">
        <f>XLOOKUP(E1152, '06_BANG_GIA_VAT_TU_AP_DUNG'!B:B, '06_BANG_GIA_VAT_TU_AP_DUNG'!C:C, "LỖI_MÃ_VT")</f>
        <v/>
      </c>
      <c r="K1152" s="2">
        <f>I1152*J1152</f>
        <v/>
      </c>
      <c r="L1152" t="inlineStr">
        <is>
          <t>2 cánh cao 195mm</t>
        </is>
      </c>
    </row>
    <row r="1153">
      <c r="A1153" t="inlineStr">
        <is>
          <t>SW-DAMPER-287-AXLE</t>
        </is>
      </c>
      <c r="B1153" t="inlineStr">
        <is>
          <t>SW-DAMPER-287</t>
        </is>
      </c>
      <c r="C1153" t="inlineStr">
        <is>
          <t>Trục Sus 201 D10</t>
        </is>
      </c>
      <c r="D1153" t="inlineStr">
        <is>
          <t>PHỤ_KIỆN_VAN</t>
        </is>
      </c>
      <c r="E1153" t="inlineStr">
        <is>
          <t>MAT-DAMPER-TRUC-SUS-201-D10</t>
        </is>
      </c>
      <c r="F1153" t="inlineStr">
        <is>
          <t>m</t>
        </is>
      </c>
      <c r="G1153" s="4" t="n">
        <v>1.62</v>
      </c>
      <c r="H1153" s="2">
        <f>XLOOKUP(B1153, '00_TONG_HOP_BAO_GIA'!B:B, '00_TONG_HOP_BAO_GIA'!G:G, 1)</f>
        <v/>
      </c>
      <c r="I1153" s="5">
        <f>G1153*H1153</f>
        <v/>
      </c>
      <c r="J1153" s="2">
        <f>XLOOKUP(E1153, '06_BANG_GIA_VAT_TU_AP_DUNG'!B:B, '06_BANG_GIA_VAT_TU_AP_DUNG'!C:C, "LỖI_MÃ_VT")</f>
        <v/>
      </c>
      <c r="K1153" s="2">
        <f>I1153*J1153</f>
        <v/>
      </c>
      <c r="L1153" t="inlineStr">
        <is>
          <t>2 trục dài 810mm</t>
        </is>
      </c>
    </row>
    <row r="1154">
      <c r="A1154" t="inlineStr">
        <is>
          <t>SW-DAMPER-287-BEARING</t>
        </is>
      </c>
      <c r="B1154" t="inlineStr">
        <is>
          <t>SW-DAMPER-287</t>
        </is>
      </c>
      <c r="C1154" t="inlineStr">
        <is>
          <t>Bạc đồng D10</t>
        </is>
      </c>
      <c r="D1154" t="inlineStr">
        <is>
          <t>PHỤ_KIỆN_VAN</t>
        </is>
      </c>
      <c r="E1154" t="inlineStr">
        <is>
          <t>MAT-DAMPER-BAC-DONG-D10</t>
        </is>
      </c>
      <c r="F1154" t="inlineStr">
        <is>
          <t>Đôi</t>
        </is>
      </c>
      <c r="G1154" s="4" t="n">
        <v>2</v>
      </c>
      <c r="H1154" s="2">
        <f>XLOOKUP(B1154, '00_TONG_HOP_BAO_GIA'!B:B, '00_TONG_HOP_BAO_GIA'!G:G, 1)</f>
        <v/>
      </c>
      <c r="I1154" s="5">
        <f>G1154*H1154</f>
        <v/>
      </c>
      <c r="J1154" s="2">
        <f>XLOOKUP(E1154, '06_BANG_GIA_VAT_TU_AP_DUNG'!B:B, '06_BANG_GIA_VAT_TU_AP_DUNG'!C:C, "LỖI_MÃ_VT")</f>
        <v/>
      </c>
      <c r="K1154" s="2">
        <f>I1154*J1154</f>
        <v/>
      </c>
      <c r="L1154" t="inlineStr">
        <is>
          <t>2 đôi bạc đỡ 2 bên thân</t>
        </is>
      </c>
    </row>
    <row r="1155">
      <c r="A1155" t="inlineStr">
        <is>
          <t>SW-DAMPER-287-GEAR</t>
        </is>
      </c>
      <c r="B1155" t="inlineStr">
        <is>
          <t>SW-DAMPER-287</t>
        </is>
      </c>
      <c r="C1155" t="inlineStr">
        <is>
          <t>Bánh răng van nhôm</t>
        </is>
      </c>
      <c r="D1155" t="inlineStr">
        <is>
          <t>PHỤ_KIỆN_VAN</t>
        </is>
      </c>
      <c r="E1155" t="inlineStr">
        <is>
          <t>MAT-DAMPER-BANH-RANG-VAN-NHOM</t>
        </is>
      </c>
      <c r="F1155" t="inlineStr">
        <is>
          <t>Bộ</t>
        </is>
      </c>
      <c r="G1155" s="4" t="n">
        <v>1</v>
      </c>
      <c r="H1155" s="2">
        <f>XLOOKUP(B1155, '00_TONG_HOP_BAO_GIA'!B:B, '00_TONG_HOP_BAO_GIA'!G:G, 1)</f>
        <v/>
      </c>
      <c r="I1155" s="5">
        <f>G1155*H1155</f>
        <v/>
      </c>
      <c r="J1155" s="2">
        <f>XLOOKUP(E1155, '06_BANG_GIA_VAT_TU_AP_DUNG'!B:B, '06_BANG_GIA_VAT_TU_AP_DUNG'!C:C, "LỖI_MÃ_VT")</f>
        <v/>
      </c>
      <c r="K1155" s="2">
        <f>I1155*J1155</f>
        <v/>
      </c>
      <c r="L1155" t="inlineStr">
        <is>
          <t>Cơ cấu liên động bánh răng van</t>
        </is>
      </c>
    </row>
    <row r="1156">
      <c r="A1156" t="inlineStr">
        <is>
          <t>SW-DAMPER-287-FUSE</t>
        </is>
      </c>
      <c r="B1156" t="inlineStr">
        <is>
          <t>SW-DAMPER-287</t>
        </is>
      </c>
      <c r="C1156" t="inlineStr">
        <is>
          <t>Cầu chì nhiệt nóng chảy 70°C (Elsie/USA)</t>
        </is>
      </c>
      <c r="D1156" t="inlineStr">
        <is>
          <t>PHỤ_KIỆN_VAN</t>
        </is>
      </c>
      <c r="E1156" t="inlineStr">
        <is>
          <t>MAT-DAMPER-CAU-CHI-USA-2-400X400</t>
        </is>
      </c>
      <c r="F1156" t="inlineStr">
        <is>
          <t>Cái</t>
        </is>
      </c>
      <c r="G1156" s="4" t="n">
        <v>1</v>
      </c>
      <c r="H1156" s="2">
        <f>XLOOKUP(B1156, '00_TONG_HOP_BAO_GIA'!B:B, '00_TONG_HOP_BAO_GIA'!G:G, 1)</f>
        <v/>
      </c>
      <c r="I1156" s="5">
        <f>G1156*H1156</f>
        <v/>
      </c>
      <c r="J1156" s="2">
        <f>XLOOKUP(E1156, '06_BANG_GIA_VAT_TU_AP_DUNG'!B:B, '06_BANG_GIA_VAT_TU_AP_DUNG'!C:C, "LỖI_MÃ_VT")</f>
        <v/>
      </c>
      <c r="K1156" s="2">
        <f>I1156*J1156</f>
        <v/>
      </c>
      <c r="L1156" t="inlineStr">
        <is>
          <t>Cầu chì kiểm định PCCC</t>
        </is>
      </c>
    </row>
    <row r="1157">
      <c r="A1157" t="inlineStr">
        <is>
          <t>SW-DAMPER-288-BODY</t>
        </is>
      </c>
      <c r="B1157" t="inlineStr">
        <is>
          <t>SW-DAMPER-288</t>
        </is>
      </c>
      <c r="C1157" t="inlineStr">
        <is>
          <t>Thân vỏ van FD bích TDF (0.95mm)</t>
        </is>
      </c>
      <c r="D1157" t="inlineStr">
        <is>
          <t>TÔN_CUỘN_MẠ_KẼM</t>
        </is>
      </c>
      <c r="E1157" t="inlineStr">
        <is>
          <t>MAT-STEEL-PN-0.95</t>
        </is>
      </c>
      <c r="F1157" t="inlineStr">
        <is>
          <t>kg</t>
        </is>
      </c>
      <c r="G1157" s="4" t="n">
        <v>8.118532800000002</v>
      </c>
      <c r="H1157" s="2">
        <f>XLOOKUP(B1157, '00_TONG_HOP_BAO_GIA'!B:B, '00_TONG_HOP_BAO_GIA'!G:G, 1)</f>
        <v/>
      </c>
      <c r="I1157" s="5">
        <f>G1157*H1157</f>
        <v/>
      </c>
      <c r="J1157" s="2">
        <f>XLOOKUP(E1157, '06_BANG_GIA_VAT_TU_AP_DUNG'!B:B, '06_BANG_GIA_VAT_TU_AP_DUNG'!C:C, "LỖI_MÃ_VT")</f>
        <v/>
      </c>
      <c r="K1157" s="2">
        <f>I1157*J1157</f>
        <v/>
      </c>
      <c r="L1157" t="inlineStr">
        <is>
          <t>Kích thước vỏ 1000.0x600.0x250mm</t>
        </is>
      </c>
    </row>
    <row r="1158">
      <c r="A1158" t="inlineStr">
        <is>
          <t>SW-DAMPER-288-BLADE</t>
        </is>
      </c>
      <c r="B1158" t="inlineStr">
        <is>
          <t>SW-DAMPER-288</t>
        </is>
      </c>
      <c r="C1158" t="inlineStr">
        <is>
          <t>Lá cánh van (4 cánh overlap)</t>
        </is>
      </c>
      <c r="D1158" t="inlineStr">
        <is>
          <t>TÔN_CUỘN_MẠ_KẼM</t>
        </is>
      </c>
      <c r="E1158" t="inlineStr">
        <is>
          <t>MAT-STEEL-PN-0.75</t>
        </is>
      </c>
      <c r="F1158" t="inlineStr">
        <is>
          <t>kg</t>
        </is>
      </c>
      <c r="G1158" s="4" t="n">
        <v>4.32378</v>
      </c>
      <c r="H1158" s="2">
        <f>XLOOKUP(B1158, '00_TONG_HOP_BAO_GIA'!B:B, '00_TONG_HOP_BAO_GIA'!G:G, 1)</f>
        <v/>
      </c>
      <c r="I1158" s="5">
        <f>G1158*H1158</f>
        <v/>
      </c>
      <c r="J1158" s="2">
        <f>XLOOKUP(E1158, '06_BANG_GIA_VAT_TU_AP_DUNG'!B:B, '06_BANG_GIA_VAT_TU_AP_DUNG'!C:C, "LỖI_MÃ_VT")</f>
        <v/>
      </c>
      <c r="K1158" s="2">
        <f>I1158*J1158</f>
        <v/>
      </c>
      <c r="L1158" t="inlineStr">
        <is>
          <t>4 cánh cao 170mm</t>
        </is>
      </c>
    </row>
    <row r="1159">
      <c r="A1159" t="inlineStr">
        <is>
          <t>SW-DAMPER-288-AXLE</t>
        </is>
      </c>
      <c r="B1159" t="inlineStr">
        <is>
          <t>SW-DAMPER-288</t>
        </is>
      </c>
      <c r="C1159" t="inlineStr">
        <is>
          <t>Trục Sus 201 D10</t>
        </is>
      </c>
      <c r="D1159" t="inlineStr">
        <is>
          <t>PHỤ_KIỆN_VAN</t>
        </is>
      </c>
      <c r="E1159" t="inlineStr">
        <is>
          <t>MAT-DAMPER-TRUC-SUS-201-D10</t>
        </is>
      </c>
      <c r="F1159" t="inlineStr">
        <is>
          <t>m</t>
        </is>
      </c>
      <c r="G1159" s="4" t="n">
        <v>4.24</v>
      </c>
      <c r="H1159" s="2">
        <f>XLOOKUP(B1159, '00_TONG_HOP_BAO_GIA'!B:B, '00_TONG_HOP_BAO_GIA'!G:G, 1)</f>
        <v/>
      </c>
      <c r="I1159" s="5">
        <f>G1159*H1159</f>
        <v/>
      </c>
      <c r="J1159" s="2">
        <f>XLOOKUP(E1159, '06_BANG_GIA_VAT_TU_AP_DUNG'!B:B, '06_BANG_GIA_VAT_TU_AP_DUNG'!C:C, "LỖI_MÃ_VT")</f>
        <v/>
      </c>
      <c r="K1159" s="2">
        <f>I1159*J1159</f>
        <v/>
      </c>
      <c r="L1159" t="inlineStr">
        <is>
          <t>4 trục dài 1060mm</t>
        </is>
      </c>
    </row>
    <row r="1160">
      <c r="A1160" t="inlineStr">
        <is>
          <t>SW-DAMPER-288-BEARING</t>
        </is>
      </c>
      <c r="B1160" t="inlineStr">
        <is>
          <t>SW-DAMPER-288</t>
        </is>
      </c>
      <c r="C1160" t="inlineStr">
        <is>
          <t>Bạc đồng D10</t>
        </is>
      </c>
      <c r="D1160" t="inlineStr">
        <is>
          <t>PHỤ_KIỆN_VAN</t>
        </is>
      </c>
      <c r="E1160" t="inlineStr">
        <is>
          <t>MAT-DAMPER-BAC-DONG-D10</t>
        </is>
      </c>
      <c r="F1160" t="inlineStr">
        <is>
          <t>Đôi</t>
        </is>
      </c>
      <c r="G1160" s="4" t="n">
        <v>4</v>
      </c>
      <c r="H1160" s="2">
        <f>XLOOKUP(B1160, '00_TONG_HOP_BAO_GIA'!B:B, '00_TONG_HOP_BAO_GIA'!G:G, 1)</f>
        <v/>
      </c>
      <c r="I1160" s="5">
        <f>G1160*H1160</f>
        <v/>
      </c>
      <c r="J1160" s="2">
        <f>XLOOKUP(E1160, '06_BANG_GIA_VAT_TU_AP_DUNG'!B:B, '06_BANG_GIA_VAT_TU_AP_DUNG'!C:C, "LỖI_MÃ_VT")</f>
        <v/>
      </c>
      <c r="K1160" s="2">
        <f>I1160*J1160</f>
        <v/>
      </c>
      <c r="L1160" t="inlineStr">
        <is>
          <t>4 đôi bạc đỡ 2 bên thân</t>
        </is>
      </c>
    </row>
    <row r="1161">
      <c r="A1161" t="inlineStr">
        <is>
          <t>SW-DAMPER-288-GEAR</t>
        </is>
      </c>
      <c r="B1161" t="inlineStr">
        <is>
          <t>SW-DAMPER-288</t>
        </is>
      </c>
      <c r="C1161" t="inlineStr">
        <is>
          <t>Bánh răng van nhôm</t>
        </is>
      </c>
      <c r="D1161" t="inlineStr">
        <is>
          <t>PHỤ_KIỆN_VAN</t>
        </is>
      </c>
      <c r="E1161" t="inlineStr">
        <is>
          <t>MAT-DAMPER-BANH-RANG-VAN-NHOM</t>
        </is>
      </c>
      <c r="F1161" t="inlineStr">
        <is>
          <t>Bộ</t>
        </is>
      </c>
      <c r="G1161" s="4" t="n">
        <v>1</v>
      </c>
      <c r="H1161" s="2">
        <f>XLOOKUP(B1161, '00_TONG_HOP_BAO_GIA'!B:B, '00_TONG_HOP_BAO_GIA'!G:G, 1)</f>
        <v/>
      </c>
      <c r="I1161" s="5">
        <f>G1161*H1161</f>
        <v/>
      </c>
      <c r="J1161" s="2">
        <f>XLOOKUP(E1161, '06_BANG_GIA_VAT_TU_AP_DUNG'!B:B, '06_BANG_GIA_VAT_TU_AP_DUNG'!C:C, "LỖI_MÃ_VT")</f>
        <v/>
      </c>
      <c r="K1161" s="2">
        <f>I1161*J1161</f>
        <v/>
      </c>
      <c r="L1161" t="inlineStr">
        <is>
          <t>Cơ cấu liên động bánh răng van</t>
        </is>
      </c>
    </row>
    <row r="1162">
      <c r="A1162" t="inlineStr">
        <is>
          <t>SW-DAMPER-288-FUSE</t>
        </is>
      </c>
      <c r="B1162" t="inlineStr">
        <is>
          <t>SW-DAMPER-288</t>
        </is>
      </c>
      <c r="C1162" t="inlineStr">
        <is>
          <t>Cầu chì nhiệt nóng chảy 70°C (Elsie/USA)</t>
        </is>
      </c>
      <c r="D1162" t="inlineStr">
        <is>
          <t>PHỤ_KIỆN_VAN</t>
        </is>
      </c>
      <c r="E1162" t="inlineStr">
        <is>
          <t>MAT-DAMPER-CAU-CHI-USA-2-400X400</t>
        </is>
      </c>
      <c r="F1162" t="inlineStr">
        <is>
          <t>Cái</t>
        </is>
      </c>
      <c r="G1162" s="4" t="n">
        <v>1</v>
      </c>
      <c r="H1162" s="2">
        <f>XLOOKUP(B1162, '00_TONG_HOP_BAO_GIA'!B:B, '00_TONG_HOP_BAO_GIA'!G:G, 1)</f>
        <v/>
      </c>
      <c r="I1162" s="5">
        <f>G1162*H1162</f>
        <v/>
      </c>
      <c r="J1162" s="2">
        <f>XLOOKUP(E1162, '06_BANG_GIA_VAT_TU_AP_DUNG'!B:B, '06_BANG_GIA_VAT_TU_AP_DUNG'!C:C, "LỖI_MÃ_VT")</f>
        <v/>
      </c>
      <c r="K1162" s="2">
        <f>I1162*J1162</f>
        <v/>
      </c>
      <c r="L1162" t="inlineStr">
        <is>
          <t>Cầu chì kiểm định PCCC</t>
        </is>
      </c>
    </row>
    <row r="1163">
      <c r="A1163" t="inlineStr">
        <is>
          <t>SW-DAMPER-289-BODY</t>
        </is>
      </c>
      <c r="B1163" t="inlineStr">
        <is>
          <t>SW-DAMPER-289</t>
        </is>
      </c>
      <c r="C1163" t="inlineStr">
        <is>
          <t>Thân vỏ van FD bích TDF (0.95mm)</t>
        </is>
      </c>
      <c r="D1163" t="inlineStr">
        <is>
          <t>TÔN_CUỘN_MẠ_KẼM</t>
        </is>
      </c>
      <c r="E1163" t="inlineStr">
        <is>
          <t>MAT-STEEL-PN-0.95</t>
        </is>
      </c>
      <c r="F1163" t="inlineStr">
        <is>
          <t>kg</t>
        </is>
      </c>
      <c r="G1163" s="4" t="n">
        <v>10.6242528</v>
      </c>
      <c r="H1163" s="2">
        <f>XLOOKUP(B1163, '00_TONG_HOP_BAO_GIA'!B:B, '00_TONG_HOP_BAO_GIA'!G:G, 1)</f>
        <v/>
      </c>
      <c r="I1163" s="5">
        <f>G1163*H1163</f>
        <v/>
      </c>
      <c r="J1163" s="2">
        <f>XLOOKUP(E1163, '06_BANG_GIA_VAT_TU_AP_DUNG'!B:B, '06_BANG_GIA_VAT_TU_AP_DUNG'!C:C, "LỖI_MÃ_VT")</f>
        <v/>
      </c>
      <c r="K1163" s="2">
        <f>I1163*J1163</f>
        <v/>
      </c>
      <c r="L1163" t="inlineStr">
        <is>
          <t>Kích thước vỏ 1200.0x900.0x250mm</t>
        </is>
      </c>
    </row>
    <row r="1164">
      <c r="A1164" t="inlineStr">
        <is>
          <t>SW-DAMPER-289-BLADE</t>
        </is>
      </c>
      <c r="B1164" t="inlineStr">
        <is>
          <t>SW-DAMPER-289</t>
        </is>
      </c>
      <c r="C1164" t="inlineStr">
        <is>
          <t>Lá cánh van (5 cánh overlap)</t>
        </is>
      </c>
      <c r="D1164" t="inlineStr">
        <is>
          <t>TÔN_CUỘN_MẠ_KẼM</t>
        </is>
      </c>
      <c r="E1164" t="inlineStr">
        <is>
          <t>MAT-STEEL-PN-0.75</t>
        </is>
      </c>
      <c r="F1164" t="inlineStr">
        <is>
          <t>kg</t>
        </is>
      </c>
      <c r="G1164" s="4" t="n">
        <v>7.6302</v>
      </c>
      <c r="H1164" s="2">
        <f>XLOOKUP(B1164, '00_TONG_HOP_BAO_GIA'!B:B, '00_TONG_HOP_BAO_GIA'!G:G, 1)</f>
        <v/>
      </c>
      <c r="I1164" s="5">
        <f>G1164*H1164</f>
        <v/>
      </c>
      <c r="J1164" s="2">
        <f>XLOOKUP(E1164, '06_BANG_GIA_VAT_TU_AP_DUNG'!B:B, '06_BANG_GIA_VAT_TU_AP_DUNG'!C:C, "LỖI_MÃ_VT")</f>
        <v/>
      </c>
      <c r="K1164" s="2">
        <f>I1164*J1164</f>
        <v/>
      </c>
      <c r="L1164" t="inlineStr">
        <is>
          <t>5 cánh cao 200mm</t>
        </is>
      </c>
    </row>
    <row r="1165">
      <c r="A1165" t="inlineStr">
        <is>
          <t>SW-DAMPER-289-AXLE</t>
        </is>
      </c>
      <c r="B1165" t="inlineStr">
        <is>
          <t>SW-DAMPER-289</t>
        </is>
      </c>
      <c r="C1165" t="inlineStr">
        <is>
          <t>Trục Sus 201 D10</t>
        </is>
      </c>
      <c r="D1165" t="inlineStr">
        <is>
          <t>PHỤ_KIỆN_VAN</t>
        </is>
      </c>
      <c r="E1165" t="inlineStr">
        <is>
          <t>MAT-DAMPER-TRUC-SUS-201-D10</t>
        </is>
      </c>
      <c r="F1165" t="inlineStr">
        <is>
          <t>m</t>
        </is>
      </c>
      <c r="G1165" s="4" t="n">
        <v>6.3</v>
      </c>
      <c r="H1165" s="2">
        <f>XLOOKUP(B1165, '00_TONG_HOP_BAO_GIA'!B:B, '00_TONG_HOP_BAO_GIA'!G:G, 1)</f>
        <v/>
      </c>
      <c r="I1165" s="5">
        <f>G1165*H1165</f>
        <v/>
      </c>
      <c r="J1165" s="2">
        <f>XLOOKUP(E1165, '06_BANG_GIA_VAT_TU_AP_DUNG'!B:B, '06_BANG_GIA_VAT_TU_AP_DUNG'!C:C, "LỖI_MÃ_VT")</f>
        <v/>
      </c>
      <c r="K1165" s="2">
        <f>I1165*J1165</f>
        <v/>
      </c>
      <c r="L1165" t="inlineStr">
        <is>
          <t>5 trục dài 1260mm</t>
        </is>
      </c>
    </row>
    <row r="1166">
      <c r="A1166" t="inlineStr">
        <is>
          <t>SW-DAMPER-289-BEARING</t>
        </is>
      </c>
      <c r="B1166" t="inlineStr">
        <is>
          <t>SW-DAMPER-289</t>
        </is>
      </c>
      <c r="C1166" t="inlineStr">
        <is>
          <t>Bạc đồng D10</t>
        </is>
      </c>
      <c r="D1166" t="inlineStr">
        <is>
          <t>PHỤ_KIỆN_VAN</t>
        </is>
      </c>
      <c r="E1166" t="inlineStr">
        <is>
          <t>MAT-DAMPER-BAC-DONG-D10</t>
        </is>
      </c>
      <c r="F1166" t="inlineStr">
        <is>
          <t>Đôi</t>
        </is>
      </c>
      <c r="G1166" s="4" t="n">
        <v>5</v>
      </c>
      <c r="H1166" s="2">
        <f>XLOOKUP(B1166, '00_TONG_HOP_BAO_GIA'!B:B, '00_TONG_HOP_BAO_GIA'!G:G, 1)</f>
        <v/>
      </c>
      <c r="I1166" s="5">
        <f>G1166*H1166</f>
        <v/>
      </c>
      <c r="J1166" s="2">
        <f>XLOOKUP(E1166, '06_BANG_GIA_VAT_TU_AP_DUNG'!B:B, '06_BANG_GIA_VAT_TU_AP_DUNG'!C:C, "LỖI_MÃ_VT")</f>
        <v/>
      </c>
      <c r="K1166" s="2">
        <f>I1166*J1166</f>
        <v/>
      </c>
      <c r="L1166" t="inlineStr">
        <is>
          <t>5 đôi bạc đỡ 2 bên thân</t>
        </is>
      </c>
    </row>
    <row r="1167">
      <c r="A1167" t="inlineStr">
        <is>
          <t>SW-DAMPER-289-GEAR</t>
        </is>
      </c>
      <c r="B1167" t="inlineStr">
        <is>
          <t>SW-DAMPER-289</t>
        </is>
      </c>
      <c r="C1167" t="inlineStr">
        <is>
          <t>Bánh răng van nhôm</t>
        </is>
      </c>
      <c r="D1167" t="inlineStr">
        <is>
          <t>PHỤ_KIỆN_VAN</t>
        </is>
      </c>
      <c r="E1167" t="inlineStr">
        <is>
          <t>MAT-DAMPER-BANH-RANG-VAN-NHOM</t>
        </is>
      </c>
      <c r="F1167" t="inlineStr">
        <is>
          <t>Bộ</t>
        </is>
      </c>
      <c r="G1167" s="4" t="n">
        <v>1</v>
      </c>
      <c r="H1167" s="2">
        <f>XLOOKUP(B1167, '00_TONG_HOP_BAO_GIA'!B:B, '00_TONG_HOP_BAO_GIA'!G:G, 1)</f>
        <v/>
      </c>
      <c r="I1167" s="5">
        <f>G1167*H1167</f>
        <v/>
      </c>
      <c r="J1167" s="2">
        <f>XLOOKUP(E1167, '06_BANG_GIA_VAT_TU_AP_DUNG'!B:B, '06_BANG_GIA_VAT_TU_AP_DUNG'!C:C, "LỖI_MÃ_VT")</f>
        <v/>
      </c>
      <c r="K1167" s="2">
        <f>I1167*J1167</f>
        <v/>
      </c>
      <c r="L1167" t="inlineStr">
        <is>
          <t>Cơ cấu liên động bánh răng van</t>
        </is>
      </c>
    </row>
    <row r="1168">
      <c r="A1168" t="inlineStr">
        <is>
          <t>SW-DAMPER-289-FUSE</t>
        </is>
      </c>
      <c r="B1168" t="inlineStr">
        <is>
          <t>SW-DAMPER-289</t>
        </is>
      </c>
      <c r="C1168" t="inlineStr">
        <is>
          <t>Cầu chì nhiệt nóng chảy 70°C (Elsie/USA)</t>
        </is>
      </c>
      <c r="D1168" t="inlineStr">
        <is>
          <t>PHỤ_KIỆN_VAN</t>
        </is>
      </c>
      <c r="E1168" t="inlineStr">
        <is>
          <t>MAT-DAMPER-CAU-CHI-USA-2-400X400</t>
        </is>
      </c>
      <c r="F1168" t="inlineStr">
        <is>
          <t>Cái</t>
        </is>
      </c>
      <c r="G1168" s="4" t="n">
        <v>1</v>
      </c>
      <c r="H1168" s="2">
        <f>XLOOKUP(B1168, '00_TONG_HOP_BAO_GIA'!B:B, '00_TONG_HOP_BAO_GIA'!G:G, 1)</f>
        <v/>
      </c>
      <c r="I1168" s="5">
        <f>G1168*H1168</f>
        <v/>
      </c>
      <c r="J1168" s="2">
        <f>XLOOKUP(E1168, '06_BANG_GIA_VAT_TU_AP_DUNG'!B:B, '06_BANG_GIA_VAT_TU_AP_DUNG'!C:C, "LỖI_MÃ_VT")</f>
        <v/>
      </c>
      <c r="K1168" s="2">
        <f>I1168*J1168</f>
        <v/>
      </c>
      <c r="L1168" t="inlineStr">
        <is>
          <t>Cầu chì kiểm định PCCC</t>
        </is>
      </c>
    </row>
    <row r="1169">
      <c r="A1169" t="inlineStr">
        <is>
          <t>SW-DAMPER-293-BODY</t>
        </is>
      </c>
      <c r="B1169" t="inlineStr">
        <is>
          <t>SW-DAMPER-293</t>
        </is>
      </c>
      <c r="C1169" t="inlineStr">
        <is>
          <t>Thân vỏ van MD bích TDF (0.75mm)</t>
        </is>
      </c>
      <c r="D1169" t="inlineStr">
        <is>
          <t>TÔN_CUỘN_MẠ_KẼM</t>
        </is>
      </c>
      <c r="E1169" t="inlineStr">
        <is>
          <t>MAT-STEEL-PN-0.75</t>
        </is>
      </c>
      <c r="F1169" t="inlineStr">
        <is>
          <t>kg</t>
        </is>
      </c>
      <c r="G1169" s="4" t="n">
        <v>4.3965495</v>
      </c>
      <c r="H1169" s="2">
        <f>XLOOKUP(B1169, '00_TONG_HOP_BAO_GIA'!B:B, '00_TONG_HOP_BAO_GIA'!G:G, 1)</f>
        <v/>
      </c>
      <c r="I1169" s="5">
        <f>G1169*H1169</f>
        <v/>
      </c>
      <c r="J1169" s="2">
        <f>XLOOKUP(E1169, '06_BANG_GIA_VAT_TU_AP_DUNG'!B:B, '06_BANG_GIA_VAT_TU_AP_DUNG'!C:C, "LỖI_MÃ_VT")</f>
        <v/>
      </c>
      <c r="K1169" s="2">
        <f>I1169*J1169</f>
        <v/>
      </c>
      <c r="L1169" t="inlineStr">
        <is>
          <t>Kích thước vỏ 800.0x450.0x210mm</t>
        </is>
      </c>
    </row>
    <row r="1170">
      <c r="A1170" t="inlineStr">
        <is>
          <t>SW-DAMPER-293-BLADE</t>
        </is>
      </c>
      <c r="B1170" t="inlineStr">
        <is>
          <t>SW-DAMPER-293</t>
        </is>
      </c>
      <c r="C1170" t="inlineStr">
        <is>
          <t>Lá cánh van (3 cánh overlap)</t>
        </is>
      </c>
      <c r="D1170" t="inlineStr">
        <is>
          <t>TÔN_CUỘN_MẠ_KẼM</t>
        </is>
      </c>
      <c r="E1170" t="inlineStr">
        <is>
          <t>MAT-STEEL-PN-0.75</t>
        </is>
      </c>
      <c r="F1170" t="inlineStr">
        <is>
          <t>kg</t>
        </is>
      </c>
      <c r="G1170" s="4" t="n">
        <v>2.594268</v>
      </c>
      <c r="H1170" s="2">
        <f>XLOOKUP(B1170, '00_TONG_HOP_BAO_GIA'!B:B, '00_TONG_HOP_BAO_GIA'!G:G, 1)</f>
        <v/>
      </c>
      <c r="I1170" s="5">
        <f>G1170*H1170</f>
        <v/>
      </c>
      <c r="J1170" s="2">
        <f>XLOOKUP(E1170, '06_BANG_GIA_VAT_TU_AP_DUNG'!B:B, '06_BANG_GIA_VAT_TU_AP_DUNG'!C:C, "LỖI_MÃ_VT")</f>
        <v/>
      </c>
      <c r="K1170" s="2">
        <f>I1170*J1170</f>
        <v/>
      </c>
      <c r="L1170" t="inlineStr">
        <is>
          <t>3 cánh cao 170mm</t>
        </is>
      </c>
    </row>
    <row r="1171">
      <c r="A1171" t="inlineStr">
        <is>
          <t>SW-DAMPER-293-AXLE</t>
        </is>
      </c>
      <c r="B1171" t="inlineStr">
        <is>
          <t>SW-DAMPER-293</t>
        </is>
      </c>
      <c r="C1171" t="inlineStr">
        <is>
          <t>Trục Sus 201 D10</t>
        </is>
      </c>
      <c r="D1171" t="inlineStr">
        <is>
          <t>PHỤ_KIỆN_VAN</t>
        </is>
      </c>
      <c r="E1171" t="inlineStr">
        <is>
          <t>MAT-DAMPER-TRUC-SUS-201-D10</t>
        </is>
      </c>
      <c r="F1171" t="inlineStr">
        <is>
          <t>m</t>
        </is>
      </c>
      <c r="G1171" s="4" t="n">
        <v>2.58</v>
      </c>
      <c r="H1171" s="2">
        <f>XLOOKUP(B1171, '00_TONG_HOP_BAO_GIA'!B:B, '00_TONG_HOP_BAO_GIA'!G:G, 1)</f>
        <v/>
      </c>
      <c r="I1171" s="5">
        <f>G1171*H1171</f>
        <v/>
      </c>
      <c r="J1171" s="2">
        <f>XLOOKUP(E1171, '06_BANG_GIA_VAT_TU_AP_DUNG'!B:B, '06_BANG_GIA_VAT_TU_AP_DUNG'!C:C, "LỖI_MÃ_VT")</f>
        <v/>
      </c>
      <c r="K1171" s="2">
        <f>I1171*J1171</f>
        <v/>
      </c>
      <c r="L1171" t="inlineStr">
        <is>
          <t>3 trục dài 860mm</t>
        </is>
      </c>
    </row>
    <row r="1172">
      <c r="A1172" t="inlineStr">
        <is>
          <t>SW-DAMPER-293-BEARING</t>
        </is>
      </c>
      <c r="B1172" t="inlineStr">
        <is>
          <t>SW-DAMPER-293</t>
        </is>
      </c>
      <c r="C1172" t="inlineStr">
        <is>
          <t>Bạc đồng D10</t>
        </is>
      </c>
      <c r="D1172" t="inlineStr">
        <is>
          <t>PHỤ_KIỆN_VAN</t>
        </is>
      </c>
      <c r="E1172" t="inlineStr">
        <is>
          <t>MAT-DAMPER-BAC-DONG-D10</t>
        </is>
      </c>
      <c r="F1172" t="inlineStr">
        <is>
          <t>Đôi</t>
        </is>
      </c>
      <c r="G1172" s="4" t="n">
        <v>3</v>
      </c>
      <c r="H1172" s="2">
        <f>XLOOKUP(B1172, '00_TONG_HOP_BAO_GIA'!B:B, '00_TONG_HOP_BAO_GIA'!G:G, 1)</f>
        <v/>
      </c>
      <c r="I1172" s="5">
        <f>G1172*H1172</f>
        <v/>
      </c>
      <c r="J1172" s="2">
        <f>XLOOKUP(E1172, '06_BANG_GIA_VAT_TU_AP_DUNG'!B:B, '06_BANG_GIA_VAT_TU_AP_DUNG'!C:C, "LỖI_MÃ_VT")</f>
        <v/>
      </c>
      <c r="K1172" s="2">
        <f>I1172*J1172</f>
        <v/>
      </c>
      <c r="L1172" t="inlineStr">
        <is>
          <t>3 đôi bạc đỡ 2 bên thân</t>
        </is>
      </c>
    </row>
    <row r="1173">
      <c r="A1173" t="inlineStr">
        <is>
          <t>SW-DAMPER-293-GEAR</t>
        </is>
      </c>
      <c r="B1173" t="inlineStr">
        <is>
          <t>SW-DAMPER-293</t>
        </is>
      </c>
      <c r="C1173" t="inlineStr">
        <is>
          <t>Bánh răng van nhôm</t>
        </is>
      </c>
      <c r="D1173" t="inlineStr">
        <is>
          <t>PHỤ_KIỆN_VAN</t>
        </is>
      </c>
      <c r="E1173" t="inlineStr">
        <is>
          <t>MAT-DAMPER-BANH-RANG-VAN-NHOM</t>
        </is>
      </c>
      <c r="F1173" t="inlineStr">
        <is>
          <t>Bộ</t>
        </is>
      </c>
      <c r="G1173" s="4" t="n">
        <v>1</v>
      </c>
      <c r="H1173" s="2">
        <f>XLOOKUP(B1173, '00_TONG_HOP_BAO_GIA'!B:B, '00_TONG_HOP_BAO_GIA'!G:G, 1)</f>
        <v/>
      </c>
      <c r="I1173" s="5">
        <f>G1173*H1173</f>
        <v/>
      </c>
      <c r="J1173" s="2">
        <f>XLOOKUP(E1173, '06_BANG_GIA_VAT_TU_AP_DUNG'!B:B, '06_BANG_GIA_VAT_TU_AP_DUNG'!C:C, "LỖI_MÃ_VT")</f>
        <v/>
      </c>
      <c r="K1173" s="2">
        <f>I1173*J1173</f>
        <v/>
      </c>
      <c r="L1173" t="inlineStr">
        <is>
          <t>Cơ cấu liên động bánh răng van</t>
        </is>
      </c>
    </row>
    <row r="1174">
      <c r="A1174" t="inlineStr">
        <is>
          <t>SW-DAMPER-293-ACTUATOR</t>
        </is>
      </c>
      <c r="B1174" t="inlineStr">
        <is>
          <t>SW-DAMPER-293</t>
        </is>
      </c>
      <c r="C1174" t="inlineStr">
        <is>
          <t>Model: NACA 2-05 (5Nm, 220VAC)</t>
        </is>
      </c>
      <c r="D1174" t="inlineStr">
        <is>
          <t>ĐỘNG_CƠ_VÀ_CẢM_BIẾN</t>
        </is>
      </c>
      <c r="E1174" t="inlineStr">
        <is>
          <t>MAT-ACTUATOR-NACA-2-05</t>
        </is>
      </c>
      <c r="F1174" t="inlineStr">
        <is>
          <t>Cái</t>
        </is>
      </c>
      <c r="G1174" s="4" t="n">
        <v>1</v>
      </c>
      <c r="H1174" s="2">
        <f>XLOOKUP(B1174, '00_TONG_HOP_BAO_GIA'!B:B, '00_TONG_HOP_BAO_GIA'!G:G, 1)</f>
        <v/>
      </c>
      <c r="I1174" s="5">
        <f>G1174*H1174</f>
        <v/>
      </c>
      <c r="J1174" s="2">
        <f>XLOOKUP(E1174, '06_BANG_GIA_VAT_TU_AP_DUNG'!B:B, '06_BANG_GIA_VAT_TU_AP_DUNG'!C:C, "LỖI_MÃ_VT")</f>
        <v/>
      </c>
      <c r="K1174" s="2">
        <f>I1174*J1174</f>
        <v/>
      </c>
      <c r="L1174" t="inlineStr">
        <is>
          <t>Tiết diện van 0.36m2</t>
        </is>
      </c>
    </row>
    <row r="1175">
      <c r="A1175" t="inlineStr">
        <is>
          <t>SW-DAMPER-294-BODY</t>
        </is>
      </c>
      <c r="B1175" t="inlineStr">
        <is>
          <t>SW-DAMPER-294</t>
        </is>
      </c>
      <c r="C1175" t="inlineStr">
        <is>
          <t>Thân vỏ van MD bích TDF (0.75mm)</t>
        </is>
      </c>
      <c r="D1175" t="inlineStr">
        <is>
          <t>TÔN_CUỘN_MẠ_KẼM</t>
        </is>
      </c>
      <c r="E1175" t="inlineStr">
        <is>
          <t>MAT-STEEL-PN-0.75</t>
        </is>
      </c>
      <c r="F1175" t="inlineStr">
        <is>
          <t>kg</t>
        </is>
      </c>
      <c r="G1175" s="4" t="n">
        <v>4.0503645</v>
      </c>
      <c r="H1175" s="2">
        <f>XLOOKUP(B1175, '00_TONG_HOP_BAO_GIA'!B:B, '00_TONG_HOP_BAO_GIA'!G:G, 1)</f>
        <v/>
      </c>
      <c r="I1175" s="5">
        <f>G1175*H1175</f>
        <v/>
      </c>
      <c r="J1175" s="2">
        <f>XLOOKUP(E1175, '06_BANG_GIA_VAT_TU_AP_DUNG'!B:B, '06_BANG_GIA_VAT_TU_AP_DUNG'!C:C, "LỖI_MÃ_VT")</f>
        <v/>
      </c>
      <c r="K1175" s="2">
        <f>I1175*J1175</f>
        <v/>
      </c>
      <c r="L1175" t="inlineStr">
        <is>
          <t>Kích thước vỏ 800.0x350.0x210mm</t>
        </is>
      </c>
    </row>
    <row r="1176">
      <c r="A1176" t="inlineStr">
        <is>
          <t>SW-DAMPER-294-BLADE</t>
        </is>
      </c>
      <c r="B1176" t="inlineStr">
        <is>
          <t>SW-DAMPER-294</t>
        </is>
      </c>
      <c r="C1176" t="inlineStr">
        <is>
          <t>Lá cánh van (2 cánh overlap)</t>
        </is>
      </c>
      <c r="D1176" t="inlineStr">
        <is>
          <t>TÔN_CUỘN_MẠ_KẼM</t>
        </is>
      </c>
      <c r="E1176" t="inlineStr">
        <is>
          <t>MAT-STEEL-PN-0.75</t>
        </is>
      </c>
      <c r="F1176" t="inlineStr">
        <is>
          <t>kg</t>
        </is>
      </c>
      <c r="G1176" s="4" t="n">
        <v>1.983852</v>
      </c>
      <c r="H1176" s="2">
        <f>XLOOKUP(B1176, '00_TONG_HOP_BAO_GIA'!B:B, '00_TONG_HOP_BAO_GIA'!G:G, 1)</f>
        <v/>
      </c>
      <c r="I1176" s="5">
        <f>G1176*H1176</f>
        <v/>
      </c>
      <c r="J1176" s="2">
        <f>XLOOKUP(E1176, '06_BANG_GIA_VAT_TU_AP_DUNG'!B:B, '06_BANG_GIA_VAT_TU_AP_DUNG'!C:C, "LỖI_MÃ_VT")</f>
        <v/>
      </c>
      <c r="K1176" s="2">
        <f>I1176*J1176</f>
        <v/>
      </c>
      <c r="L1176" t="inlineStr">
        <is>
          <t>2 cánh cao 195mm</t>
        </is>
      </c>
    </row>
    <row r="1177">
      <c r="A1177" t="inlineStr">
        <is>
          <t>SW-DAMPER-294-AXLE</t>
        </is>
      </c>
      <c r="B1177" t="inlineStr">
        <is>
          <t>SW-DAMPER-294</t>
        </is>
      </c>
      <c r="C1177" t="inlineStr">
        <is>
          <t>Trục Sus 201 D10</t>
        </is>
      </c>
      <c r="D1177" t="inlineStr">
        <is>
          <t>PHỤ_KIỆN_VAN</t>
        </is>
      </c>
      <c r="E1177" t="inlineStr">
        <is>
          <t>MAT-DAMPER-TRUC-SUS-201-D10</t>
        </is>
      </c>
      <c r="F1177" t="inlineStr">
        <is>
          <t>m</t>
        </is>
      </c>
      <c r="G1177" s="4" t="n">
        <v>1.72</v>
      </c>
      <c r="H1177" s="2">
        <f>XLOOKUP(B1177, '00_TONG_HOP_BAO_GIA'!B:B, '00_TONG_HOP_BAO_GIA'!G:G, 1)</f>
        <v/>
      </c>
      <c r="I1177" s="5">
        <f>G1177*H1177</f>
        <v/>
      </c>
      <c r="J1177" s="2">
        <f>XLOOKUP(E1177, '06_BANG_GIA_VAT_TU_AP_DUNG'!B:B, '06_BANG_GIA_VAT_TU_AP_DUNG'!C:C, "LỖI_MÃ_VT")</f>
        <v/>
      </c>
      <c r="K1177" s="2">
        <f>I1177*J1177</f>
        <v/>
      </c>
      <c r="L1177" t="inlineStr">
        <is>
          <t>2 trục dài 860mm</t>
        </is>
      </c>
    </row>
    <row r="1178">
      <c r="A1178" t="inlineStr">
        <is>
          <t>SW-DAMPER-294-BEARING</t>
        </is>
      </c>
      <c r="B1178" t="inlineStr">
        <is>
          <t>SW-DAMPER-294</t>
        </is>
      </c>
      <c r="C1178" t="inlineStr">
        <is>
          <t>Bạc đồng D10</t>
        </is>
      </c>
      <c r="D1178" t="inlineStr">
        <is>
          <t>PHỤ_KIỆN_VAN</t>
        </is>
      </c>
      <c r="E1178" t="inlineStr">
        <is>
          <t>MAT-DAMPER-BAC-DONG-D10</t>
        </is>
      </c>
      <c r="F1178" t="inlineStr">
        <is>
          <t>Đôi</t>
        </is>
      </c>
      <c r="G1178" s="4" t="n">
        <v>2</v>
      </c>
      <c r="H1178" s="2">
        <f>XLOOKUP(B1178, '00_TONG_HOP_BAO_GIA'!B:B, '00_TONG_HOP_BAO_GIA'!G:G, 1)</f>
        <v/>
      </c>
      <c r="I1178" s="5">
        <f>G1178*H1178</f>
        <v/>
      </c>
      <c r="J1178" s="2">
        <f>XLOOKUP(E1178, '06_BANG_GIA_VAT_TU_AP_DUNG'!B:B, '06_BANG_GIA_VAT_TU_AP_DUNG'!C:C, "LỖI_MÃ_VT")</f>
        <v/>
      </c>
      <c r="K1178" s="2">
        <f>I1178*J1178</f>
        <v/>
      </c>
      <c r="L1178" t="inlineStr">
        <is>
          <t>2 đôi bạc đỡ 2 bên thân</t>
        </is>
      </c>
    </row>
    <row r="1179">
      <c r="A1179" t="inlineStr">
        <is>
          <t>SW-DAMPER-294-GEAR</t>
        </is>
      </c>
      <c r="B1179" t="inlineStr">
        <is>
          <t>SW-DAMPER-294</t>
        </is>
      </c>
      <c r="C1179" t="inlineStr">
        <is>
          <t>Bánh răng van nhôm</t>
        </is>
      </c>
      <c r="D1179" t="inlineStr">
        <is>
          <t>PHỤ_KIỆN_VAN</t>
        </is>
      </c>
      <c r="E1179" t="inlineStr">
        <is>
          <t>MAT-DAMPER-BANH-RANG-VAN-NHOM</t>
        </is>
      </c>
      <c r="F1179" t="inlineStr">
        <is>
          <t>Bộ</t>
        </is>
      </c>
      <c r="G1179" s="4" t="n">
        <v>1</v>
      </c>
      <c r="H1179" s="2">
        <f>XLOOKUP(B1179, '00_TONG_HOP_BAO_GIA'!B:B, '00_TONG_HOP_BAO_GIA'!G:G, 1)</f>
        <v/>
      </c>
      <c r="I1179" s="5">
        <f>G1179*H1179</f>
        <v/>
      </c>
      <c r="J1179" s="2">
        <f>XLOOKUP(E1179, '06_BANG_GIA_VAT_TU_AP_DUNG'!B:B, '06_BANG_GIA_VAT_TU_AP_DUNG'!C:C, "LỖI_MÃ_VT")</f>
        <v/>
      </c>
      <c r="K1179" s="2">
        <f>I1179*J1179</f>
        <v/>
      </c>
      <c r="L1179" t="inlineStr">
        <is>
          <t>Cơ cấu liên động bánh răng van</t>
        </is>
      </c>
    </row>
    <row r="1180">
      <c r="A1180" t="inlineStr">
        <is>
          <t>SW-DAMPER-294-ACTUATOR</t>
        </is>
      </c>
      <c r="B1180" t="inlineStr">
        <is>
          <t>SW-DAMPER-294</t>
        </is>
      </c>
      <c r="C1180" t="inlineStr">
        <is>
          <t>Model: NACA 2-05 (5Nm, 220VAC)</t>
        </is>
      </c>
      <c r="D1180" t="inlineStr">
        <is>
          <t>ĐỘNG_CƠ_VÀ_CẢM_BIẾN</t>
        </is>
      </c>
      <c r="E1180" t="inlineStr">
        <is>
          <t>MAT-ACTUATOR-NACA-2-05</t>
        </is>
      </c>
      <c r="F1180" t="inlineStr">
        <is>
          <t>Cái</t>
        </is>
      </c>
      <c r="G1180" s="4" t="n">
        <v>1</v>
      </c>
      <c r="H1180" s="2">
        <f>XLOOKUP(B1180, '00_TONG_HOP_BAO_GIA'!B:B, '00_TONG_HOP_BAO_GIA'!G:G, 1)</f>
        <v/>
      </c>
      <c r="I1180" s="5">
        <f>G1180*H1180</f>
        <v/>
      </c>
      <c r="J1180" s="2">
        <f>XLOOKUP(E1180, '06_BANG_GIA_VAT_TU_AP_DUNG'!B:B, '06_BANG_GIA_VAT_TU_AP_DUNG'!C:C, "LỖI_MÃ_VT")</f>
        <v/>
      </c>
      <c r="K1180" s="2">
        <f>I1180*J1180</f>
        <v/>
      </c>
      <c r="L1180" t="inlineStr">
        <is>
          <t>Tiết diện van 0.28m2</t>
        </is>
      </c>
    </row>
    <row r="1181">
      <c r="A1181" t="inlineStr">
        <is>
          <t>SW-DAMPER-295-BODY</t>
        </is>
      </c>
      <c r="B1181" t="inlineStr">
        <is>
          <t>SW-DAMPER-295</t>
        </is>
      </c>
      <c r="C1181" t="inlineStr">
        <is>
          <t>Thân vỏ van FD bích TDF (0.75mm)</t>
        </is>
      </c>
      <c r="D1181" t="inlineStr">
        <is>
          <t>TÔN_CUỘN_MẠ_KẼM</t>
        </is>
      </c>
      <c r="E1181" t="inlineStr">
        <is>
          <t>MAT-STEEL-PN-0.75</t>
        </is>
      </c>
      <c r="F1181" t="inlineStr">
        <is>
          <t>kg</t>
        </is>
      </c>
      <c r="G1181" s="4" t="n">
        <v>4.233348</v>
      </c>
      <c r="H1181" s="2">
        <f>XLOOKUP(B1181, '00_TONG_HOP_BAO_GIA'!B:B, '00_TONG_HOP_BAO_GIA'!G:G, 1)</f>
        <v/>
      </c>
      <c r="I1181" s="5">
        <f>G1181*H1181</f>
        <v/>
      </c>
      <c r="J1181" s="2">
        <f>XLOOKUP(E1181, '06_BANG_GIA_VAT_TU_AP_DUNG'!B:B, '06_BANG_GIA_VAT_TU_AP_DUNG'!C:C, "LỖI_MÃ_VT")</f>
        <v/>
      </c>
      <c r="K1181" s="2">
        <f>I1181*J1181</f>
        <v/>
      </c>
      <c r="L1181" t="inlineStr">
        <is>
          <t>Kích thước vỏ 600.0x450.0x250mm</t>
        </is>
      </c>
    </row>
    <row r="1182">
      <c r="A1182" t="inlineStr">
        <is>
          <t>SW-DAMPER-295-BLADE</t>
        </is>
      </c>
      <c r="B1182" t="inlineStr">
        <is>
          <t>SW-DAMPER-295</t>
        </is>
      </c>
      <c r="C1182" t="inlineStr">
        <is>
          <t>Lá cánh van (3 cánh overlap)</t>
        </is>
      </c>
      <c r="D1182" t="inlineStr">
        <is>
          <t>TÔN_CUỘN_MẠ_KẼM</t>
        </is>
      </c>
      <c r="E1182" t="inlineStr">
        <is>
          <t>MAT-STEEL-PN-0.75</t>
        </is>
      </c>
      <c r="F1182" t="inlineStr">
        <is>
          <t>kg</t>
        </is>
      </c>
      <c r="G1182" s="4" t="n">
        <v>1.945701</v>
      </c>
      <c r="H1182" s="2">
        <f>XLOOKUP(B1182, '00_TONG_HOP_BAO_GIA'!B:B, '00_TONG_HOP_BAO_GIA'!G:G, 1)</f>
        <v/>
      </c>
      <c r="I1182" s="5">
        <f>G1182*H1182</f>
        <v/>
      </c>
      <c r="J1182" s="2">
        <f>XLOOKUP(E1182, '06_BANG_GIA_VAT_TU_AP_DUNG'!B:B, '06_BANG_GIA_VAT_TU_AP_DUNG'!C:C, "LỖI_MÃ_VT")</f>
        <v/>
      </c>
      <c r="K1182" s="2">
        <f>I1182*J1182</f>
        <v/>
      </c>
      <c r="L1182" t="inlineStr">
        <is>
          <t>3 cánh cao 170mm</t>
        </is>
      </c>
    </row>
    <row r="1183">
      <c r="A1183" t="inlineStr">
        <is>
          <t>SW-DAMPER-295-AXLE</t>
        </is>
      </c>
      <c r="B1183" t="inlineStr">
        <is>
          <t>SW-DAMPER-295</t>
        </is>
      </c>
      <c r="C1183" t="inlineStr">
        <is>
          <t>Trục Sus 201 D10</t>
        </is>
      </c>
      <c r="D1183" t="inlineStr">
        <is>
          <t>PHỤ_KIỆN_VAN</t>
        </is>
      </c>
      <c r="E1183" t="inlineStr">
        <is>
          <t>MAT-DAMPER-TRUC-SUS-201-D10</t>
        </is>
      </c>
      <c r="F1183" t="inlineStr">
        <is>
          <t>m</t>
        </is>
      </c>
      <c r="G1183" s="4" t="n">
        <v>1.98</v>
      </c>
      <c r="H1183" s="2">
        <f>XLOOKUP(B1183, '00_TONG_HOP_BAO_GIA'!B:B, '00_TONG_HOP_BAO_GIA'!G:G, 1)</f>
        <v/>
      </c>
      <c r="I1183" s="5">
        <f>G1183*H1183</f>
        <v/>
      </c>
      <c r="J1183" s="2">
        <f>XLOOKUP(E1183, '06_BANG_GIA_VAT_TU_AP_DUNG'!B:B, '06_BANG_GIA_VAT_TU_AP_DUNG'!C:C, "LỖI_MÃ_VT")</f>
        <v/>
      </c>
      <c r="K1183" s="2">
        <f>I1183*J1183</f>
        <v/>
      </c>
      <c r="L1183" t="inlineStr">
        <is>
          <t>3 trục dài 660mm</t>
        </is>
      </c>
    </row>
    <row r="1184">
      <c r="A1184" t="inlineStr">
        <is>
          <t>SW-DAMPER-295-BEARING</t>
        </is>
      </c>
      <c r="B1184" t="inlineStr">
        <is>
          <t>SW-DAMPER-295</t>
        </is>
      </c>
      <c r="C1184" t="inlineStr">
        <is>
          <t>Bạc đồng D10</t>
        </is>
      </c>
      <c r="D1184" t="inlineStr">
        <is>
          <t>PHỤ_KIỆN_VAN</t>
        </is>
      </c>
      <c r="E1184" t="inlineStr">
        <is>
          <t>MAT-DAMPER-BAC-DONG-D10</t>
        </is>
      </c>
      <c r="F1184" t="inlineStr">
        <is>
          <t>Đôi</t>
        </is>
      </c>
      <c r="G1184" s="4" t="n">
        <v>3</v>
      </c>
      <c r="H1184" s="2">
        <f>XLOOKUP(B1184, '00_TONG_HOP_BAO_GIA'!B:B, '00_TONG_HOP_BAO_GIA'!G:G, 1)</f>
        <v/>
      </c>
      <c r="I1184" s="5">
        <f>G1184*H1184</f>
        <v/>
      </c>
      <c r="J1184" s="2">
        <f>XLOOKUP(E1184, '06_BANG_GIA_VAT_TU_AP_DUNG'!B:B, '06_BANG_GIA_VAT_TU_AP_DUNG'!C:C, "LỖI_MÃ_VT")</f>
        <v/>
      </c>
      <c r="K1184" s="2">
        <f>I1184*J1184</f>
        <v/>
      </c>
      <c r="L1184" t="inlineStr">
        <is>
          <t>3 đôi bạc đỡ 2 bên thân</t>
        </is>
      </c>
    </row>
    <row r="1185">
      <c r="A1185" t="inlineStr">
        <is>
          <t>SW-DAMPER-295-GEAR</t>
        </is>
      </c>
      <c r="B1185" t="inlineStr">
        <is>
          <t>SW-DAMPER-295</t>
        </is>
      </c>
      <c r="C1185" t="inlineStr">
        <is>
          <t>Bánh răng van nhôm</t>
        </is>
      </c>
      <c r="D1185" t="inlineStr">
        <is>
          <t>PHỤ_KIỆN_VAN</t>
        </is>
      </c>
      <c r="E1185" t="inlineStr">
        <is>
          <t>MAT-DAMPER-BANH-RANG-VAN-NHOM</t>
        </is>
      </c>
      <c r="F1185" t="inlineStr">
        <is>
          <t>Bộ</t>
        </is>
      </c>
      <c r="G1185" s="4" t="n">
        <v>1</v>
      </c>
      <c r="H1185" s="2">
        <f>XLOOKUP(B1185, '00_TONG_HOP_BAO_GIA'!B:B, '00_TONG_HOP_BAO_GIA'!G:G, 1)</f>
        <v/>
      </c>
      <c r="I1185" s="5">
        <f>G1185*H1185</f>
        <v/>
      </c>
      <c r="J1185" s="2">
        <f>XLOOKUP(E1185, '06_BANG_GIA_VAT_TU_AP_DUNG'!B:B, '06_BANG_GIA_VAT_TU_AP_DUNG'!C:C, "LỖI_MÃ_VT")</f>
        <v/>
      </c>
      <c r="K1185" s="2">
        <f>I1185*J1185</f>
        <v/>
      </c>
      <c r="L1185" t="inlineStr">
        <is>
          <t>Cơ cấu liên động bánh răng van</t>
        </is>
      </c>
    </row>
    <row r="1186">
      <c r="A1186" t="inlineStr">
        <is>
          <t>SW-DAMPER-295-FUSE</t>
        </is>
      </c>
      <c r="B1186" t="inlineStr">
        <is>
          <t>SW-DAMPER-295</t>
        </is>
      </c>
      <c r="C1186" t="inlineStr">
        <is>
          <t>Cầu chì nhiệt nóng chảy 70°C (Elsie/USA)</t>
        </is>
      </c>
      <c r="D1186" t="inlineStr">
        <is>
          <t>PHỤ_KIỆN_VAN</t>
        </is>
      </c>
      <c r="E1186" t="inlineStr">
        <is>
          <t>MAT-DAMPER-CAU-CHI-USA-2-400X400</t>
        </is>
      </c>
      <c r="F1186" t="inlineStr">
        <is>
          <t>Cái</t>
        </is>
      </c>
      <c r="G1186" s="4" t="n">
        <v>1</v>
      </c>
      <c r="H1186" s="2">
        <f>XLOOKUP(B1186, '00_TONG_HOP_BAO_GIA'!B:B, '00_TONG_HOP_BAO_GIA'!G:G, 1)</f>
        <v/>
      </c>
      <c r="I1186" s="5">
        <f>G1186*H1186</f>
        <v/>
      </c>
      <c r="J1186" s="2">
        <f>XLOOKUP(E1186, '06_BANG_GIA_VAT_TU_AP_DUNG'!B:B, '06_BANG_GIA_VAT_TU_AP_DUNG'!C:C, "LỖI_MÃ_VT")</f>
        <v/>
      </c>
      <c r="K1186" s="2">
        <f>I1186*J1186</f>
        <v/>
      </c>
      <c r="L1186" t="inlineStr">
        <is>
          <t>Cầu chì kiểm định PCCC</t>
        </is>
      </c>
    </row>
    <row r="1187">
      <c r="A1187" t="inlineStr">
        <is>
          <t>SW-DAMPER-298-BODY</t>
        </is>
      </c>
      <c r="B1187" t="inlineStr">
        <is>
          <t>SW-DAMPER-298</t>
        </is>
      </c>
      <c r="C1187" t="inlineStr">
        <is>
          <t>Thân vỏ van FD bích TDF (0.75mm)</t>
        </is>
      </c>
      <c r="D1187" t="inlineStr">
        <is>
          <t>TÔN_CUỘN_MẠ_KẼM</t>
        </is>
      </c>
      <c r="E1187" t="inlineStr">
        <is>
          <t>MAT-STEEL-PN-0.75</t>
        </is>
      </c>
      <c r="F1187" t="inlineStr">
        <is>
          <t>kg</t>
        </is>
      </c>
      <c r="G1187" s="4" t="n">
        <v>1.266048</v>
      </c>
      <c r="H1187" s="2">
        <f>XLOOKUP(B1187, '00_TONG_HOP_BAO_GIA'!B:B, '00_TONG_HOP_BAO_GIA'!G:G, 1)</f>
        <v/>
      </c>
      <c r="I1187" s="5">
        <f>G1187*H1187</f>
        <v/>
      </c>
      <c r="J1187" s="2">
        <f>XLOOKUP(E1187, '06_BANG_GIA_VAT_TU_AP_DUNG'!B:B, '06_BANG_GIA_VAT_TU_AP_DUNG'!C:C, "LỖI_MÃ_VT")</f>
        <v/>
      </c>
      <c r="K1187" s="2">
        <f>I1187*J1187</f>
        <v/>
      </c>
      <c r="L1187" t="inlineStr">
        <is>
          <t>Kích thước vỏ 150.0x150.0x250mm</t>
        </is>
      </c>
    </row>
    <row r="1188">
      <c r="A1188" t="inlineStr">
        <is>
          <t>SW-DAMPER-298-BLADE</t>
        </is>
      </c>
      <c r="B1188" t="inlineStr">
        <is>
          <t>SW-DAMPER-298</t>
        </is>
      </c>
      <c r="C1188" t="inlineStr">
        <is>
          <t>Lá cánh van (1 cánh overlap)</t>
        </is>
      </c>
      <c r="D1188" t="inlineStr">
        <is>
          <t>TÔN_CUỘN_MẠ_KẼM</t>
        </is>
      </c>
      <c r="E1188" t="inlineStr">
        <is>
          <t>MAT-STEEL-PN-0.75</t>
        </is>
      </c>
      <c r="F1188" t="inlineStr">
        <is>
          <t>kg</t>
        </is>
      </c>
      <c r="G1188" s="4" t="n">
        <v>0.16214175</v>
      </c>
      <c r="H1188" s="2">
        <f>XLOOKUP(B1188, '00_TONG_HOP_BAO_GIA'!B:B, '00_TONG_HOP_BAO_GIA'!G:G, 1)</f>
        <v/>
      </c>
      <c r="I1188" s="5">
        <f>G1188*H1188</f>
        <v/>
      </c>
      <c r="J1188" s="2">
        <f>XLOOKUP(E1188, '06_BANG_GIA_VAT_TU_AP_DUNG'!B:B, '06_BANG_GIA_VAT_TU_AP_DUNG'!C:C, "LỖI_MÃ_VT")</f>
        <v/>
      </c>
      <c r="K1188" s="2">
        <f>I1188*J1188</f>
        <v/>
      </c>
      <c r="L1188" t="inlineStr">
        <is>
          <t>1 cánh cao 170mm</t>
        </is>
      </c>
    </row>
    <row r="1189">
      <c r="A1189" t="inlineStr">
        <is>
          <t>SW-DAMPER-298-AXLE</t>
        </is>
      </c>
      <c r="B1189" t="inlineStr">
        <is>
          <t>SW-DAMPER-298</t>
        </is>
      </c>
      <c r="C1189" t="inlineStr">
        <is>
          <t>Trục Sus 201 D10</t>
        </is>
      </c>
      <c r="D1189" t="inlineStr">
        <is>
          <t>PHỤ_KIỆN_VAN</t>
        </is>
      </c>
      <c r="E1189" t="inlineStr">
        <is>
          <t>MAT-DAMPER-TRUC-SUS-201-D10</t>
        </is>
      </c>
      <c r="F1189" t="inlineStr">
        <is>
          <t>m</t>
        </is>
      </c>
      <c r="G1189" s="4" t="n">
        <v>0.21</v>
      </c>
      <c r="H1189" s="2">
        <f>XLOOKUP(B1189, '00_TONG_HOP_BAO_GIA'!B:B, '00_TONG_HOP_BAO_GIA'!G:G, 1)</f>
        <v/>
      </c>
      <c r="I1189" s="5">
        <f>G1189*H1189</f>
        <v/>
      </c>
      <c r="J1189" s="2">
        <f>XLOOKUP(E1189, '06_BANG_GIA_VAT_TU_AP_DUNG'!B:B, '06_BANG_GIA_VAT_TU_AP_DUNG'!C:C, "LỖI_MÃ_VT")</f>
        <v/>
      </c>
      <c r="K1189" s="2">
        <f>I1189*J1189</f>
        <v/>
      </c>
      <c r="L1189" t="inlineStr">
        <is>
          <t>1 trục dài 210mm</t>
        </is>
      </c>
    </row>
    <row r="1190">
      <c r="A1190" t="inlineStr">
        <is>
          <t>SW-DAMPER-298-BEARING</t>
        </is>
      </c>
      <c r="B1190" t="inlineStr">
        <is>
          <t>SW-DAMPER-298</t>
        </is>
      </c>
      <c r="C1190" t="inlineStr">
        <is>
          <t>Bạc đồng D10</t>
        </is>
      </c>
      <c r="D1190" t="inlineStr">
        <is>
          <t>PHỤ_KIỆN_VAN</t>
        </is>
      </c>
      <c r="E1190" t="inlineStr">
        <is>
          <t>MAT-DAMPER-BAC-DONG-D10</t>
        </is>
      </c>
      <c r="F1190" t="inlineStr">
        <is>
          <t>Đôi</t>
        </is>
      </c>
      <c r="G1190" s="4" t="n">
        <v>1</v>
      </c>
      <c r="H1190" s="2">
        <f>XLOOKUP(B1190, '00_TONG_HOP_BAO_GIA'!B:B, '00_TONG_HOP_BAO_GIA'!G:G, 1)</f>
        <v/>
      </c>
      <c r="I1190" s="5">
        <f>G1190*H1190</f>
        <v/>
      </c>
      <c r="J1190" s="2">
        <f>XLOOKUP(E1190, '06_BANG_GIA_VAT_TU_AP_DUNG'!B:B, '06_BANG_GIA_VAT_TU_AP_DUNG'!C:C, "LỖI_MÃ_VT")</f>
        <v/>
      </c>
      <c r="K1190" s="2">
        <f>I1190*J1190</f>
        <v/>
      </c>
      <c r="L1190" t="inlineStr">
        <is>
          <t>1 đôi bạc đỡ 2 bên thân</t>
        </is>
      </c>
    </row>
    <row r="1191">
      <c r="A1191" t="inlineStr">
        <is>
          <t>SW-DAMPER-298-FUSE</t>
        </is>
      </c>
      <c r="B1191" t="inlineStr">
        <is>
          <t>SW-DAMPER-298</t>
        </is>
      </c>
      <c r="C1191" t="inlineStr">
        <is>
          <t>Cầu chì nhiệt nóng chảy 70°C (Elsie/USA)</t>
        </is>
      </c>
      <c r="D1191" t="inlineStr">
        <is>
          <t>PHỤ_KIỆN_VAN</t>
        </is>
      </c>
      <c r="E1191" t="inlineStr">
        <is>
          <t>MAT-DAMPER-CAU-CHI-USA-1-400X400</t>
        </is>
      </c>
      <c r="F1191" t="inlineStr">
        <is>
          <t>Cái</t>
        </is>
      </c>
      <c r="G1191" s="4" t="n">
        <v>1</v>
      </c>
      <c r="H1191" s="2">
        <f>XLOOKUP(B1191, '00_TONG_HOP_BAO_GIA'!B:B, '00_TONG_HOP_BAO_GIA'!G:G, 1)</f>
        <v/>
      </c>
      <c r="I1191" s="5">
        <f>G1191*H1191</f>
        <v/>
      </c>
      <c r="J1191" s="2">
        <f>XLOOKUP(E1191, '06_BANG_GIA_VAT_TU_AP_DUNG'!B:B, '06_BANG_GIA_VAT_TU_AP_DUNG'!C:C, "LỖI_MÃ_VT")</f>
        <v/>
      </c>
      <c r="K1191" s="2">
        <f>I1191*J1191</f>
        <v/>
      </c>
      <c r="L1191" t="inlineStr">
        <is>
          <t>Cầu chì kiểm định PCCC</t>
        </is>
      </c>
    </row>
    <row r="1192">
      <c r="A1192" t="inlineStr">
        <is>
          <t>SW-DAMPER-299-BODY</t>
        </is>
      </c>
      <c r="B1192" t="inlineStr">
        <is>
          <t>SW-DAMPER-299</t>
        </is>
      </c>
      <c r="C1192" t="inlineStr">
        <is>
          <t>Thân vỏ van FD bích TDF (0.75mm)</t>
        </is>
      </c>
      <c r="D1192" t="inlineStr">
        <is>
          <t>TÔN_CUỘN_MẠ_KẼM</t>
        </is>
      </c>
      <c r="E1192" t="inlineStr">
        <is>
          <t>MAT-STEEL-PN-0.75</t>
        </is>
      </c>
      <c r="F1192" t="inlineStr">
        <is>
          <t>kg</t>
        </is>
      </c>
      <c r="G1192" s="4" t="n">
        <v>1.266048</v>
      </c>
      <c r="H1192" s="2">
        <f>XLOOKUP(B1192, '00_TONG_HOP_BAO_GIA'!B:B, '00_TONG_HOP_BAO_GIA'!G:G, 1)</f>
        <v/>
      </c>
      <c r="I1192" s="5">
        <f>G1192*H1192</f>
        <v/>
      </c>
      <c r="J1192" s="2">
        <f>XLOOKUP(E1192, '06_BANG_GIA_VAT_TU_AP_DUNG'!B:B, '06_BANG_GIA_VAT_TU_AP_DUNG'!C:C, "LỖI_MÃ_VT")</f>
        <v/>
      </c>
      <c r="K1192" s="2">
        <f>I1192*J1192</f>
        <v/>
      </c>
      <c r="L1192" t="inlineStr">
        <is>
          <t>Kích thước vỏ 150.0x150.0x250mm</t>
        </is>
      </c>
    </row>
    <row r="1193">
      <c r="A1193" t="inlineStr">
        <is>
          <t>SW-DAMPER-299-BLADE</t>
        </is>
      </c>
      <c r="B1193" t="inlineStr">
        <is>
          <t>SW-DAMPER-299</t>
        </is>
      </c>
      <c r="C1193" t="inlineStr">
        <is>
          <t>Lá cánh van (1 cánh overlap)</t>
        </is>
      </c>
      <c r="D1193" t="inlineStr">
        <is>
          <t>TÔN_CUỘN_MẠ_KẼM</t>
        </is>
      </c>
      <c r="E1193" t="inlineStr">
        <is>
          <t>MAT-STEEL-PN-0.75</t>
        </is>
      </c>
      <c r="F1193" t="inlineStr">
        <is>
          <t>kg</t>
        </is>
      </c>
      <c r="G1193" s="4" t="n">
        <v>0.16214175</v>
      </c>
      <c r="H1193" s="2">
        <f>XLOOKUP(B1193, '00_TONG_HOP_BAO_GIA'!B:B, '00_TONG_HOP_BAO_GIA'!G:G, 1)</f>
        <v/>
      </c>
      <c r="I1193" s="5">
        <f>G1193*H1193</f>
        <v/>
      </c>
      <c r="J1193" s="2">
        <f>XLOOKUP(E1193, '06_BANG_GIA_VAT_TU_AP_DUNG'!B:B, '06_BANG_GIA_VAT_TU_AP_DUNG'!C:C, "LỖI_MÃ_VT")</f>
        <v/>
      </c>
      <c r="K1193" s="2">
        <f>I1193*J1193</f>
        <v/>
      </c>
      <c r="L1193" t="inlineStr">
        <is>
          <t>1 cánh cao 170mm</t>
        </is>
      </c>
    </row>
    <row r="1194">
      <c r="A1194" t="inlineStr">
        <is>
          <t>SW-DAMPER-299-AXLE</t>
        </is>
      </c>
      <c r="B1194" t="inlineStr">
        <is>
          <t>SW-DAMPER-299</t>
        </is>
      </c>
      <c r="C1194" t="inlineStr">
        <is>
          <t>Trục Sus 201 D10</t>
        </is>
      </c>
      <c r="D1194" t="inlineStr">
        <is>
          <t>PHỤ_KIỆN_VAN</t>
        </is>
      </c>
      <c r="E1194" t="inlineStr">
        <is>
          <t>MAT-DAMPER-TRUC-SUS-201-D10</t>
        </is>
      </c>
      <c r="F1194" t="inlineStr">
        <is>
          <t>m</t>
        </is>
      </c>
      <c r="G1194" s="4" t="n">
        <v>0.21</v>
      </c>
      <c r="H1194" s="2">
        <f>XLOOKUP(B1194, '00_TONG_HOP_BAO_GIA'!B:B, '00_TONG_HOP_BAO_GIA'!G:G, 1)</f>
        <v/>
      </c>
      <c r="I1194" s="5">
        <f>G1194*H1194</f>
        <v/>
      </c>
      <c r="J1194" s="2">
        <f>XLOOKUP(E1194, '06_BANG_GIA_VAT_TU_AP_DUNG'!B:B, '06_BANG_GIA_VAT_TU_AP_DUNG'!C:C, "LỖI_MÃ_VT")</f>
        <v/>
      </c>
      <c r="K1194" s="2">
        <f>I1194*J1194</f>
        <v/>
      </c>
      <c r="L1194" t="inlineStr">
        <is>
          <t>1 trục dài 210mm</t>
        </is>
      </c>
    </row>
    <row r="1195">
      <c r="A1195" t="inlineStr">
        <is>
          <t>SW-DAMPER-299-BEARING</t>
        </is>
      </c>
      <c r="B1195" t="inlineStr">
        <is>
          <t>SW-DAMPER-299</t>
        </is>
      </c>
      <c r="C1195" t="inlineStr">
        <is>
          <t>Bạc đồng D10</t>
        </is>
      </c>
      <c r="D1195" t="inlineStr">
        <is>
          <t>PHỤ_KIỆN_VAN</t>
        </is>
      </c>
      <c r="E1195" t="inlineStr">
        <is>
          <t>MAT-DAMPER-BAC-DONG-D10</t>
        </is>
      </c>
      <c r="F1195" t="inlineStr">
        <is>
          <t>Đôi</t>
        </is>
      </c>
      <c r="G1195" s="4" t="n">
        <v>1</v>
      </c>
      <c r="H1195" s="2">
        <f>XLOOKUP(B1195, '00_TONG_HOP_BAO_GIA'!B:B, '00_TONG_HOP_BAO_GIA'!G:G, 1)</f>
        <v/>
      </c>
      <c r="I1195" s="5">
        <f>G1195*H1195</f>
        <v/>
      </c>
      <c r="J1195" s="2">
        <f>XLOOKUP(E1195, '06_BANG_GIA_VAT_TU_AP_DUNG'!B:B, '06_BANG_GIA_VAT_TU_AP_DUNG'!C:C, "LỖI_MÃ_VT")</f>
        <v/>
      </c>
      <c r="K1195" s="2">
        <f>I1195*J1195</f>
        <v/>
      </c>
      <c r="L1195" t="inlineStr">
        <is>
          <t>1 đôi bạc đỡ 2 bên thân</t>
        </is>
      </c>
    </row>
    <row r="1196">
      <c r="A1196" t="inlineStr">
        <is>
          <t>SW-DAMPER-299-FUSE</t>
        </is>
      </c>
      <c r="B1196" t="inlineStr">
        <is>
          <t>SW-DAMPER-299</t>
        </is>
      </c>
      <c r="C1196" t="inlineStr">
        <is>
          <t>Cầu chì nhiệt nóng chảy 70°C (Elsie/USA)</t>
        </is>
      </c>
      <c r="D1196" t="inlineStr">
        <is>
          <t>PHỤ_KIỆN_VAN</t>
        </is>
      </c>
      <c r="E1196" t="inlineStr">
        <is>
          <t>MAT-DAMPER-CAU-CHI-USA-1-400X400</t>
        </is>
      </c>
      <c r="F1196" t="inlineStr">
        <is>
          <t>Cái</t>
        </is>
      </c>
      <c r="G1196" s="4" t="n">
        <v>1</v>
      </c>
      <c r="H1196" s="2">
        <f>XLOOKUP(B1196, '00_TONG_HOP_BAO_GIA'!B:B, '00_TONG_HOP_BAO_GIA'!G:G, 1)</f>
        <v/>
      </c>
      <c r="I1196" s="5">
        <f>G1196*H1196</f>
        <v/>
      </c>
      <c r="J1196" s="2">
        <f>XLOOKUP(E1196, '06_BANG_GIA_VAT_TU_AP_DUNG'!B:B, '06_BANG_GIA_VAT_TU_AP_DUNG'!C:C, "LỖI_MÃ_VT")</f>
        <v/>
      </c>
      <c r="K1196" s="2">
        <f>I1196*J1196</f>
        <v/>
      </c>
      <c r="L1196" t="inlineStr">
        <is>
          <t>Cầu chì kiểm định PCCC</t>
        </is>
      </c>
    </row>
    <row r="1197">
      <c r="A1197" t="inlineStr">
        <is>
          <t>SW-DAMPER-300-BODY</t>
        </is>
      </c>
      <c r="B1197" t="inlineStr">
        <is>
          <t>SW-DAMPER-300</t>
        </is>
      </c>
      <c r="C1197" t="inlineStr">
        <is>
          <t>Thân vỏ van VCD bích TDF (0.75mm)</t>
        </is>
      </c>
      <c r="D1197" t="inlineStr">
        <is>
          <t>TÔN_CUỘN_MẠ_KẼM</t>
        </is>
      </c>
      <c r="E1197" t="inlineStr">
        <is>
          <t>MAT-STEEL-PN-0.75</t>
        </is>
      </c>
      <c r="F1197" t="inlineStr">
        <is>
          <t>kg</t>
        </is>
      </c>
      <c r="G1197" s="4" t="n">
        <v>0.9346995000000001</v>
      </c>
      <c r="H1197" s="2">
        <f>XLOOKUP(B1197, '00_TONG_HOP_BAO_GIA'!B:B, '00_TONG_HOP_BAO_GIA'!G:G, 1)</f>
        <v/>
      </c>
      <c r="I1197" s="5">
        <f>G1197*H1197</f>
        <v/>
      </c>
      <c r="J1197" s="2">
        <f>XLOOKUP(E1197, '06_BANG_GIA_VAT_TU_AP_DUNG'!B:B, '06_BANG_GIA_VAT_TU_AP_DUNG'!C:C, "LỖI_MÃ_VT")</f>
        <v/>
      </c>
      <c r="K1197" s="2">
        <f>I1197*J1197</f>
        <v/>
      </c>
      <c r="L1197" t="inlineStr">
        <is>
          <t>Kích thước vỏ 150.0x100.0x210mm</t>
        </is>
      </c>
    </row>
    <row r="1198">
      <c r="A1198" t="inlineStr">
        <is>
          <t>SW-DAMPER-300-BLADE</t>
        </is>
      </c>
      <c r="B1198" t="inlineStr">
        <is>
          <t>SW-DAMPER-300</t>
        </is>
      </c>
      <c r="C1198" t="inlineStr">
        <is>
          <t>Lá cánh van (1 cánh overlap)</t>
        </is>
      </c>
      <c r="D1198" t="inlineStr">
        <is>
          <t>TÔN_CUỘN_MẠ_KẼM</t>
        </is>
      </c>
      <c r="E1198" t="inlineStr">
        <is>
          <t>MAT-STEEL-PN-0.75</t>
        </is>
      </c>
      <c r="F1198" t="inlineStr">
        <is>
          <t>kg</t>
        </is>
      </c>
      <c r="G1198" s="4" t="n">
        <v>0.114453</v>
      </c>
      <c r="H1198" s="2">
        <f>XLOOKUP(B1198, '00_TONG_HOP_BAO_GIA'!B:B, '00_TONG_HOP_BAO_GIA'!G:G, 1)</f>
        <v/>
      </c>
      <c r="I1198" s="5">
        <f>G1198*H1198</f>
        <v/>
      </c>
      <c r="J1198" s="2">
        <f>XLOOKUP(E1198, '06_BANG_GIA_VAT_TU_AP_DUNG'!B:B, '06_BANG_GIA_VAT_TU_AP_DUNG'!C:C, "LỖI_MÃ_VT")</f>
        <v/>
      </c>
      <c r="K1198" s="2">
        <f>I1198*J1198</f>
        <v/>
      </c>
      <c r="L1198" t="inlineStr">
        <is>
          <t>1 cánh cao 120mm</t>
        </is>
      </c>
    </row>
    <row r="1199">
      <c r="A1199" t="inlineStr">
        <is>
          <t>SW-DAMPER-300-AXLE</t>
        </is>
      </c>
      <c r="B1199" t="inlineStr">
        <is>
          <t>SW-DAMPER-300</t>
        </is>
      </c>
      <c r="C1199" t="inlineStr">
        <is>
          <t>Trục Sus 201 D10</t>
        </is>
      </c>
      <c r="D1199" t="inlineStr">
        <is>
          <t>PHỤ_KIỆN_VAN</t>
        </is>
      </c>
      <c r="E1199" t="inlineStr">
        <is>
          <t>MAT-DAMPER-TRUC-SUS-201-D10</t>
        </is>
      </c>
      <c r="F1199" t="inlineStr">
        <is>
          <t>m</t>
        </is>
      </c>
      <c r="G1199" s="4" t="n">
        <v>0.21</v>
      </c>
      <c r="H1199" s="2">
        <f>XLOOKUP(B1199, '00_TONG_HOP_BAO_GIA'!B:B, '00_TONG_HOP_BAO_GIA'!G:G, 1)</f>
        <v/>
      </c>
      <c r="I1199" s="5">
        <f>G1199*H1199</f>
        <v/>
      </c>
      <c r="J1199" s="2">
        <f>XLOOKUP(E1199, '06_BANG_GIA_VAT_TU_AP_DUNG'!B:B, '06_BANG_GIA_VAT_TU_AP_DUNG'!C:C, "LỖI_MÃ_VT")</f>
        <v/>
      </c>
      <c r="K1199" s="2">
        <f>I1199*J1199</f>
        <v/>
      </c>
      <c r="L1199" t="inlineStr">
        <is>
          <t>1 trục dài 210mm</t>
        </is>
      </c>
    </row>
    <row r="1200">
      <c r="A1200" t="inlineStr">
        <is>
          <t>SW-DAMPER-300-BEARING</t>
        </is>
      </c>
      <c r="B1200" t="inlineStr">
        <is>
          <t>SW-DAMPER-300</t>
        </is>
      </c>
      <c r="C1200" t="inlineStr">
        <is>
          <t>Bạc đồng D10</t>
        </is>
      </c>
      <c r="D1200" t="inlineStr">
        <is>
          <t>PHỤ_KIỆN_VAN</t>
        </is>
      </c>
      <c r="E1200" t="inlineStr">
        <is>
          <t>MAT-DAMPER-BAC-DONG-D10</t>
        </is>
      </c>
      <c r="F1200" t="inlineStr">
        <is>
          <t>Đôi</t>
        </is>
      </c>
      <c r="G1200" s="4" t="n">
        <v>1</v>
      </c>
      <c r="H1200" s="2">
        <f>XLOOKUP(B1200, '00_TONG_HOP_BAO_GIA'!B:B, '00_TONG_HOP_BAO_GIA'!G:G, 1)</f>
        <v/>
      </c>
      <c r="I1200" s="5">
        <f>G1200*H1200</f>
        <v/>
      </c>
      <c r="J1200" s="2">
        <f>XLOOKUP(E1200, '06_BANG_GIA_VAT_TU_AP_DUNG'!B:B, '06_BANG_GIA_VAT_TU_AP_DUNG'!C:C, "LỖI_MÃ_VT")</f>
        <v/>
      </c>
      <c r="K1200" s="2">
        <f>I1200*J1200</f>
        <v/>
      </c>
      <c r="L1200" t="inlineStr">
        <is>
          <t>1 đôi bạc đỡ 2 bên thân</t>
        </is>
      </c>
    </row>
    <row r="1201">
      <c r="A1201" t="inlineStr">
        <is>
          <t>SW-DAMPER-300-HANDLE</t>
        </is>
      </c>
      <c r="B1201" t="inlineStr">
        <is>
          <t>SW-DAMPER-300</t>
        </is>
      </c>
      <c r="C1201" t="inlineStr">
        <is>
          <t>Tay gạt nhỏ</t>
        </is>
      </c>
      <c r="D1201" t="inlineStr">
        <is>
          <t>PHỤ_KIỆN_VAN</t>
        </is>
      </c>
      <c r="E1201" t="inlineStr">
        <is>
          <t>MAT-DAMPER-TAY-GAT-NHO</t>
        </is>
      </c>
      <c r="F1201" t="inlineStr">
        <is>
          <t>Bộ</t>
        </is>
      </c>
      <c r="G1201" s="4" t="n">
        <v>1</v>
      </c>
      <c r="H1201" s="2">
        <f>XLOOKUP(B1201, '00_TONG_HOP_BAO_GIA'!B:B, '00_TONG_HOP_BAO_GIA'!G:G, 1)</f>
        <v/>
      </c>
      <c r="I1201" s="5">
        <f>G1201*H1201</f>
        <v/>
      </c>
      <c r="J1201" s="2">
        <f>XLOOKUP(E1201, '06_BANG_GIA_VAT_TU_AP_DUNG'!B:B, '06_BANG_GIA_VAT_TU_AP_DUNG'!C:C, "LỖI_MÃ_VT")</f>
        <v/>
      </c>
      <c r="K1201" s="2">
        <f>I1201*J1201</f>
        <v/>
      </c>
      <c r="L1201" t="inlineStr">
        <is>
          <t>Tay gạt khóa vị trí nan (S=0.01m2)</t>
        </is>
      </c>
    </row>
    <row r="1202">
      <c r="A1202" t="inlineStr">
        <is>
          <t>SW-DAMPER-301-BODY</t>
        </is>
      </c>
      <c r="B1202" t="inlineStr">
        <is>
          <t>SW-DAMPER-301</t>
        </is>
      </c>
      <c r="C1202" t="inlineStr">
        <is>
          <t>Thân vỏ van VCD bích TDF (0.75mm)</t>
        </is>
      </c>
      <c r="D1202" t="inlineStr">
        <is>
          <t>TÔN_CUỘN_MẠ_KẼM</t>
        </is>
      </c>
      <c r="E1202" t="inlineStr">
        <is>
          <t>MAT-STEEL-PN-0.75</t>
        </is>
      </c>
      <c r="F1202" t="inlineStr">
        <is>
          <t>kg</t>
        </is>
      </c>
      <c r="G1202" s="4" t="n">
        <v>1.107792</v>
      </c>
      <c r="H1202" s="2">
        <f>XLOOKUP(B1202, '00_TONG_HOP_BAO_GIA'!B:B, '00_TONG_HOP_BAO_GIA'!G:G, 1)</f>
        <v/>
      </c>
      <c r="I1202" s="5">
        <f>G1202*H1202</f>
        <v/>
      </c>
      <c r="J1202" s="2">
        <f>XLOOKUP(E1202, '06_BANG_GIA_VAT_TU_AP_DUNG'!B:B, '06_BANG_GIA_VAT_TU_AP_DUNG'!C:C, "LỖI_MÃ_VT")</f>
        <v/>
      </c>
      <c r="K1202" s="2">
        <f>I1202*J1202</f>
        <v/>
      </c>
      <c r="L1202" t="inlineStr">
        <is>
          <t>Kích thước vỏ 150.0x150.0x210mm</t>
        </is>
      </c>
    </row>
    <row r="1203">
      <c r="A1203" t="inlineStr">
        <is>
          <t>SW-DAMPER-301-BLADE</t>
        </is>
      </c>
      <c r="B1203" t="inlineStr">
        <is>
          <t>SW-DAMPER-301</t>
        </is>
      </c>
      <c r="C1203" t="inlineStr">
        <is>
          <t>Lá cánh van (1 cánh overlap)</t>
        </is>
      </c>
      <c r="D1203" t="inlineStr">
        <is>
          <t>TÔN_CUỘN_MẠ_KẼM</t>
        </is>
      </c>
      <c r="E1203" t="inlineStr">
        <is>
          <t>MAT-STEEL-PN-0.75</t>
        </is>
      </c>
      <c r="F1203" t="inlineStr">
        <is>
          <t>kg</t>
        </is>
      </c>
      <c r="G1203" s="4" t="n">
        <v>0.16214175</v>
      </c>
      <c r="H1203" s="2">
        <f>XLOOKUP(B1203, '00_TONG_HOP_BAO_GIA'!B:B, '00_TONG_HOP_BAO_GIA'!G:G, 1)</f>
        <v/>
      </c>
      <c r="I1203" s="5">
        <f>G1203*H1203</f>
        <v/>
      </c>
      <c r="J1203" s="2">
        <f>XLOOKUP(E1203, '06_BANG_GIA_VAT_TU_AP_DUNG'!B:B, '06_BANG_GIA_VAT_TU_AP_DUNG'!C:C, "LỖI_MÃ_VT")</f>
        <v/>
      </c>
      <c r="K1203" s="2">
        <f>I1203*J1203</f>
        <v/>
      </c>
      <c r="L1203" t="inlineStr">
        <is>
          <t>1 cánh cao 170mm</t>
        </is>
      </c>
    </row>
    <row r="1204">
      <c r="A1204" t="inlineStr">
        <is>
          <t>SW-DAMPER-301-AXLE</t>
        </is>
      </c>
      <c r="B1204" t="inlineStr">
        <is>
          <t>SW-DAMPER-301</t>
        </is>
      </c>
      <c r="C1204" t="inlineStr">
        <is>
          <t>Trục Sus 201 D10</t>
        </is>
      </c>
      <c r="D1204" t="inlineStr">
        <is>
          <t>PHỤ_KIỆN_VAN</t>
        </is>
      </c>
      <c r="E1204" t="inlineStr">
        <is>
          <t>MAT-DAMPER-TRUC-SUS-201-D10</t>
        </is>
      </c>
      <c r="F1204" t="inlineStr">
        <is>
          <t>m</t>
        </is>
      </c>
      <c r="G1204" s="4" t="n">
        <v>0.21</v>
      </c>
      <c r="H1204" s="2">
        <f>XLOOKUP(B1204, '00_TONG_HOP_BAO_GIA'!B:B, '00_TONG_HOP_BAO_GIA'!G:G, 1)</f>
        <v/>
      </c>
      <c r="I1204" s="5">
        <f>G1204*H1204</f>
        <v/>
      </c>
      <c r="J1204" s="2">
        <f>XLOOKUP(E1204, '06_BANG_GIA_VAT_TU_AP_DUNG'!B:B, '06_BANG_GIA_VAT_TU_AP_DUNG'!C:C, "LỖI_MÃ_VT")</f>
        <v/>
      </c>
      <c r="K1204" s="2">
        <f>I1204*J1204</f>
        <v/>
      </c>
      <c r="L1204" t="inlineStr">
        <is>
          <t>1 trục dài 210mm</t>
        </is>
      </c>
    </row>
    <row r="1205">
      <c r="A1205" t="inlineStr">
        <is>
          <t>SW-DAMPER-301-BEARING</t>
        </is>
      </c>
      <c r="B1205" t="inlineStr">
        <is>
          <t>SW-DAMPER-301</t>
        </is>
      </c>
      <c r="C1205" t="inlineStr">
        <is>
          <t>Bạc đồng D10</t>
        </is>
      </c>
      <c r="D1205" t="inlineStr">
        <is>
          <t>PHỤ_KIỆN_VAN</t>
        </is>
      </c>
      <c r="E1205" t="inlineStr">
        <is>
          <t>MAT-DAMPER-BAC-DONG-D10</t>
        </is>
      </c>
      <c r="F1205" t="inlineStr">
        <is>
          <t>Đôi</t>
        </is>
      </c>
      <c r="G1205" s="4" t="n">
        <v>1</v>
      </c>
      <c r="H1205" s="2">
        <f>XLOOKUP(B1205, '00_TONG_HOP_BAO_GIA'!B:B, '00_TONG_HOP_BAO_GIA'!G:G, 1)</f>
        <v/>
      </c>
      <c r="I1205" s="5">
        <f>G1205*H1205</f>
        <v/>
      </c>
      <c r="J1205" s="2">
        <f>XLOOKUP(E1205, '06_BANG_GIA_VAT_TU_AP_DUNG'!B:B, '06_BANG_GIA_VAT_TU_AP_DUNG'!C:C, "LỖI_MÃ_VT")</f>
        <v/>
      </c>
      <c r="K1205" s="2">
        <f>I1205*J1205</f>
        <v/>
      </c>
      <c r="L1205" t="inlineStr">
        <is>
          <t>1 đôi bạc đỡ 2 bên thân</t>
        </is>
      </c>
    </row>
    <row r="1206">
      <c r="A1206" t="inlineStr">
        <is>
          <t>SW-DAMPER-301-HANDLE</t>
        </is>
      </c>
      <c r="B1206" t="inlineStr">
        <is>
          <t>SW-DAMPER-301</t>
        </is>
      </c>
      <c r="C1206" t="inlineStr">
        <is>
          <t>Tay gạt nhỏ</t>
        </is>
      </c>
      <c r="D1206" t="inlineStr">
        <is>
          <t>PHỤ_KIỆN_VAN</t>
        </is>
      </c>
      <c r="E1206" t="inlineStr">
        <is>
          <t>MAT-DAMPER-TAY-GAT-NHO</t>
        </is>
      </c>
      <c r="F1206" t="inlineStr">
        <is>
          <t>Bộ</t>
        </is>
      </c>
      <c r="G1206" s="4" t="n">
        <v>1</v>
      </c>
      <c r="H1206" s="2">
        <f>XLOOKUP(B1206, '00_TONG_HOP_BAO_GIA'!B:B, '00_TONG_HOP_BAO_GIA'!G:G, 1)</f>
        <v/>
      </c>
      <c r="I1206" s="5">
        <f>G1206*H1206</f>
        <v/>
      </c>
      <c r="J1206" s="2">
        <f>XLOOKUP(E1206, '06_BANG_GIA_VAT_TU_AP_DUNG'!B:B, '06_BANG_GIA_VAT_TU_AP_DUNG'!C:C, "LỖI_MÃ_VT")</f>
        <v/>
      </c>
      <c r="K1206" s="2">
        <f>I1206*J1206</f>
        <v/>
      </c>
      <c r="L1206" t="inlineStr">
        <is>
          <t>Tay gạt khóa vị trí nan (S=0.02m2)</t>
        </is>
      </c>
    </row>
    <row r="1207">
      <c r="A1207" t="inlineStr">
        <is>
          <t>SW-DAMPER-302-BODY</t>
        </is>
      </c>
      <c r="B1207" t="inlineStr">
        <is>
          <t>SW-DAMPER-302</t>
        </is>
      </c>
      <c r="C1207" t="inlineStr">
        <is>
          <t>Thân vỏ van MD bích TDF (0.75mm)</t>
        </is>
      </c>
      <c r="D1207" t="inlineStr">
        <is>
          <t>TÔN_CUỘN_MẠ_KẼM</t>
        </is>
      </c>
      <c r="E1207" t="inlineStr">
        <is>
          <t>MAT-STEEL-PN-0.75</t>
        </is>
      </c>
      <c r="F1207" t="inlineStr">
        <is>
          <t>kg</t>
        </is>
      </c>
      <c r="G1207" s="4" t="n">
        <v>0.9346995000000001</v>
      </c>
      <c r="H1207" s="2">
        <f>XLOOKUP(B1207, '00_TONG_HOP_BAO_GIA'!B:B, '00_TONG_HOP_BAO_GIA'!G:G, 1)</f>
        <v/>
      </c>
      <c r="I1207" s="5">
        <f>G1207*H1207</f>
        <v/>
      </c>
      <c r="J1207" s="2">
        <f>XLOOKUP(E1207, '06_BANG_GIA_VAT_TU_AP_DUNG'!B:B, '06_BANG_GIA_VAT_TU_AP_DUNG'!C:C, "LỖI_MÃ_VT")</f>
        <v/>
      </c>
      <c r="K1207" s="2">
        <f>I1207*J1207</f>
        <v/>
      </c>
      <c r="L1207" t="inlineStr">
        <is>
          <t>Kích thước vỏ 150.0x100.0x210mm</t>
        </is>
      </c>
    </row>
    <row r="1208">
      <c r="A1208" t="inlineStr">
        <is>
          <t>SW-DAMPER-302-BLADE</t>
        </is>
      </c>
      <c r="B1208" t="inlineStr">
        <is>
          <t>SW-DAMPER-302</t>
        </is>
      </c>
      <c r="C1208" t="inlineStr">
        <is>
          <t>Lá cánh van (1 cánh overlap)</t>
        </is>
      </c>
      <c r="D1208" t="inlineStr">
        <is>
          <t>TÔN_CUỘN_MẠ_KẼM</t>
        </is>
      </c>
      <c r="E1208" t="inlineStr">
        <is>
          <t>MAT-STEEL-PN-0.75</t>
        </is>
      </c>
      <c r="F1208" t="inlineStr">
        <is>
          <t>kg</t>
        </is>
      </c>
      <c r="G1208" s="4" t="n">
        <v>0.114453</v>
      </c>
      <c r="H1208" s="2">
        <f>XLOOKUP(B1208, '00_TONG_HOP_BAO_GIA'!B:B, '00_TONG_HOP_BAO_GIA'!G:G, 1)</f>
        <v/>
      </c>
      <c r="I1208" s="5">
        <f>G1208*H1208</f>
        <v/>
      </c>
      <c r="J1208" s="2">
        <f>XLOOKUP(E1208, '06_BANG_GIA_VAT_TU_AP_DUNG'!B:B, '06_BANG_GIA_VAT_TU_AP_DUNG'!C:C, "LỖI_MÃ_VT")</f>
        <v/>
      </c>
      <c r="K1208" s="2">
        <f>I1208*J1208</f>
        <v/>
      </c>
      <c r="L1208" t="inlineStr">
        <is>
          <t>1 cánh cao 120mm</t>
        </is>
      </c>
    </row>
    <row r="1209">
      <c r="A1209" t="inlineStr">
        <is>
          <t>SW-DAMPER-302-AXLE</t>
        </is>
      </c>
      <c r="B1209" t="inlineStr">
        <is>
          <t>SW-DAMPER-302</t>
        </is>
      </c>
      <c r="C1209" t="inlineStr">
        <is>
          <t>Trục Sus 201 D10</t>
        </is>
      </c>
      <c r="D1209" t="inlineStr">
        <is>
          <t>PHỤ_KIỆN_VAN</t>
        </is>
      </c>
      <c r="E1209" t="inlineStr">
        <is>
          <t>MAT-DAMPER-TRUC-SUS-201-D10</t>
        </is>
      </c>
      <c r="F1209" t="inlineStr">
        <is>
          <t>m</t>
        </is>
      </c>
      <c r="G1209" s="4" t="n">
        <v>0.21</v>
      </c>
      <c r="H1209" s="2">
        <f>XLOOKUP(B1209, '00_TONG_HOP_BAO_GIA'!B:B, '00_TONG_HOP_BAO_GIA'!G:G, 1)</f>
        <v/>
      </c>
      <c r="I1209" s="5">
        <f>G1209*H1209</f>
        <v/>
      </c>
      <c r="J1209" s="2">
        <f>XLOOKUP(E1209, '06_BANG_GIA_VAT_TU_AP_DUNG'!B:B, '06_BANG_GIA_VAT_TU_AP_DUNG'!C:C, "LỖI_MÃ_VT")</f>
        <v/>
      </c>
      <c r="K1209" s="2">
        <f>I1209*J1209</f>
        <v/>
      </c>
      <c r="L1209" t="inlineStr">
        <is>
          <t>1 trục dài 210mm</t>
        </is>
      </c>
    </row>
    <row r="1210">
      <c r="A1210" t="inlineStr">
        <is>
          <t>SW-DAMPER-302-BEARING</t>
        </is>
      </c>
      <c r="B1210" t="inlineStr">
        <is>
          <t>SW-DAMPER-302</t>
        </is>
      </c>
      <c r="C1210" t="inlineStr">
        <is>
          <t>Bạc đồng D10</t>
        </is>
      </c>
      <c r="D1210" t="inlineStr">
        <is>
          <t>PHỤ_KIỆN_VAN</t>
        </is>
      </c>
      <c r="E1210" t="inlineStr">
        <is>
          <t>MAT-DAMPER-BAC-DONG-D10</t>
        </is>
      </c>
      <c r="F1210" t="inlineStr">
        <is>
          <t>Đôi</t>
        </is>
      </c>
      <c r="G1210" s="4" t="n">
        <v>1</v>
      </c>
      <c r="H1210" s="2">
        <f>XLOOKUP(B1210, '00_TONG_HOP_BAO_GIA'!B:B, '00_TONG_HOP_BAO_GIA'!G:G, 1)</f>
        <v/>
      </c>
      <c r="I1210" s="5">
        <f>G1210*H1210</f>
        <v/>
      </c>
      <c r="J1210" s="2">
        <f>XLOOKUP(E1210, '06_BANG_GIA_VAT_TU_AP_DUNG'!B:B, '06_BANG_GIA_VAT_TU_AP_DUNG'!C:C, "LỖI_MÃ_VT")</f>
        <v/>
      </c>
      <c r="K1210" s="2">
        <f>I1210*J1210</f>
        <v/>
      </c>
      <c r="L1210" t="inlineStr">
        <is>
          <t>1 đôi bạc đỡ 2 bên thân</t>
        </is>
      </c>
    </row>
    <row r="1211">
      <c r="A1211" t="inlineStr">
        <is>
          <t>SW-DAMPER-302-ACTUATOR</t>
        </is>
      </c>
      <c r="B1211" t="inlineStr">
        <is>
          <t>SW-DAMPER-302</t>
        </is>
      </c>
      <c r="C1211" t="inlineStr">
        <is>
          <t>Model: NACA 2-05 (5Nm, 220VAC)</t>
        </is>
      </c>
      <c r="D1211" t="inlineStr">
        <is>
          <t>ĐỘNG_CƠ_VÀ_CẢM_BIẾN</t>
        </is>
      </c>
      <c r="E1211" t="inlineStr">
        <is>
          <t>MAT-ACTUATOR-NACA-2-05</t>
        </is>
      </c>
      <c r="F1211" t="inlineStr">
        <is>
          <t>Cái</t>
        </is>
      </c>
      <c r="G1211" s="4" t="n">
        <v>1</v>
      </c>
      <c r="H1211" s="2">
        <f>XLOOKUP(B1211, '00_TONG_HOP_BAO_GIA'!B:B, '00_TONG_HOP_BAO_GIA'!G:G, 1)</f>
        <v/>
      </c>
      <c r="I1211" s="5">
        <f>G1211*H1211</f>
        <v/>
      </c>
      <c r="J1211" s="2">
        <f>XLOOKUP(E1211, '06_BANG_GIA_VAT_TU_AP_DUNG'!B:B, '06_BANG_GIA_VAT_TU_AP_DUNG'!C:C, "LỖI_MÃ_VT")</f>
        <v/>
      </c>
      <c r="K1211" s="2">
        <f>I1211*J1211</f>
        <v/>
      </c>
      <c r="L1211" t="inlineStr">
        <is>
          <t>Tiết diện van 0.01m2</t>
        </is>
      </c>
    </row>
    <row r="1212">
      <c r="A1212" t="inlineStr">
        <is>
          <t>SW-DAMPER-303-BODY</t>
        </is>
      </c>
      <c r="B1212" t="inlineStr">
        <is>
          <t>SW-DAMPER-303</t>
        </is>
      </c>
      <c r="C1212" t="inlineStr">
        <is>
          <t>Thân vỏ van MD bích TDF (0.75mm)</t>
        </is>
      </c>
      <c r="D1212" t="inlineStr">
        <is>
          <t>TÔN_CUỘN_MẠ_KẼM</t>
        </is>
      </c>
      <c r="E1212" t="inlineStr">
        <is>
          <t>MAT-STEEL-PN-0.75</t>
        </is>
      </c>
      <c r="F1212" t="inlineStr">
        <is>
          <t>kg</t>
        </is>
      </c>
      <c r="G1212" s="4" t="n">
        <v>1.107792</v>
      </c>
      <c r="H1212" s="2">
        <f>XLOOKUP(B1212, '00_TONG_HOP_BAO_GIA'!B:B, '00_TONG_HOP_BAO_GIA'!G:G, 1)</f>
        <v/>
      </c>
      <c r="I1212" s="5">
        <f>G1212*H1212</f>
        <v/>
      </c>
      <c r="J1212" s="2">
        <f>XLOOKUP(E1212, '06_BANG_GIA_VAT_TU_AP_DUNG'!B:B, '06_BANG_GIA_VAT_TU_AP_DUNG'!C:C, "LỖI_MÃ_VT")</f>
        <v/>
      </c>
      <c r="K1212" s="2">
        <f>I1212*J1212</f>
        <v/>
      </c>
      <c r="L1212" t="inlineStr">
        <is>
          <t>Kích thước vỏ 150.0x150.0x210mm</t>
        </is>
      </c>
    </row>
    <row r="1213">
      <c r="A1213" t="inlineStr">
        <is>
          <t>SW-DAMPER-303-BLADE</t>
        </is>
      </c>
      <c r="B1213" t="inlineStr">
        <is>
          <t>SW-DAMPER-303</t>
        </is>
      </c>
      <c r="C1213" t="inlineStr">
        <is>
          <t>Lá cánh van (1 cánh overlap)</t>
        </is>
      </c>
      <c r="D1213" t="inlineStr">
        <is>
          <t>TÔN_CUỘN_MẠ_KẼM</t>
        </is>
      </c>
      <c r="E1213" t="inlineStr">
        <is>
          <t>MAT-STEEL-PN-0.75</t>
        </is>
      </c>
      <c r="F1213" t="inlineStr">
        <is>
          <t>kg</t>
        </is>
      </c>
      <c r="G1213" s="4" t="n">
        <v>0.16214175</v>
      </c>
      <c r="H1213" s="2">
        <f>XLOOKUP(B1213, '00_TONG_HOP_BAO_GIA'!B:B, '00_TONG_HOP_BAO_GIA'!G:G, 1)</f>
        <v/>
      </c>
      <c r="I1213" s="5">
        <f>G1213*H1213</f>
        <v/>
      </c>
      <c r="J1213" s="2">
        <f>XLOOKUP(E1213, '06_BANG_GIA_VAT_TU_AP_DUNG'!B:B, '06_BANG_GIA_VAT_TU_AP_DUNG'!C:C, "LỖI_MÃ_VT")</f>
        <v/>
      </c>
      <c r="K1213" s="2">
        <f>I1213*J1213</f>
        <v/>
      </c>
      <c r="L1213" t="inlineStr">
        <is>
          <t>1 cánh cao 170mm</t>
        </is>
      </c>
    </row>
    <row r="1214">
      <c r="A1214" t="inlineStr">
        <is>
          <t>SW-DAMPER-303-AXLE</t>
        </is>
      </c>
      <c r="B1214" t="inlineStr">
        <is>
          <t>SW-DAMPER-303</t>
        </is>
      </c>
      <c r="C1214" t="inlineStr">
        <is>
          <t>Trục Sus 201 D10</t>
        </is>
      </c>
      <c r="D1214" t="inlineStr">
        <is>
          <t>PHỤ_KIỆN_VAN</t>
        </is>
      </c>
      <c r="E1214" t="inlineStr">
        <is>
          <t>MAT-DAMPER-TRUC-SUS-201-D10</t>
        </is>
      </c>
      <c r="F1214" t="inlineStr">
        <is>
          <t>m</t>
        </is>
      </c>
      <c r="G1214" s="4" t="n">
        <v>0.21</v>
      </c>
      <c r="H1214" s="2">
        <f>XLOOKUP(B1214, '00_TONG_HOP_BAO_GIA'!B:B, '00_TONG_HOP_BAO_GIA'!G:G, 1)</f>
        <v/>
      </c>
      <c r="I1214" s="5">
        <f>G1214*H1214</f>
        <v/>
      </c>
      <c r="J1214" s="2">
        <f>XLOOKUP(E1214, '06_BANG_GIA_VAT_TU_AP_DUNG'!B:B, '06_BANG_GIA_VAT_TU_AP_DUNG'!C:C, "LỖI_MÃ_VT")</f>
        <v/>
      </c>
      <c r="K1214" s="2">
        <f>I1214*J1214</f>
        <v/>
      </c>
      <c r="L1214" t="inlineStr">
        <is>
          <t>1 trục dài 210mm</t>
        </is>
      </c>
    </row>
    <row r="1215">
      <c r="A1215" t="inlineStr">
        <is>
          <t>SW-DAMPER-303-BEARING</t>
        </is>
      </c>
      <c r="B1215" t="inlineStr">
        <is>
          <t>SW-DAMPER-303</t>
        </is>
      </c>
      <c r="C1215" t="inlineStr">
        <is>
          <t>Bạc đồng D10</t>
        </is>
      </c>
      <c r="D1215" t="inlineStr">
        <is>
          <t>PHỤ_KIỆN_VAN</t>
        </is>
      </c>
      <c r="E1215" t="inlineStr">
        <is>
          <t>MAT-DAMPER-BAC-DONG-D10</t>
        </is>
      </c>
      <c r="F1215" t="inlineStr">
        <is>
          <t>Đôi</t>
        </is>
      </c>
      <c r="G1215" s="4" t="n">
        <v>1</v>
      </c>
      <c r="H1215" s="2">
        <f>XLOOKUP(B1215, '00_TONG_HOP_BAO_GIA'!B:B, '00_TONG_HOP_BAO_GIA'!G:G, 1)</f>
        <v/>
      </c>
      <c r="I1215" s="5">
        <f>G1215*H1215</f>
        <v/>
      </c>
      <c r="J1215" s="2">
        <f>XLOOKUP(E1215, '06_BANG_GIA_VAT_TU_AP_DUNG'!B:B, '06_BANG_GIA_VAT_TU_AP_DUNG'!C:C, "LỖI_MÃ_VT")</f>
        <v/>
      </c>
      <c r="K1215" s="2">
        <f>I1215*J1215</f>
        <v/>
      </c>
      <c r="L1215" t="inlineStr">
        <is>
          <t>1 đôi bạc đỡ 2 bên thân</t>
        </is>
      </c>
    </row>
    <row r="1216">
      <c r="A1216" t="inlineStr">
        <is>
          <t>SW-DAMPER-303-ACTUATOR</t>
        </is>
      </c>
      <c r="B1216" t="inlineStr">
        <is>
          <t>SW-DAMPER-303</t>
        </is>
      </c>
      <c r="C1216" t="inlineStr">
        <is>
          <t>Model: NACA 2-05 (5Nm, 220VAC)</t>
        </is>
      </c>
      <c r="D1216" t="inlineStr">
        <is>
          <t>ĐỘNG_CƠ_VÀ_CẢM_BIẾN</t>
        </is>
      </c>
      <c r="E1216" t="inlineStr">
        <is>
          <t>MAT-ACTUATOR-NACA-2-05</t>
        </is>
      </c>
      <c r="F1216" t="inlineStr">
        <is>
          <t>Cái</t>
        </is>
      </c>
      <c r="G1216" s="4" t="n">
        <v>1</v>
      </c>
      <c r="H1216" s="2">
        <f>XLOOKUP(B1216, '00_TONG_HOP_BAO_GIA'!B:B, '00_TONG_HOP_BAO_GIA'!G:G, 1)</f>
        <v/>
      </c>
      <c r="I1216" s="5">
        <f>G1216*H1216</f>
        <v/>
      </c>
      <c r="J1216" s="2">
        <f>XLOOKUP(E1216, '06_BANG_GIA_VAT_TU_AP_DUNG'!B:B, '06_BANG_GIA_VAT_TU_AP_DUNG'!C:C, "LỖI_MÃ_VT")</f>
        <v/>
      </c>
      <c r="K1216" s="2">
        <f>I1216*J1216</f>
        <v/>
      </c>
      <c r="L1216" t="inlineStr">
        <is>
          <t>Tiết diện van 0.02m2</t>
        </is>
      </c>
    </row>
    <row r="1217">
      <c r="A1217" t="inlineStr">
        <is>
          <t>SW-DAMPER-305-BODY</t>
        </is>
      </c>
      <c r="B1217" t="inlineStr">
        <is>
          <t>SW-DAMPER-305</t>
        </is>
      </c>
      <c r="C1217" t="inlineStr">
        <is>
          <t>Thân vỏ van FD bích TDF (0.75mm)</t>
        </is>
      </c>
      <c r="D1217" t="inlineStr">
        <is>
          <t>TÔN_CUỘN_MẠ_KẼM</t>
        </is>
      </c>
      <c r="E1217" t="inlineStr">
        <is>
          <t>MAT-STEEL-PN-0.75</t>
        </is>
      </c>
      <c r="F1217" t="inlineStr">
        <is>
          <t>kg</t>
        </is>
      </c>
      <c r="G1217" s="4" t="n">
        <v>1.266048</v>
      </c>
      <c r="H1217" s="2">
        <f>XLOOKUP(B1217, '00_TONG_HOP_BAO_GIA'!B:B, '00_TONG_HOP_BAO_GIA'!G:G, 1)</f>
        <v/>
      </c>
      <c r="I1217" s="5">
        <f>G1217*H1217</f>
        <v/>
      </c>
      <c r="J1217" s="2">
        <f>XLOOKUP(E1217, '06_BANG_GIA_VAT_TU_AP_DUNG'!B:B, '06_BANG_GIA_VAT_TU_AP_DUNG'!C:C, "LỖI_MÃ_VT")</f>
        <v/>
      </c>
      <c r="K1217" s="2">
        <f>I1217*J1217</f>
        <v/>
      </c>
      <c r="L1217" t="inlineStr">
        <is>
          <t>Kích thước vỏ 150.0x150.0x250mm</t>
        </is>
      </c>
    </row>
    <row r="1218">
      <c r="A1218" t="inlineStr">
        <is>
          <t>SW-DAMPER-305-BLADE</t>
        </is>
      </c>
      <c r="B1218" t="inlineStr">
        <is>
          <t>SW-DAMPER-305</t>
        </is>
      </c>
      <c r="C1218" t="inlineStr">
        <is>
          <t>Lá cánh van (1 cánh overlap)</t>
        </is>
      </c>
      <c r="D1218" t="inlineStr">
        <is>
          <t>TÔN_CUỘN_MẠ_KẼM</t>
        </is>
      </c>
      <c r="E1218" t="inlineStr">
        <is>
          <t>MAT-STEEL-PN-0.75</t>
        </is>
      </c>
      <c r="F1218" t="inlineStr">
        <is>
          <t>kg</t>
        </is>
      </c>
      <c r="G1218" s="4" t="n">
        <v>0.16214175</v>
      </c>
      <c r="H1218" s="2">
        <f>XLOOKUP(B1218, '00_TONG_HOP_BAO_GIA'!B:B, '00_TONG_HOP_BAO_GIA'!G:G, 1)</f>
        <v/>
      </c>
      <c r="I1218" s="5">
        <f>G1218*H1218</f>
        <v/>
      </c>
      <c r="J1218" s="2">
        <f>XLOOKUP(E1218, '06_BANG_GIA_VAT_TU_AP_DUNG'!B:B, '06_BANG_GIA_VAT_TU_AP_DUNG'!C:C, "LỖI_MÃ_VT")</f>
        <v/>
      </c>
      <c r="K1218" s="2">
        <f>I1218*J1218</f>
        <v/>
      </c>
      <c r="L1218" t="inlineStr">
        <is>
          <t>1 cánh cao 170mm</t>
        </is>
      </c>
    </row>
    <row r="1219">
      <c r="A1219" t="inlineStr">
        <is>
          <t>SW-DAMPER-305-AXLE</t>
        </is>
      </c>
      <c r="B1219" t="inlineStr">
        <is>
          <t>SW-DAMPER-305</t>
        </is>
      </c>
      <c r="C1219" t="inlineStr">
        <is>
          <t>Trục Sus 201 D10</t>
        </is>
      </c>
      <c r="D1219" t="inlineStr">
        <is>
          <t>PHỤ_KIỆN_VAN</t>
        </is>
      </c>
      <c r="E1219" t="inlineStr">
        <is>
          <t>MAT-DAMPER-TRUC-SUS-201-D10</t>
        </is>
      </c>
      <c r="F1219" t="inlineStr">
        <is>
          <t>m</t>
        </is>
      </c>
      <c r="G1219" s="4" t="n">
        <v>0.21</v>
      </c>
      <c r="H1219" s="2">
        <f>XLOOKUP(B1219, '00_TONG_HOP_BAO_GIA'!B:B, '00_TONG_HOP_BAO_GIA'!G:G, 1)</f>
        <v/>
      </c>
      <c r="I1219" s="5">
        <f>G1219*H1219</f>
        <v/>
      </c>
      <c r="J1219" s="2">
        <f>XLOOKUP(E1219, '06_BANG_GIA_VAT_TU_AP_DUNG'!B:B, '06_BANG_GIA_VAT_TU_AP_DUNG'!C:C, "LỖI_MÃ_VT")</f>
        <v/>
      </c>
      <c r="K1219" s="2">
        <f>I1219*J1219</f>
        <v/>
      </c>
      <c r="L1219" t="inlineStr">
        <is>
          <t>1 trục dài 210mm</t>
        </is>
      </c>
    </row>
    <row r="1220">
      <c r="A1220" t="inlineStr">
        <is>
          <t>SW-DAMPER-305-BEARING</t>
        </is>
      </c>
      <c r="B1220" t="inlineStr">
        <is>
          <t>SW-DAMPER-305</t>
        </is>
      </c>
      <c r="C1220" t="inlineStr">
        <is>
          <t>Bạc đồng D10</t>
        </is>
      </c>
      <c r="D1220" t="inlineStr">
        <is>
          <t>PHỤ_KIỆN_VAN</t>
        </is>
      </c>
      <c r="E1220" t="inlineStr">
        <is>
          <t>MAT-DAMPER-BAC-DONG-D10</t>
        </is>
      </c>
      <c r="F1220" t="inlineStr">
        <is>
          <t>Đôi</t>
        </is>
      </c>
      <c r="G1220" s="4" t="n">
        <v>1</v>
      </c>
      <c r="H1220" s="2">
        <f>XLOOKUP(B1220, '00_TONG_HOP_BAO_GIA'!B:B, '00_TONG_HOP_BAO_GIA'!G:G, 1)</f>
        <v/>
      </c>
      <c r="I1220" s="5">
        <f>G1220*H1220</f>
        <v/>
      </c>
      <c r="J1220" s="2">
        <f>XLOOKUP(E1220, '06_BANG_GIA_VAT_TU_AP_DUNG'!B:B, '06_BANG_GIA_VAT_TU_AP_DUNG'!C:C, "LỖI_MÃ_VT")</f>
        <v/>
      </c>
      <c r="K1220" s="2">
        <f>I1220*J1220</f>
        <v/>
      </c>
      <c r="L1220" t="inlineStr">
        <is>
          <t>1 đôi bạc đỡ 2 bên thân</t>
        </is>
      </c>
    </row>
    <row r="1221">
      <c r="A1221" t="inlineStr">
        <is>
          <t>SW-DAMPER-305-FUSE</t>
        </is>
      </c>
      <c r="B1221" t="inlineStr">
        <is>
          <t>SW-DAMPER-305</t>
        </is>
      </c>
      <c r="C1221" t="inlineStr">
        <is>
          <t>Cầu chì nhiệt nóng chảy 70°C (Elsie/USA)</t>
        </is>
      </c>
      <c r="D1221" t="inlineStr">
        <is>
          <t>PHỤ_KIỆN_VAN</t>
        </is>
      </c>
      <c r="E1221" t="inlineStr">
        <is>
          <t>MAT-DAMPER-CAU-CHI-USA-1-400X400</t>
        </is>
      </c>
      <c r="F1221" t="inlineStr">
        <is>
          <t>Cái</t>
        </is>
      </c>
      <c r="G1221" s="4" t="n">
        <v>1</v>
      </c>
      <c r="H1221" s="2">
        <f>XLOOKUP(B1221, '00_TONG_HOP_BAO_GIA'!B:B, '00_TONG_HOP_BAO_GIA'!G:G, 1)</f>
        <v/>
      </c>
      <c r="I1221" s="5">
        <f>G1221*H1221</f>
        <v/>
      </c>
      <c r="J1221" s="2">
        <f>XLOOKUP(E1221, '06_BANG_GIA_VAT_TU_AP_DUNG'!B:B, '06_BANG_GIA_VAT_TU_AP_DUNG'!C:C, "LỖI_MÃ_VT")</f>
        <v/>
      </c>
      <c r="K1221" s="2">
        <f>I1221*J1221</f>
        <v/>
      </c>
      <c r="L1221" t="inlineStr">
        <is>
          <t>Cầu chì kiểm định PCCC</t>
        </is>
      </c>
    </row>
    <row r="1222">
      <c r="A1222" t="inlineStr">
        <is>
          <t>SW-DAMPER-306-BODY</t>
        </is>
      </c>
      <c r="B1222" t="inlineStr">
        <is>
          <t>SW-DAMPER-306</t>
        </is>
      </c>
      <c r="C1222" t="inlineStr">
        <is>
          <t>Thân vỏ van FD bích TDF (0.75mm)</t>
        </is>
      </c>
      <c r="D1222" t="inlineStr">
        <is>
          <t>TÔN_CUỘN_MẠ_KẼM</t>
        </is>
      </c>
      <c r="E1222" t="inlineStr">
        <is>
          <t>MAT-STEEL-PN-0.75</t>
        </is>
      </c>
      <c r="F1222" t="inlineStr">
        <is>
          <t>kg</t>
        </is>
      </c>
      <c r="G1222" s="4" t="n">
        <v>1.266048</v>
      </c>
      <c r="H1222" s="2">
        <f>XLOOKUP(B1222, '00_TONG_HOP_BAO_GIA'!B:B, '00_TONG_HOP_BAO_GIA'!G:G, 1)</f>
        <v/>
      </c>
      <c r="I1222" s="5">
        <f>G1222*H1222</f>
        <v/>
      </c>
      <c r="J1222" s="2">
        <f>XLOOKUP(E1222, '06_BANG_GIA_VAT_TU_AP_DUNG'!B:B, '06_BANG_GIA_VAT_TU_AP_DUNG'!C:C, "LỖI_MÃ_VT")</f>
        <v/>
      </c>
      <c r="K1222" s="2">
        <f>I1222*J1222</f>
        <v/>
      </c>
      <c r="L1222" t="inlineStr">
        <is>
          <t>Kích thước vỏ 150.0x150.0x250mm</t>
        </is>
      </c>
    </row>
    <row r="1223">
      <c r="A1223" t="inlineStr">
        <is>
          <t>SW-DAMPER-306-BLADE</t>
        </is>
      </c>
      <c r="B1223" t="inlineStr">
        <is>
          <t>SW-DAMPER-306</t>
        </is>
      </c>
      <c r="C1223" t="inlineStr">
        <is>
          <t>Lá cánh van (1 cánh overlap)</t>
        </is>
      </c>
      <c r="D1223" t="inlineStr">
        <is>
          <t>TÔN_CUỘN_MẠ_KẼM</t>
        </is>
      </c>
      <c r="E1223" t="inlineStr">
        <is>
          <t>MAT-STEEL-PN-0.75</t>
        </is>
      </c>
      <c r="F1223" t="inlineStr">
        <is>
          <t>kg</t>
        </is>
      </c>
      <c r="G1223" s="4" t="n">
        <v>0.16214175</v>
      </c>
      <c r="H1223" s="2">
        <f>XLOOKUP(B1223, '00_TONG_HOP_BAO_GIA'!B:B, '00_TONG_HOP_BAO_GIA'!G:G, 1)</f>
        <v/>
      </c>
      <c r="I1223" s="5">
        <f>G1223*H1223</f>
        <v/>
      </c>
      <c r="J1223" s="2">
        <f>XLOOKUP(E1223, '06_BANG_GIA_VAT_TU_AP_DUNG'!B:B, '06_BANG_GIA_VAT_TU_AP_DUNG'!C:C, "LỖI_MÃ_VT")</f>
        <v/>
      </c>
      <c r="K1223" s="2">
        <f>I1223*J1223</f>
        <v/>
      </c>
      <c r="L1223" t="inlineStr">
        <is>
          <t>1 cánh cao 170mm</t>
        </is>
      </c>
    </row>
    <row r="1224">
      <c r="A1224" t="inlineStr">
        <is>
          <t>SW-DAMPER-306-AXLE</t>
        </is>
      </c>
      <c r="B1224" t="inlineStr">
        <is>
          <t>SW-DAMPER-306</t>
        </is>
      </c>
      <c r="C1224" t="inlineStr">
        <is>
          <t>Trục Sus 201 D10</t>
        </is>
      </c>
      <c r="D1224" t="inlineStr">
        <is>
          <t>PHỤ_KIỆN_VAN</t>
        </is>
      </c>
      <c r="E1224" t="inlineStr">
        <is>
          <t>MAT-DAMPER-TRUC-SUS-201-D10</t>
        </is>
      </c>
      <c r="F1224" t="inlineStr">
        <is>
          <t>m</t>
        </is>
      </c>
      <c r="G1224" s="4" t="n">
        <v>0.21</v>
      </c>
      <c r="H1224" s="2">
        <f>XLOOKUP(B1224, '00_TONG_HOP_BAO_GIA'!B:B, '00_TONG_HOP_BAO_GIA'!G:G, 1)</f>
        <v/>
      </c>
      <c r="I1224" s="5">
        <f>G1224*H1224</f>
        <v/>
      </c>
      <c r="J1224" s="2">
        <f>XLOOKUP(E1224, '06_BANG_GIA_VAT_TU_AP_DUNG'!B:B, '06_BANG_GIA_VAT_TU_AP_DUNG'!C:C, "LỖI_MÃ_VT")</f>
        <v/>
      </c>
      <c r="K1224" s="2">
        <f>I1224*J1224</f>
        <v/>
      </c>
      <c r="L1224" t="inlineStr">
        <is>
          <t>1 trục dài 210mm</t>
        </is>
      </c>
    </row>
    <row r="1225">
      <c r="A1225" t="inlineStr">
        <is>
          <t>SW-DAMPER-306-BEARING</t>
        </is>
      </c>
      <c r="B1225" t="inlineStr">
        <is>
          <t>SW-DAMPER-306</t>
        </is>
      </c>
      <c r="C1225" t="inlineStr">
        <is>
          <t>Bạc đồng D10</t>
        </is>
      </c>
      <c r="D1225" t="inlineStr">
        <is>
          <t>PHỤ_KIỆN_VAN</t>
        </is>
      </c>
      <c r="E1225" t="inlineStr">
        <is>
          <t>MAT-DAMPER-BAC-DONG-D10</t>
        </is>
      </c>
      <c r="F1225" t="inlineStr">
        <is>
          <t>Đôi</t>
        </is>
      </c>
      <c r="G1225" s="4" t="n">
        <v>1</v>
      </c>
      <c r="H1225" s="2">
        <f>XLOOKUP(B1225, '00_TONG_HOP_BAO_GIA'!B:B, '00_TONG_HOP_BAO_GIA'!G:G, 1)</f>
        <v/>
      </c>
      <c r="I1225" s="5">
        <f>G1225*H1225</f>
        <v/>
      </c>
      <c r="J1225" s="2">
        <f>XLOOKUP(E1225, '06_BANG_GIA_VAT_TU_AP_DUNG'!B:B, '06_BANG_GIA_VAT_TU_AP_DUNG'!C:C, "LỖI_MÃ_VT")</f>
        <v/>
      </c>
      <c r="K1225" s="2">
        <f>I1225*J1225</f>
        <v/>
      </c>
      <c r="L1225" t="inlineStr">
        <is>
          <t>1 đôi bạc đỡ 2 bên thân</t>
        </is>
      </c>
    </row>
    <row r="1226">
      <c r="A1226" t="inlineStr">
        <is>
          <t>SW-DAMPER-306-FUSE</t>
        </is>
      </c>
      <c r="B1226" t="inlineStr">
        <is>
          <t>SW-DAMPER-306</t>
        </is>
      </c>
      <c r="C1226" t="inlineStr">
        <is>
          <t>Cầu chì nhiệt nóng chảy 70°C (Elsie/USA)</t>
        </is>
      </c>
      <c r="D1226" t="inlineStr">
        <is>
          <t>PHỤ_KIỆN_VAN</t>
        </is>
      </c>
      <c r="E1226" t="inlineStr">
        <is>
          <t>MAT-DAMPER-CAU-CHI-USA-1-400X400</t>
        </is>
      </c>
      <c r="F1226" t="inlineStr">
        <is>
          <t>Cái</t>
        </is>
      </c>
      <c r="G1226" s="4" t="n">
        <v>1</v>
      </c>
      <c r="H1226" s="2">
        <f>XLOOKUP(B1226, '00_TONG_HOP_BAO_GIA'!B:B, '00_TONG_HOP_BAO_GIA'!G:G, 1)</f>
        <v/>
      </c>
      <c r="I1226" s="5">
        <f>G1226*H1226</f>
        <v/>
      </c>
      <c r="J1226" s="2">
        <f>XLOOKUP(E1226, '06_BANG_GIA_VAT_TU_AP_DUNG'!B:B, '06_BANG_GIA_VAT_TU_AP_DUNG'!C:C, "LỖI_MÃ_VT")</f>
        <v/>
      </c>
      <c r="K1226" s="2">
        <f>I1226*J1226</f>
        <v/>
      </c>
      <c r="L1226" t="inlineStr">
        <is>
          <t>Cầu chì kiểm định PCCC</t>
        </is>
      </c>
    </row>
    <row r="1227">
      <c r="A1227" t="inlineStr">
        <is>
          <t>SW-DAMPER-307-BODY</t>
        </is>
      </c>
      <c r="B1227" t="inlineStr">
        <is>
          <t>SW-DAMPER-307</t>
        </is>
      </c>
      <c r="C1227" t="inlineStr">
        <is>
          <t>Thân vỏ van VCD bích TDF (0.75mm)</t>
        </is>
      </c>
      <c r="D1227" t="inlineStr">
        <is>
          <t>TÔN_CUỘN_MẠ_KẼM</t>
        </is>
      </c>
      <c r="E1227" t="inlineStr">
        <is>
          <t>MAT-STEEL-PN-0.75</t>
        </is>
      </c>
      <c r="F1227" t="inlineStr">
        <is>
          <t>kg</t>
        </is>
      </c>
      <c r="G1227" s="4" t="n">
        <v>2.146347</v>
      </c>
      <c r="H1227" s="2">
        <f>XLOOKUP(B1227, '00_TONG_HOP_BAO_GIA'!B:B, '00_TONG_HOP_BAO_GIA'!G:G, 1)</f>
        <v/>
      </c>
      <c r="I1227" s="5">
        <f>G1227*H1227</f>
        <v/>
      </c>
      <c r="J1227" s="2">
        <f>XLOOKUP(E1227, '06_BANG_GIA_VAT_TU_AP_DUNG'!B:B, '06_BANG_GIA_VAT_TU_AP_DUNG'!C:C, "LỖI_MÃ_VT")</f>
        <v/>
      </c>
      <c r="K1227" s="2">
        <f>I1227*J1227</f>
        <v/>
      </c>
      <c r="L1227" t="inlineStr">
        <is>
          <t>Kích thước vỏ 300x300x210mm</t>
        </is>
      </c>
    </row>
    <row r="1228">
      <c r="A1228" t="inlineStr">
        <is>
          <t>SW-DAMPER-307-BLADE</t>
        </is>
      </c>
      <c r="B1228" t="inlineStr">
        <is>
          <t>SW-DAMPER-307</t>
        </is>
      </c>
      <c r="C1228" t="inlineStr">
        <is>
          <t>Lá cánh van (2 cánh overlap)</t>
        </is>
      </c>
      <c r="D1228" t="inlineStr">
        <is>
          <t>TÔN_CUỘN_MẠ_KẼM</t>
        </is>
      </c>
      <c r="E1228" t="inlineStr">
        <is>
          <t>MAT-STEEL-PN-0.75</t>
        </is>
      </c>
      <c r="F1228" t="inlineStr">
        <is>
          <t>kg</t>
        </is>
      </c>
      <c r="G1228" s="4" t="n">
        <v>0.648567</v>
      </c>
      <c r="H1228" s="2">
        <f>XLOOKUP(B1228, '00_TONG_HOP_BAO_GIA'!B:B, '00_TONG_HOP_BAO_GIA'!G:G, 1)</f>
        <v/>
      </c>
      <c r="I1228" s="5">
        <f>G1228*H1228</f>
        <v/>
      </c>
      <c r="J1228" s="2">
        <f>XLOOKUP(E1228, '06_BANG_GIA_VAT_TU_AP_DUNG'!B:B, '06_BANG_GIA_VAT_TU_AP_DUNG'!C:C, "LỖI_MÃ_VT")</f>
        <v/>
      </c>
      <c r="K1228" s="2">
        <f>I1228*J1228</f>
        <v/>
      </c>
      <c r="L1228" t="inlineStr">
        <is>
          <t>2 cánh cao 170mm</t>
        </is>
      </c>
    </row>
    <row r="1229">
      <c r="A1229" t="inlineStr">
        <is>
          <t>SW-DAMPER-307-AXLE</t>
        </is>
      </c>
      <c r="B1229" t="inlineStr">
        <is>
          <t>SW-DAMPER-307</t>
        </is>
      </c>
      <c r="C1229" t="inlineStr">
        <is>
          <t>Trục Sus 201 D10</t>
        </is>
      </c>
      <c r="D1229" t="inlineStr">
        <is>
          <t>PHỤ_KIỆN_VAN</t>
        </is>
      </c>
      <c r="E1229" t="inlineStr">
        <is>
          <t>MAT-DAMPER-TRUC-SUS-201-D10</t>
        </is>
      </c>
      <c r="F1229" t="inlineStr">
        <is>
          <t>m</t>
        </is>
      </c>
      <c r="G1229" s="4" t="n">
        <v>0.72</v>
      </c>
      <c r="H1229" s="2">
        <f>XLOOKUP(B1229, '00_TONG_HOP_BAO_GIA'!B:B, '00_TONG_HOP_BAO_GIA'!G:G, 1)</f>
        <v/>
      </c>
      <c r="I1229" s="5">
        <f>G1229*H1229</f>
        <v/>
      </c>
      <c r="J1229" s="2">
        <f>XLOOKUP(E1229, '06_BANG_GIA_VAT_TU_AP_DUNG'!B:B, '06_BANG_GIA_VAT_TU_AP_DUNG'!C:C, "LỖI_MÃ_VT")</f>
        <v/>
      </c>
      <c r="K1229" s="2">
        <f>I1229*J1229</f>
        <v/>
      </c>
      <c r="L1229" t="inlineStr">
        <is>
          <t>2 trục dài 360mm</t>
        </is>
      </c>
    </row>
    <row r="1230">
      <c r="A1230" t="inlineStr">
        <is>
          <t>SW-DAMPER-307-BEARING</t>
        </is>
      </c>
      <c r="B1230" t="inlineStr">
        <is>
          <t>SW-DAMPER-307</t>
        </is>
      </c>
      <c r="C1230" t="inlineStr">
        <is>
          <t>Bạc đồng D10</t>
        </is>
      </c>
      <c r="D1230" t="inlineStr">
        <is>
          <t>PHỤ_KIỆN_VAN</t>
        </is>
      </c>
      <c r="E1230" t="inlineStr">
        <is>
          <t>MAT-DAMPER-BAC-DONG-D10</t>
        </is>
      </c>
      <c r="F1230" t="inlineStr">
        <is>
          <t>Đôi</t>
        </is>
      </c>
      <c r="G1230" s="4" t="n">
        <v>2</v>
      </c>
      <c r="H1230" s="2">
        <f>XLOOKUP(B1230, '00_TONG_HOP_BAO_GIA'!B:B, '00_TONG_HOP_BAO_GIA'!G:G, 1)</f>
        <v/>
      </c>
      <c r="I1230" s="5">
        <f>G1230*H1230</f>
        <v/>
      </c>
      <c r="J1230" s="2">
        <f>XLOOKUP(E1230, '06_BANG_GIA_VAT_TU_AP_DUNG'!B:B, '06_BANG_GIA_VAT_TU_AP_DUNG'!C:C, "LỖI_MÃ_VT")</f>
        <v/>
      </c>
      <c r="K1230" s="2">
        <f>I1230*J1230</f>
        <v/>
      </c>
      <c r="L1230" t="inlineStr">
        <is>
          <t>2 đôi bạc đỡ 2 bên thân</t>
        </is>
      </c>
    </row>
    <row r="1231">
      <c r="A1231" t="inlineStr">
        <is>
          <t>SW-DAMPER-307-GEAR</t>
        </is>
      </c>
      <c r="B1231" t="inlineStr">
        <is>
          <t>SW-DAMPER-307</t>
        </is>
      </c>
      <c r="C1231" t="inlineStr">
        <is>
          <t>Bánh răng van nhôm</t>
        </is>
      </c>
      <c r="D1231" t="inlineStr">
        <is>
          <t>PHỤ_KIỆN_VAN</t>
        </is>
      </c>
      <c r="E1231" t="inlineStr">
        <is>
          <t>MAT-DAMPER-BANH-RANG-VAN-NHOM</t>
        </is>
      </c>
      <c r="F1231" t="inlineStr">
        <is>
          <t>Bộ</t>
        </is>
      </c>
      <c r="G1231" s="4" t="n">
        <v>1</v>
      </c>
      <c r="H1231" s="2">
        <f>XLOOKUP(B1231, '00_TONG_HOP_BAO_GIA'!B:B, '00_TONG_HOP_BAO_GIA'!G:G, 1)</f>
        <v/>
      </c>
      <c r="I1231" s="5">
        <f>G1231*H1231</f>
        <v/>
      </c>
      <c r="J1231" s="2">
        <f>XLOOKUP(E1231, '06_BANG_GIA_VAT_TU_AP_DUNG'!B:B, '06_BANG_GIA_VAT_TU_AP_DUNG'!C:C, "LỖI_MÃ_VT")</f>
        <v/>
      </c>
      <c r="K1231" s="2">
        <f>I1231*J1231</f>
        <v/>
      </c>
      <c r="L1231" t="inlineStr">
        <is>
          <t>Cơ cấu liên động bánh răng van</t>
        </is>
      </c>
    </row>
    <row r="1232">
      <c r="A1232" t="inlineStr">
        <is>
          <t>SW-DAMPER-307-HANDLE</t>
        </is>
      </c>
      <c r="B1232" t="inlineStr">
        <is>
          <t>SW-DAMPER-307</t>
        </is>
      </c>
      <c r="C1232" t="inlineStr">
        <is>
          <t>Tay gạt nhỏ</t>
        </is>
      </c>
      <c r="D1232" t="inlineStr">
        <is>
          <t>PHỤ_KIỆN_VAN</t>
        </is>
      </c>
      <c r="E1232" t="inlineStr">
        <is>
          <t>MAT-DAMPER-TAY-GAT-NHO</t>
        </is>
      </c>
      <c r="F1232" t="inlineStr">
        <is>
          <t>Bộ</t>
        </is>
      </c>
      <c r="G1232" s="4" t="n">
        <v>1</v>
      </c>
      <c r="H1232" s="2">
        <f>XLOOKUP(B1232, '00_TONG_HOP_BAO_GIA'!B:B, '00_TONG_HOP_BAO_GIA'!G:G, 1)</f>
        <v/>
      </c>
      <c r="I1232" s="5">
        <f>G1232*H1232</f>
        <v/>
      </c>
      <c r="J1232" s="2">
        <f>XLOOKUP(E1232, '06_BANG_GIA_VAT_TU_AP_DUNG'!B:B, '06_BANG_GIA_VAT_TU_AP_DUNG'!C:C, "LỖI_MÃ_VT")</f>
        <v/>
      </c>
      <c r="K1232" s="2">
        <f>I1232*J1232</f>
        <v/>
      </c>
      <c r="L1232" t="inlineStr">
        <is>
          <t>Tay gạt khóa vị trí nan (S=0.09m2)</t>
        </is>
      </c>
    </row>
    <row r="1233">
      <c r="A1233" t="inlineStr">
        <is>
          <t>SW-DAMPER-308-BODY</t>
        </is>
      </c>
      <c r="B1233" t="inlineStr">
        <is>
          <t>SW-DAMPER-308</t>
        </is>
      </c>
      <c r="C1233" t="inlineStr">
        <is>
          <t>Thân vỏ van VCD bích TDF (0.75mm)</t>
        </is>
      </c>
      <c r="D1233" t="inlineStr">
        <is>
          <t>TÔN_CUỘN_MẠ_KẼM</t>
        </is>
      </c>
      <c r="E1233" t="inlineStr">
        <is>
          <t>MAT-STEEL-PN-0.75</t>
        </is>
      </c>
      <c r="F1233" t="inlineStr">
        <is>
          <t>kg</t>
        </is>
      </c>
      <c r="G1233" s="4" t="n">
        <v>0.9346995000000001</v>
      </c>
      <c r="H1233" s="2">
        <f>XLOOKUP(B1233, '00_TONG_HOP_BAO_GIA'!B:B, '00_TONG_HOP_BAO_GIA'!G:G, 1)</f>
        <v/>
      </c>
      <c r="I1233" s="5">
        <f>G1233*H1233</f>
        <v/>
      </c>
      <c r="J1233" s="2">
        <f>XLOOKUP(E1233, '06_BANG_GIA_VAT_TU_AP_DUNG'!B:B, '06_BANG_GIA_VAT_TU_AP_DUNG'!C:C, "LỖI_MÃ_VT")</f>
        <v/>
      </c>
      <c r="K1233" s="2">
        <f>I1233*J1233</f>
        <v/>
      </c>
      <c r="L1233" t="inlineStr">
        <is>
          <t>Kích thước vỏ 150.0x100.0x210mm</t>
        </is>
      </c>
    </row>
    <row r="1234">
      <c r="A1234" t="inlineStr">
        <is>
          <t>SW-DAMPER-308-BLADE</t>
        </is>
      </c>
      <c r="B1234" t="inlineStr">
        <is>
          <t>SW-DAMPER-308</t>
        </is>
      </c>
      <c r="C1234" t="inlineStr">
        <is>
          <t>Lá cánh van (1 cánh overlap)</t>
        </is>
      </c>
      <c r="D1234" t="inlineStr">
        <is>
          <t>TÔN_CUỘN_MẠ_KẼM</t>
        </is>
      </c>
      <c r="E1234" t="inlineStr">
        <is>
          <t>MAT-STEEL-PN-0.75</t>
        </is>
      </c>
      <c r="F1234" t="inlineStr">
        <is>
          <t>kg</t>
        </is>
      </c>
      <c r="G1234" s="4" t="n">
        <v>0.114453</v>
      </c>
      <c r="H1234" s="2">
        <f>XLOOKUP(B1234, '00_TONG_HOP_BAO_GIA'!B:B, '00_TONG_HOP_BAO_GIA'!G:G, 1)</f>
        <v/>
      </c>
      <c r="I1234" s="5">
        <f>G1234*H1234</f>
        <v/>
      </c>
      <c r="J1234" s="2">
        <f>XLOOKUP(E1234, '06_BANG_GIA_VAT_TU_AP_DUNG'!B:B, '06_BANG_GIA_VAT_TU_AP_DUNG'!C:C, "LỖI_MÃ_VT")</f>
        <v/>
      </c>
      <c r="K1234" s="2">
        <f>I1234*J1234</f>
        <v/>
      </c>
      <c r="L1234" t="inlineStr">
        <is>
          <t>1 cánh cao 120mm</t>
        </is>
      </c>
    </row>
    <row r="1235">
      <c r="A1235" t="inlineStr">
        <is>
          <t>SW-DAMPER-308-AXLE</t>
        </is>
      </c>
      <c r="B1235" t="inlineStr">
        <is>
          <t>SW-DAMPER-308</t>
        </is>
      </c>
      <c r="C1235" t="inlineStr">
        <is>
          <t>Trục Sus 201 D10</t>
        </is>
      </c>
      <c r="D1235" t="inlineStr">
        <is>
          <t>PHỤ_KIỆN_VAN</t>
        </is>
      </c>
      <c r="E1235" t="inlineStr">
        <is>
          <t>MAT-DAMPER-TRUC-SUS-201-D10</t>
        </is>
      </c>
      <c r="F1235" t="inlineStr">
        <is>
          <t>m</t>
        </is>
      </c>
      <c r="G1235" s="4" t="n">
        <v>0.21</v>
      </c>
      <c r="H1235" s="2">
        <f>XLOOKUP(B1235, '00_TONG_HOP_BAO_GIA'!B:B, '00_TONG_HOP_BAO_GIA'!G:G, 1)</f>
        <v/>
      </c>
      <c r="I1235" s="5">
        <f>G1235*H1235</f>
        <v/>
      </c>
      <c r="J1235" s="2">
        <f>XLOOKUP(E1235, '06_BANG_GIA_VAT_TU_AP_DUNG'!B:B, '06_BANG_GIA_VAT_TU_AP_DUNG'!C:C, "LỖI_MÃ_VT")</f>
        <v/>
      </c>
      <c r="K1235" s="2">
        <f>I1235*J1235</f>
        <v/>
      </c>
      <c r="L1235" t="inlineStr">
        <is>
          <t>1 trục dài 210mm</t>
        </is>
      </c>
    </row>
    <row r="1236">
      <c r="A1236" t="inlineStr">
        <is>
          <t>SW-DAMPER-308-BEARING</t>
        </is>
      </c>
      <c r="B1236" t="inlineStr">
        <is>
          <t>SW-DAMPER-308</t>
        </is>
      </c>
      <c r="C1236" t="inlineStr">
        <is>
          <t>Bạc đồng D10</t>
        </is>
      </c>
      <c r="D1236" t="inlineStr">
        <is>
          <t>PHỤ_KIỆN_VAN</t>
        </is>
      </c>
      <c r="E1236" t="inlineStr">
        <is>
          <t>MAT-DAMPER-BAC-DONG-D10</t>
        </is>
      </c>
      <c r="F1236" t="inlineStr">
        <is>
          <t>Đôi</t>
        </is>
      </c>
      <c r="G1236" s="4" t="n">
        <v>1</v>
      </c>
      <c r="H1236" s="2">
        <f>XLOOKUP(B1236, '00_TONG_HOP_BAO_GIA'!B:B, '00_TONG_HOP_BAO_GIA'!G:G, 1)</f>
        <v/>
      </c>
      <c r="I1236" s="5">
        <f>G1236*H1236</f>
        <v/>
      </c>
      <c r="J1236" s="2">
        <f>XLOOKUP(E1236, '06_BANG_GIA_VAT_TU_AP_DUNG'!B:B, '06_BANG_GIA_VAT_TU_AP_DUNG'!C:C, "LỖI_MÃ_VT")</f>
        <v/>
      </c>
      <c r="K1236" s="2">
        <f>I1236*J1236</f>
        <v/>
      </c>
      <c r="L1236" t="inlineStr">
        <is>
          <t>1 đôi bạc đỡ 2 bên thân</t>
        </is>
      </c>
    </row>
    <row r="1237">
      <c r="A1237" t="inlineStr">
        <is>
          <t>SW-DAMPER-308-HANDLE</t>
        </is>
      </c>
      <c r="B1237" t="inlineStr">
        <is>
          <t>SW-DAMPER-308</t>
        </is>
      </c>
      <c r="C1237" t="inlineStr">
        <is>
          <t>Tay gạt nhỏ</t>
        </is>
      </c>
      <c r="D1237" t="inlineStr">
        <is>
          <t>PHỤ_KIỆN_VAN</t>
        </is>
      </c>
      <c r="E1237" t="inlineStr">
        <is>
          <t>MAT-DAMPER-TAY-GAT-NHO</t>
        </is>
      </c>
      <c r="F1237" t="inlineStr">
        <is>
          <t>Bộ</t>
        </is>
      </c>
      <c r="G1237" s="4" t="n">
        <v>1</v>
      </c>
      <c r="H1237" s="2">
        <f>XLOOKUP(B1237, '00_TONG_HOP_BAO_GIA'!B:B, '00_TONG_HOP_BAO_GIA'!G:G, 1)</f>
        <v/>
      </c>
      <c r="I1237" s="5">
        <f>G1237*H1237</f>
        <v/>
      </c>
      <c r="J1237" s="2">
        <f>XLOOKUP(E1237, '06_BANG_GIA_VAT_TU_AP_DUNG'!B:B, '06_BANG_GIA_VAT_TU_AP_DUNG'!C:C, "LỖI_MÃ_VT")</f>
        <v/>
      </c>
      <c r="K1237" s="2">
        <f>I1237*J1237</f>
        <v/>
      </c>
      <c r="L1237" t="inlineStr">
        <is>
          <t>Tay gạt khóa vị trí nan (S=0.01m2)</t>
        </is>
      </c>
    </row>
    <row r="1238">
      <c r="A1238" t="inlineStr">
        <is>
          <t>SW-DAMPER-309-BODY</t>
        </is>
      </c>
      <c r="B1238" t="inlineStr">
        <is>
          <t>SW-DAMPER-309</t>
        </is>
      </c>
      <c r="C1238" t="inlineStr">
        <is>
          <t>Thân vỏ van VCD bích TDF (0.75mm)</t>
        </is>
      </c>
      <c r="D1238" t="inlineStr">
        <is>
          <t>TÔN_CUỘN_MẠ_KẼM</t>
        </is>
      </c>
      <c r="E1238" t="inlineStr">
        <is>
          <t>MAT-STEEL-PN-0.75</t>
        </is>
      </c>
      <c r="F1238" t="inlineStr">
        <is>
          <t>kg</t>
        </is>
      </c>
      <c r="G1238" s="4" t="n">
        <v>1.107792</v>
      </c>
      <c r="H1238" s="2">
        <f>XLOOKUP(B1238, '00_TONG_HOP_BAO_GIA'!B:B, '00_TONG_HOP_BAO_GIA'!G:G, 1)</f>
        <v/>
      </c>
      <c r="I1238" s="5">
        <f>G1238*H1238</f>
        <v/>
      </c>
      <c r="J1238" s="2">
        <f>XLOOKUP(E1238, '06_BANG_GIA_VAT_TU_AP_DUNG'!B:B, '06_BANG_GIA_VAT_TU_AP_DUNG'!C:C, "LỖI_MÃ_VT")</f>
        <v/>
      </c>
      <c r="K1238" s="2">
        <f>I1238*J1238</f>
        <v/>
      </c>
      <c r="L1238" t="inlineStr">
        <is>
          <t>Kích thước vỏ 150.0x150.0x210mm</t>
        </is>
      </c>
    </row>
    <row r="1239">
      <c r="A1239" t="inlineStr">
        <is>
          <t>SW-DAMPER-309-BLADE</t>
        </is>
      </c>
      <c r="B1239" t="inlineStr">
        <is>
          <t>SW-DAMPER-309</t>
        </is>
      </c>
      <c r="C1239" t="inlineStr">
        <is>
          <t>Lá cánh van (1 cánh overlap)</t>
        </is>
      </c>
      <c r="D1239" t="inlineStr">
        <is>
          <t>TÔN_CUỘN_MẠ_KẼM</t>
        </is>
      </c>
      <c r="E1239" t="inlineStr">
        <is>
          <t>MAT-STEEL-PN-0.75</t>
        </is>
      </c>
      <c r="F1239" t="inlineStr">
        <is>
          <t>kg</t>
        </is>
      </c>
      <c r="G1239" s="4" t="n">
        <v>0.16214175</v>
      </c>
      <c r="H1239" s="2">
        <f>XLOOKUP(B1239, '00_TONG_HOP_BAO_GIA'!B:B, '00_TONG_HOP_BAO_GIA'!G:G, 1)</f>
        <v/>
      </c>
      <c r="I1239" s="5">
        <f>G1239*H1239</f>
        <v/>
      </c>
      <c r="J1239" s="2">
        <f>XLOOKUP(E1239, '06_BANG_GIA_VAT_TU_AP_DUNG'!B:B, '06_BANG_GIA_VAT_TU_AP_DUNG'!C:C, "LỖI_MÃ_VT")</f>
        <v/>
      </c>
      <c r="K1239" s="2">
        <f>I1239*J1239</f>
        <v/>
      </c>
      <c r="L1239" t="inlineStr">
        <is>
          <t>1 cánh cao 170mm</t>
        </is>
      </c>
    </row>
    <row r="1240">
      <c r="A1240" t="inlineStr">
        <is>
          <t>SW-DAMPER-309-AXLE</t>
        </is>
      </c>
      <c r="B1240" t="inlineStr">
        <is>
          <t>SW-DAMPER-309</t>
        </is>
      </c>
      <c r="C1240" t="inlineStr">
        <is>
          <t>Trục Sus 201 D10</t>
        </is>
      </c>
      <c r="D1240" t="inlineStr">
        <is>
          <t>PHỤ_KIỆN_VAN</t>
        </is>
      </c>
      <c r="E1240" t="inlineStr">
        <is>
          <t>MAT-DAMPER-TRUC-SUS-201-D10</t>
        </is>
      </c>
      <c r="F1240" t="inlineStr">
        <is>
          <t>m</t>
        </is>
      </c>
      <c r="G1240" s="4" t="n">
        <v>0.21</v>
      </c>
      <c r="H1240" s="2">
        <f>XLOOKUP(B1240, '00_TONG_HOP_BAO_GIA'!B:B, '00_TONG_HOP_BAO_GIA'!G:G, 1)</f>
        <v/>
      </c>
      <c r="I1240" s="5">
        <f>G1240*H1240</f>
        <v/>
      </c>
      <c r="J1240" s="2">
        <f>XLOOKUP(E1240, '06_BANG_GIA_VAT_TU_AP_DUNG'!B:B, '06_BANG_GIA_VAT_TU_AP_DUNG'!C:C, "LỖI_MÃ_VT")</f>
        <v/>
      </c>
      <c r="K1240" s="2">
        <f>I1240*J1240</f>
        <v/>
      </c>
      <c r="L1240" t="inlineStr">
        <is>
          <t>1 trục dài 210mm</t>
        </is>
      </c>
    </row>
    <row r="1241">
      <c r="A1241" t="inlineStr">
        <is>
          <t>SW-DAMPER-309-BEARING</t>
        </is>
      </c>
      <c r="B1241" t="inlineStr">
        <is>
          <t>SW-DAMPER-309</t>
        </is>
      </c>
      <c r="C1241" t="inlineStr">
        <is>
          <t>Bạc đồng D10</t>
        </is>
      </c>
      <c r="D1241" t="inlineStr">
        <is>
          <t>PHỤ_KIỆN_VAN</t>
        </is>
      </c>
      <c r="E1241" t="inlineStr">
        <is>
          <t>MAT-DAMPER-BAC-DONG-D10</t>
        </is>
      </c>
      <c r="F1241" t="inlineStr">
        <is>
          <t>Đôi</t>
        </is>
      </c>
      <c r="G1241" s="4" t="n">
        <v>1</v>
      </c>
      <c r="H1241" s="2">
        <f>XLOOKUP(B1241, '00_TONG_HOP_BAO_GIA'!B:B, '00_TONG_HOP_BAO_GIA'!G:G, 1)</f>
        <v/>
      </c>
      <c r="I1241" s="5">
        <f>G1241*H1241</f>
        <v/>
      </c>
      <c r="J1241" s="2">
        <f>XLOOKUP(E1241, '06_BANG_GIA_VAT_TU_AP_DUNG'!B:B, '06_BANG_GIA_VAT_TU_AP_DUNG'!C:C, "LỖI_MÃ_VT")</f>
        <v/>
      </c>
      <c r="K1241" s="2">
        <f>I1241*J1241</f>
        <v/>
      </c>
      <c r="L1241" t="inlineStr">
        <is>
          <t>1 đôi bạc đỡ 2 bên thân</t>
        </is>
      </c>
    </row>
    <row r="1242">
      <c r="A1242" t="inlineStr">
        <is>
          <t>SW-DAMPER-309-HANDLE</t>
        </is>
      </c>
      <c r="B1242" t="inlineStr">
        <is>
          <t>SW-DAMPER-309</t>
        </is>
      </c>
      <c r="C1242" t="inlineStr">
        <is>
          <t>Tay gạt nhỏ</t>
        </is>
      </c>
      <c r="D1242" t="inlineStr">
        <is>
          <t>PHỤ_KIỆN_VAN</t>
        </is>
      </c>
      <c r="E1242" t="inlineStr">
        <is>
          <t>MAT-DAMPER-TAY-GAT-NHO</t>
        </is>
      </c>
      <c r="F1242" t="inlineStr">
        <is>
          <t>Bộ</t>
        </is>
      </c>
      <c r="G1242" s="4" t="n">
        <v>1</v>
      </c>
      <c r="H1242" s="2">
        <f>XLOOKUP(B1242, '00_TONG_HOP_BAO_GIA'!B:B, '00_TONG_HOP_BAO_GIA'!G:G, 1)</f>
        <v/>
      </c>
      <c r="I1242" s="5">
        <f>G1242*H1242</f>
        <v/>
      </c>
      <c r="J1242" s="2">
        <f>XLOOKUP(E1242, '06_BANG_GIA_VAT_TU_AP_DUNG'!B:B, '06_BANG_GIA_VAT_TU_AP_DUNG'!C:C, "LỖI_MÃ_VT")</f>
        <v/>
      </c>
      <c r="K1242" s="2">
        <f>I1242*J1242</f>
        <v/>
      </c>
      <c r="L1242" t="inlineStr">
        <is>
          <t>Tay gạt khóa vị trí nan (S=0.02m2)</t>
        </is>
      </c>
    </row>
    <row r="1243">
      <c r="A1243" t="inlineStr">
        <is>
          <t>SW-DAMPER-310-BODY</t>
        </is>
      </c>
      <c r="B1243" t="inlineStr">
        <is>
          <t>SW-DAMPER-310</t>
        </is>
      </c>
      <c r="C1243" t="inlineStr">
        <is>
          <t>Thân vỏ van MD bích TDF (0.75mm)</t>
        </is>
      </c>
      <c r="D1243" t="inlineStr">
        <is>
          <t>TÔN_CUỘN_MẠ_KẼM</t>
        </is>
      </c>
      <c r="E1243" t="inlineStr">
        <is>
          <t>MAT-STEEL-PN-0.75</t>
        </is>
      </c>
      <c r="F1243" t="inlineStr">
        <is>
          <t>kg</t>
        </is>
      </c>
      <c r="G1243" s="4" t="n">
        <v>0.9346995000000001</v>
      </c>
      <c r="H1243" s="2">
        <f>XLOOKUP(B1243, '00_TONG_HOP_BAO_GIA'!B:B, '00_TONG_HOP_BAO_GIA'!G:G, 1)</f>
        <v/>
      </c>
      <c r="I1243" s="5">
        <f>G1243*H1243</f>
        <v/>
      </c>
      <c r="J1243" s="2">
        <f>XLOOKUP(E1243, '06_BANG_GIA_VAT_TU_AP_DUNG'!B:B, '06_BANG_GIA_VAT_TU_AP_DUNG'!C:C, "LỖI_MÃ_VT")</f>
        <v/>
      </c>
      <c r="K1243" s="2">
        <f>I1243*J1243</f>
        <v/>
      </c>
      <c r="L1243" t="inlineStr">
        <is>
          <t>Kích thước vỏ 150.0x100.0x210mm</t>
        </is>
      </c>
    </row>
    <row r="1244">
      <c r="A1244" t="inlineStr">
        <is>
          <t>SW-DAMPER-310-BLADE</t>
        </is>
      </c>
      <c r="B1244" t="inlineStr">
        <is>
          <t>SW-DAMPER-310</t>
        </is>
      </c>
      <c r="C1244" t="inlineStr">
        <is>
          <t>Lá cánh van (1 cánh overlap)</t>
        </is>
      </c>
      <c r="D1244" t="inlineStr">
        <is>
          <t>TÔN_CUỘN_MẠ_KẼM</t>
        </is>
      </c>
      <c r="E1244" t="inlineStr">
        <is>
          <t>MAT-STEEL-PN-0.75</t>
        </is>
      </c>
      <c r="F1244" t="inlineStr">
        <is>
          <t>kg</t>
        </is>
      </c>
      <c r="G1244" s="4" t="n">
        <v>0.114453</v>
      </c>
      <c r="H1244" s="2">
        <f>XLOOKUP(B1244, '00_TONG_HOP_BAO_GIA'!B:B, '00_TONG_HOP_BAO_GIA'!G:G, 1)</f>
        <v/>
      </c>
      <c r="I1244" s="5">
        <f>G1244*H1244</f>
        <v/>
      </c>
      <c r="J1244" s="2">
        <f>XLOOKUP(E1244, '06_BANG_GIA_VAT_TU_AP_DUNG'!B:B, '06_BANG_GIA_VAT_TU_AP_DUNG'!C:C, "LỖI_MÃ_VT")</f>
        <v/>
      </c>
      <c r="K1244" s="2">
        <f>I1244*J1244</f>
        <v/>
      </c>
      <c r="L1244" t="inlineStr">
        <is>
          <t>1 cánh cao 120mm</t>
        </is>
      </c>
    </row>
    <row r="1245">
      <c r="A1245" t="inlineStr">
        <is>
          <t>SW-DAMPER-310-AXLE</t>
        </is>
      </c>
      <c r="B1245" t="inlineStr">
        <is>
          <t>SW-DAMPER-310</t>
        </is>
      </c>
      <c r="C1245" t="inlineStr">
        <is>
          <t>Trục Sus 201 D10</t>
        </is>
      </c>
      <c r="D1245" t="inlineStr">
        <is>
          <t>PHỤ_KIỆN_VAN</t>
        </is>
      </c>
      <c r="E1245" t="inlineStr">
        <is>
          <t>MAT-DAMPER-TRUC-SUS-201-D10</t>
        </is>
      </c>
      <c r="F1245" t="inlineStr">
        <is>
          <t>m</t>
        </is>
      </c>
      <c r="G1245" s="4" t="n">
        <v>0.21</v>
      </c>
      <c r="H1245" s="2">
        <f>XLOOKUP(B1245, '00_TONG_HOP_BAO_GIA'!B:B, '00_TONG_HOP_BAO_GIA'!G:G, 1)</f>
        <v/>
      </c>
      <c r="I1245" s="5">
        <f>G1245*H1245</f>
        <v/>
      </c>
      <c r="J1245" s="2">
        <f>XLOOKUP(E1245, '06_BANG_GIA_VAT_TU_AP_DUNG'!B:B, '06_BANG_GIA_VAT_TU_AP_DUNG'!C:C, "LỖI_MÃ_VT")</f>
        <v/>
      </c>
      <c r="K1245" s="2">
        <f>I1245*J1245</f>
        <v/>
      </c>
      <c r="L1245" t="inlineStr">
        <is>
          <t>1 trục dài 210mm</t>
        </is>
      </c>
    </row>
    <row r="1246">
      <c r="A1246" t="inlineStr">
        <is>
          <t>SW-DAMPER-310-BEARING</t>
        </is>
      </c>
      <c r="B1246" t="inlineStr">
        <is>
          <t>SW-DAMPER-310</t>
        </is>
      </c>
      <c r="C1246" t="inlineStr">
        <is>
          <t>Bạc đồng D10</t>
        </is>
      </c>
      <c r="D1246" t="inlineStr">
        <is>
          <t>PHỤ_KIỆN_VAN</t>
        </is>
      </c>
      <c r="E1246" t="inlineStr">
        <is>
          <t>MAT-DAMPER-BAC-DONG-D10</t>
        </is>
      </c>
      <c r="F1246" t="inlineStr">
        <is>
          <t>Đôi</t>
        </is>
      </c>
      <c r="G1246" s="4" t="n">
        <v>1</v>
      </c>
      <c r="H1246" s="2">
        <f>XLOOKUP(B1246, '00_TONG_HOP_BAO_GIA'!B:B, '00_TONG_HOP_BAO_GIA'!G:G, 1)</f>
        <v/>
      </c>
      <c r="I1246" s="5">
        <f>G1246*H1246</f>
        <v/>
      </c>
      <c r="J1246" s="2">
        <f>XLOOKUP(E1246, '06_BANG_GIA_VAT_TU_AP_DUNG'!B:B, '06_BANG_GIA_VAT_TU_AP_DUNG'!C:C, "LỖI_MÃ_VT")</f>
        <v/>
      </c>
      <c r="K1246" s="2">
        <f>I1246*J1246</f>
        <v/>
      </c>
      <c r="L1246" t="inlineStr">
        <is>
          <t>1 đôi bạc đỡ 2 bên thân</t>
        </is>
      </c>
    </row>
    <row r="1247">
      <c r="A1247" t="inlineStr">
        <is>
          <t>SW-DAMPER-310-ACTUATOR</t>
        </is>
      </c>
      <c r="B1247" t="inlineStr">
        <is>
          <t>SW-DAMPER-310</t>
        </is>
      </c>
      <c r="C1247" t="inlineStr">
        <is>
          <t>Model: NACA 2-05 (5Nm, 220VAC)</t>
        </is>
      </c>
      <c r="D1247" t="inlineStr">
        <is>
          <t>ĐỘNG_CƠ_VÀ_CẢM_BIẾN</t>
        </is>
      </c>
      <c r="E1247" t="inlineStr">
        <is>
          <t>MAT-ACTUATOR-NACA-2-05</t>
        </is>
      </c>
      <c r="F1247" t="inlineStr">
        <is>
          <t>Cái</t>
        </is>
      </c>
      <c r="G1247" s="4" t="n">
        <v>1</v>
      </c>
      <c r="H1247" s="2">
        <f>XLOOKUP(B1247, '00_TONG_HOP_BAO_GIA'!B:B, '00_TONG_HOP_BAO_GIA'!G:G, 1)</f>
        <v/>
      </c>
      <c r="I1247" s="5">
        <f>G1247*H1247</f>
        <v/>
      </c>
      <c r="J1247" s="2">
        <f>XLOOKUP(E1247, '06_BANG_GIA_VAT_TU_AP_DUNG'!B:B, '06_BANG_GIA_VAT_TU_AP_DUNG'!C:C, "LỖI_MÃ_VT")</f>
        <v/>
      </c>
      <c r="K1247" s="2">
        <f>I1247*J1247</f>
        <v/>
      </c>
      <c r="L1247" t="inlineStr">
        <is>
          <t>Tiết diện van 0.01m2</t>
        </is>
      </c>
    </row>
    <row r="1248">
      <c r="A1248" t="inlineStr">
        <is>
          <t>SW-DAMPER-311-BODY</t>
        </is>
      </c>
      <c r="B1248" t="inlineStr">
        <is>
          <t>SW-DAMPER-311</t>
        </is>
      </c>
      <c r="C1248" t="inlineStr">
        <is>
          <t>Thân vỏ van MD bích TDF (0.75mm)</t>
        </is>
      </c>
      <c r="D1248" t="inlineStr">
        <is>
          <t>TÔN_CUỘN_MẠ_KẼM</t>
        </is>
      </c>
      <c r="E1248" t="inlineStr">
        <is>
          <t>MAT-STEEL-PN-0.75</t>
        </is>
      </c>
      <c r="F1248" t="inlineStr">
        <is>
          <t>kg</t>
        </is>
      </c>
      <c r="G1248" s="4" t="n">
        <v>1.107792</v>
      </c>
      <c r="H1248" s="2">
        <f>XLOOKUP(B1248, '00_TONG_HOP_BAO_GIA'!B:B, '00_TONG_HOP_BAO_GIA'!G:G, 1)</f>
        <v/>
      </c>
      <c r="I1248" s="5">
        <f>G1248*H1248</f>
        <v/>
      </c>
      <c r="J1248" s="2">
        <f>XLOOKUP(E1248, '06_BANG_GIA_VAT_TU_AP_DUNG'!B:B, '06_BANG_GIA_VAT_TU_AP_DUNG'!C:C, "LỖI_MÃ_VT")</f>
        <v/>
      </c>
      <c r="K1248" s="2">
        <f>I1248*J1248</f>
        <v/>
      </c>
      <c r="L1248" t="inlineStr">
        <is>
          <t>Kích thước vỏ 150.0x150.0x210mm</t>
        </is>
      </c>
    </row>
    <row r="1249">
      <c r="A1249" t="inlineStr">
        <is>
          <t>SW-DAMPER-311-BLADE</t>
        </is>
      </c>
      <c r="B1249" t="inlineStr">
        <is>
          <t>SW-DAMPER-311</t>
        </is>
      </c>
      <c r="C1249" t="inlineStr">
        <is>
          <t>Lá cánh van (1 cánh overlap)</t>
        </is>
      </c>
      <c r="D1249" t="inlineStr">
        <is>
          <t>TÔN_CUỘN_MẠ_KẼM</t>
        </is>
      </c>
      <c r="E1249" t="inlineStr">
        <is>
          <t>MAT-STEEL-PN-0.75</t>
        </is>
      </c>
      <c r="F1249" t="inlineStr">
        <is>
          <t>kg</t>
        </is>
      </c>
      <c r="G1249" s="4" t="n">
        <v>0.16214175</v>
      </c>
      <c r="H1249" s="2">
        <f>XLOOKUP(B1249, '00_TONG_HOP_BAO_GIA'!B:B, '00_TONG_HOP_BAO_GIA'!G:G, 1)</f>
        <v/>
      </c>
      <c r="I1249" s="5">
        <f>G1249*H1249</f>
        <v/>
      </c>
      <c r="J1249" s="2">
        <f>XLOOKUP(E1249, '06_BANG_GIA_VAT_TU_AP_DUNG'!B:B, '06_BANG_GIA_VAT_TU_AP_DUNG'!C:C, "LỖI_MÃ_VT")</f>
        <v/>
      </c>
      <c r="K1249" s="2">
        <f>I1249*J1249</f>
        <v/>
      </c>
      <c r="L1249" t="inlineStr">
        <is>
          <t>1 cánh cao 170mm</t>
        </is>
      </c>
    </row>
    <row r="1250">
      <c r="A1250" t="inlineStr">
        <is>
          <t>SW-DAMPER-311-AXLE</t>
        </is>
      </c>
      <c r="B1250" t="inlineStr">
        <is>
          <t>SW-DAMPER-311</t>
        </is>
      </c>
      <c r="C1250" t="inlineStr">
        <is>
          <t>Trục Sus 201 D10</t>
        </is>
      </c>
      <c r="D1250" t="inlineStr">
        <is>
          <t>PHỤ_KIỆN_VAN</t>
        </is>
      </c>
      <c r="E1250" t="inlineStr">
        <is>
          <t>MAT-DAMPER-TRUC-SUS-201-D10</t>
        </is>
      </c>
      <c r="F1250" t="inlineStr">
        <is>
          <t>m</t>
        </is>
      </c>
      <c r="G1250" s="4" t="n">
        <v>0.21</v>
      </c>
      <c r="H1250" s="2">
        <f>XLOOKUP(B1250, '00_TONG_HOP_BAO_GIA'!B:B, '00_TONG_HOP_BAO_GIA'!G:G, 1)</f>
        <v/>
      </c>
      <c r="I1250" s="5">
        <f>G1250*H1250</f>
        <v/>
      </c>
      <c r="J1250" s="2">
        <f>XLOOKUP(E1250, '06_BANG_GIA_VAT_TU_AP_DUNG'!B:B, '06_BANG_GIA_VAT_TU_AP_DUNG'!C:C, "LỖI_MÃ_VT")</f>
        <v/>
      </c>
      <c r="K1250" s="2">
        <f>I1250*J1250</f>
        <v/>
      </c>
      <c r="L1250" t="inlineStr">
        <is>
          <t>1 trục dài 210mm</t>
        </is>
      </c>
    </row>
    <row r="1251">
      <c r="A1251" t="inlineStr">
        <is>
          <t>SW-DAMPER-311-BEARING</t>
        </is>
      </c>
      <c r="B1251" t="inlineStr">
        <is>
          <t>SW-DAMPER-311</t>
        </is>
      </c>
      <c r="C1251" t="inlineStr">
        <is>
          <t>Bạc đồng D10</t>
        </is>
      </c>
      <c r="D1251" t="inlineStr">
        <is>
          <t>PHỤ_KIỆN_VAN</t>
        </is>
      </c>
      <c r="E1251" t="inlineStr">
        <is>
          <t>MAT-DAMPER-BAC-DONG-D10</t>
        </is>
      </c>
      <c r="F1251" t="inlineStr">
        <is>
          <t>Đôi</t>
        </is>
      </c>
      <c r="G1251" s="4" t="n">
        <v>1</v>
      </c>
      <c r="H1251" s="2">
        <f>XLOOKUP(B1251, '00_TONG_HOP_BAO_GIA'!B:B, '00_TONG_HOP_BAO_GIA'!G:G, 1)</f>
        <v/>
      </c>
      <c r="I1251" s="5">
        <f>G1251*H1251</f>
        <v/>
      </c>
      <c r="J1251" s="2">
        <f>XLOOKUP(E1251, '06_BANG_GIA_VAT_TU_AP_DUNG'!B:B, '06_BANG_GIA_VAT_TU_AP_DUNG'!C:C, "LỖI_MÃ_VT")</f>
        <v/>
      </c>
      <c r="K1251" s="2">
        <f>I1251*J1251</f>
        <v/>
      </c>
      <c r="L1251" t="inlineStr">
        <is>
          <t>1 đôi bạc đỡ 2 bên thân</t>
        </is>
      </c>
    </row>
    <row r="1252">
      <c r="A1252" t="inlineStr">
        <is>
          <t>SW-DAMPER-311-ACTUATOR</t>
        </is>
      </c>
      <c r="B1252" t="inlineStr">
        <is>
          <t>SW-DAMPER-311</t>
        </is>
      </c>
      <c r="C1252" t="inlineStr">
        <is>
          <t>Model: NACA 2-05 (5Nm, 220VAC)</t>
        </is>
      </c>
      <c r="D1252" t="inlineStr">
        <is>
          <t>ĐỘNG_CƠ_VÀ_CẢM_BIẾN</t>
        </is>
      </c>
      <c r="E1252" t="inlineStr">
        <is>
          <t>MAT-ACTUATOR-NACA-2-05</t>
        </is>
      </c>
      <c r="F1252" t="inlineStr">
        <is>
          <t>Cái</t>
        </is>
      </c>
      <c r="G1252" s="4" t="n">
        <v>1</v>
      </c>
      <c r="H1252" s="2">
        <f>XLOOKUP(B1252, '00_TONG_HOP_BAO_GIA'!B:B, '00_TONG_HOP_BAO_GIA'!G:G, 1)</f>
        <v/>
      </c>
      <c r="I1252" s="5">
        <f>G1252*H1252</f>
        <v/>
      </c>
      <c r="J1252" s="2">
        <f>XLOOKUP(E1252, '06_BANG_GIA_VAT_TU_AP_DUNG'!B:B, '06_BANG_GIA_VAT_TU_AP_DUNG'!C:C, "LỖI_MÃ_VT")</f>
        <v/>
      </c>
      <c r="K1252" s="2">
        <f>I1252*J1252</f>
        <v/>
      </c>
      <c r="L1252" t="inlineStr">
        <is>
          <t>Tiết diện van 0.02m2</t>
        </is>
      </c>
    </row>
    <row r="1253">
      <c r="A1253" t="inlineStr">
        <is>
          <t>SW-DAMPER-314-BODY</t>
        </is>
      </c>
      <c r="B1253" t="inlineStr">
        <is>
          <t>SW-DAMPER-314</t>
        </is>
      </c>
      <c r="C1253" t="inlineStr">
        <is>
          <t>Thân vỏ van VCD bích TDF (0.75mm)</t>
        </is>
      </c>
      <c r="D1253" t="inlineStr">
        <is>
          <t>TÔN_CUỘN_MẠ_KẼM</t>
        </is>
      </c>
      <c r="E1253" t="inlineStr">
        <is>
          <t>MAT-STEEL-PN-0.75</t>
        </is>
      </c>
      <c r="F1253" t="inlineStr">
        <is>
          <t>kg</t>
        </is>
      </c>
      <c r="G1253" s="4" t="n">
        <v>0.761607</v>
      </c>
      <c r="H1253" s="2">
        <f>XLOOKUP(B1253, '00_TONG_HOP_BAO_GIA'!B:B, '00_TONG_HOP_BAO_GIA'!G:G, 1)</f>
        <v/>
      </c>
      <c r="I1253" s="5">
        <f>G1253*H1253</f>
        <v/>
      </c>
      <c r="J1253" s="2">
        <f>XLOOKUP(E1253, '06_BANG_GIA_VAT_TU_AP_DUNG'!B:B, '06_BANG_GIA_VAT_TU_AP_DUNG'!C:C, "LỖI_MÃ_VT")</f>
        <v/>
      </c>
      <c r="K1253" s="2">
        <f>I1253*J1253</f>
        <v/>
      </c>
      <c r="L1253" t="inlineStr">
        <is>
          <t>Kích thước vỏ 100.0x100.0x210mm</t>
        </is>
      </c>
    </row>
    <row r="1254">
      <c r="A1254" t="inlineStr">
        <is>
          <t>SW-DAMPER-314-BLADE</t>
        </is>
      </c>
      <c r="B1254" t="inlineStr">
        <is>
          <t>SW-DAMPER-314</t>
        </is>
      </c>
      <c r="C1254" t="inlineStr">
        <is>
          <t>Lá cánh van (1 cánh overlap)</t>
        </is>
      </c>
      <c r="D1254" t="inlineStr">
        <is>
          <t>TÔN_CUỘN_MẠ_KẼM</t>
        </is>
      </c>
      <c r="E1254" t="inlineStr">
        <is>
          <t>MAT-STEEL-PN-0.75</t>
        </is>
      </c>
      <c r="F1254" t="inlineStr">
        <is>
          <t>kg</t>
        </is>
      </c>
      <c r="G1254" s="4" t="n">
        <v>0.07630199999999999</v>
      </c>
      <c r="H1254" s="2">
        <f>XLOOKUP(B1254, '00_TONG_HOP_BAO_GIA'!B:B, '00_TONG_HOP_BAO_GIA'!G:G, 1)</f>
        <v/>
      </c>
      <c r="I1254" s="5">
        <f>G1254*H1254</f>
        <v/>
      </c>
      <c r="J1254" s="2">
        <f>XLOOKUP(E1254, '06_BANG_GIA_VAT_TU_AP_DUNG'!B:B, '06_BANG_GIA_VAT_TU_AP_DUNG'!C:C, "LỖI_MÃ_VT")</f>
        <v/>
      </c>
      <c r="K1254" s="2">
        <f>I1254*J1254</f>
        <v/>
      </c>
      <c r="L1254" t="inlineStr">
        <is>
          <t>1 cánh cao 120mm</t>
        </is>
      </c>
    </row>
    <row r="1255">
      <c r="A1255" t="inlineStr">
        <is>
          <t>SW-DAMPER-314-AXLE</t>
        </is>
      </c>
      <c r="B1255" t="inlineStr">
        <is>
          <t>SW-DAMPER-314</t>
        </is>
      </c>
      <c r="C1255" t="inlineStr">
        <is>
          <t>Trục Sus 201 D10</t>
        </is>
      </c>
      <c r="D1255" t="inlineStr">
        <is>
          <t>PHỤ_KIỆN_VAN</t>
        </is>
      </c>
      <c r="E1255" t="inlineStr">
        <is>
          <t>MAT-DAMPER-TRUC-SUS-201-D10</t>
        </is>
      </c>
      <c r="F1255" t="inlineStr">
        <is>
          <t>m</t>
        </is>
      </c>
      <c r="G1255" s="4" t="n">
        <v>0.16</v>
      </c>
      <c r="H1255" s="2">
        <f>XLOOKUP(B1255, '00_TONG_HOP_BAO_GIA'!B:B, '00_TONG_HOP_BAO_GIA'!G:G, 1)</f>
        <v/>
      </c>
      <c r="I1255" s="5">
        <f>G1255*H1255</f>
        <v/>
      </c>
      <c r="J1255" s="2">
        <f>XLOOKUP(E1255, '06_BANG_GIA_VAT_TU_AP_DUNG'!B:B, '06_BANG_GIA_VAT_TU_AP_DUNG'!C:C, "LỖI_MÃ_VT")</f>
        <v/>
      </c>
      <c r="K1255" s="2">
        <f>I1255*J1255</f>
        <v/>
      </c>
      <c r="L1255" t="inlineStr">
        <is>
          <t>1 trục dài 160mm</t>
        </is>
      </c>
    </row>
    <row r="1256">
      <c r="A1256" t="inlineStr">
        <is>
          <t>SW-DAMPER-314-BEARING</t>
        </is>
      </c>
      <c r="B1256" t="inlineStr">
        <is>
          <t>SW-DAMPER-314</t>
        </is>
      </c>
      <c r="C1256" t="inlineStr">
        <is>
          <t>Bạc đồng D10</t>
        </is>
      </c>
      <c r="D1256" t="inlineStr">
        <is>
          <t>PHỤ_KIỆN_VAN</t>
        </is>
      </c>
      <c r="E1256" t="inlineStr">
        <is>
          <t>MAT-DAMPER-BAC-DONG-D10</t>
        </is>
      </c>
      <c r="F1256" t="inlineStr">
        <is>
          <t>Đôi</t>
        </is>
      </c>
      <c r="G1256" s="4" t="n">
        <v>1</v>
      </c>
      <c r="H1256" s="2">
        <f>XLOOKUP(B1256, '00_TONG_HOP_BAO_GIA'!B:B, '00_TONG_HOP_BAO_GIA'!G:G, 1)</f>
        <v/>
      </c>
      <c r="I1256" s="5">
        <f>G1256*H1256</f>
        <v/>
      </c>
      <c r="J1256" s="2">
        <f>XLOOKUP(E1256, '06_BANG_GIA_VAT_TU_AP_DUNG'!B:B, '06_BANG_GIA_VAT_TU_AP_DUNG'!C:C, "LỖI_MÃ_VT")</f>
        <v/>
      </c>
      <c r="K1256" s="2">
        <f>I1256*J1256</f>
        <v/>
      </c>
      <c r="L1256" t="inlineStr">
        <is>
          <t>1 đôi bạc đỡ 2 bên thân</t>
        </is>
      </c>
    </row>
    <row r="1257">
      <c r="A1257" t="inlineStr">
        <is>
          <t>SW-DAMPER-314-HANDLE</t>
        </is>
      </c>
      <c r="B1257" t="inlineStr">
        <is>
          <t>SW-DAMPER-314</t>
        </is>
      </c>
      <c r="C1257" t="inlineStr">
        <is>
          <t>Tay gạt nhỏ</t>
        </is>
      </c>
      <c r="D1257" t="inlineStr">
        <is>
          <t>PHỤ_KIỆN_VAN</t>
        </is>
      </c>
      <c r="E1257" t="inlineStr">
        <is>
          <t>MAT-DAMPER-TAY-GAT-NHO</t>
        </is>
      </c>
      <c r="F1257" t="inlineStr">
        <is>
          <t>Bộ</t>
        </is>
      </c>
      <c r="G1257" s="4" t="n">
        <v>1</v>
      </c>
      <c r="H1257" s="2">
        <f>XLOOKUP(B1257, '00_TONG_HOP_BAO_GIA'!B:B, '00_TONG_HOP_BAO_GIA'!G:G, 1)</f>
        <v/>
      </c>
      <c r="I1257" s="5">
        <f>G1257*H1257</f>
        <v/>
      </c>
      <c r="J1257" s="2">
        <f>XLOOKUP(E1257, '06_BANG_GIA_VAT_TU_AP_DUNG'!B:B, '06_BANG_GIA_VAT_TU_AP_DUNG'!C:C, "LỖI_MÃ_VT")</f>
        <v/>
      </c>
      <c r="K1257" s="2">
        <f>I1257*J1257</f>
        <v/>
      </c>
      <c r="L1257" t="inlineStr">
        <is>
          <t>Tay gạt khóa vị trí nan (S=0.01m2)</t>
        </is>
      </c>
    </row>
    <row r="1258">
      <c r="A1258" t="inlineStr">
        <is>
          <t>SW-DAMPER-315-BODY</t>
        </is>
      </c>
      <c r="B1258" t="inlineStr">
        <is>
          <t>SW-DAMPER-315</t>
        </is>
      </c>
      <c r="C1258" t="inlineStr">
        <is>
          <t>Thân vỏ van VCD bích TDF (0.75mm)</t>
        </is>
      </c>
      <c r="D1258" t="inlineStr">
        <is>
          <t>TÔN_CUỘN_MẠ_KẼM</t>
        </is>
      </c>
      <c r="E1258" t="inlineStr">
        <is>
          <t>MAT-STEEL-PN-0.75</t>
        </is>
      </c>
      <c r="F1258" t="inlineStr">
        <is>
          <t>kg</t>
        </is>
      </c>
      <c r="G1258" s="4" t="n">
        <v>0.9346995000000001</v>
      </c>
      <c r="H1258" s="2">
        <f>XLOOKUP(B1258, '00_TONG_HOP_BAO_GIA'!B:B, '00_TONG_HOP_BAO_GIA'!G:G, 1)</f>
        <v/>
      </c>
      <c r="I1258" s="5">
        <f>G1258*H1258</f>
        <v/>
      </c>
      <c r="J1258" s="2">
        <f>XLOOKUP(E1258, '06_BANG_GIA_VAT_TU_AP_DUNG'!B:B, '06_BANG_GIA_VAT_TU_AP_DUNG'!C:C, "LỖI_MÃ_VT")</f>
        <v/>
      </c>
      <c r="K1258" s="2">
        <f>I1258*J1258</f>
        <v/>
      </c>
      <c r="L1258" t="inlineStr">
        <is>
          <t>Kích thước vỏ 150.0x100.0x210mm</t>
        </is>
      </c>
    </row>
    <row r="1259">
      <c r="A1259" t="inlineStr">
        <is>
          <t>SW-DAMPER-315-BLADE</t>
        </is>
      </c>
      <c r="B1259" t="inlineStr">
        <is>
          <t>SW-DAMPER-315</t>
        </is>
      </c>
      <c r="C1259" t="inlineStr">
        <is>
          <t>Lá cánh van (1 cánh overlap)</t>
        </is>
      </c>
      <c r="D1259" t="inlineStr">
        <is>
          <t>TÔN_CUỘN_MẠ_KẼM</t>
        </is>
      </c>
      <c r="E1259" t="inlineStr">
        <is>
          <t>MAT-STEEL-PN-0.75</t>
        </is>
      </c>
      <c r="F1259" t="inlineStr">
        <is>
          <t>kg</t>
        </is>
      </c>
      <c r="G1259" s="4" t="n">
        <v>0.114453</v>
      </c>
      <c r="H1259" s="2">
        <f>XLOOKUP(B1259, '00_TONG_HOP_BAO_GIA'!B:B, '00_TONG_HOP_BAO_GIA'!G:G, 1)</f>
        <v/>
      </c>
      <c r="I1259" s="5">
        <f>G1259*H1259</f>
        <v/>
      </c>
      <c r="J1259" s="2">
        <f>XLOOKUP(E1259, '06_BANG_GIA_VAT_TU_AP_DUNG'!B:B, '06_BANG_GIA_VAT_TU_AP_DUNG'!C:C, "LỖI_MÃ_VT")</f>
        <v/>
      </c>
      <c r="K1259" s="2">
        <f>I1259*J1259</f>
        <v/>
      </c>
      <c r="L1259" t="inlineStr">
        <is>
          <t>1 cánh cao 120mm</t>
        </is>
      </c>
    </row>
    <row r="1260">
      <c r="A1260" t="inlineStr">
        <is>
          <t>SW-DAMPER-315-AXLE</t>
        </is>
      </c>
      <c r="B1260" t="inlineStr">
        <is>
          <t>SW-DAMPER-315</t>
        </is>
      </c>
      <c r="C1260" t="inlineStr">
        <is>
          <t>Trục Sus 201 D10</t>
        </is>
      </c>
      <c r="D1260" t="inlineStr">
        <is>
          <t>PHỤ_KIỆN_VAN</t>
        </is>
      </c>
      <c r="E1260" t="inlineStr">
        <is>
          <t>MAT-DAMPER-TRUC-SUS-201-D10</t>
        </is>
      </c>
      <c r="F1260" t="inlineStr">
        <is>
          <t>m</t>
        </is>
      </c>
      <c r="G1260" s="4" t="n">
        <v>0.21</v>
      </c>
      <c r="H1260" s="2">
        <f>XLOOKUP(B1260, '00_TONG_HOP_BAO_GIA'!B:B, '00_TONG_HOP_BAO_GIA'!G:G, 1)</f>
        <v/>
      </c>
      <c r="I1260" s="5">
        <f>G1260*H1260</f>
        <v/>
      </c>
      <c r="J1260" s="2">
        <f>XLOOKUP(E1260, '06_BANG_GIA_VAT_TU_AP_DUNG'!B:B, '06_BANG_GIA_VAT_TU_AP_DUNG'!C:C, "LỖI_MÃ_VT")</f>
        <v/>
      </c>
      <c r="K1260" s="2">
        <f>I1260*J1260</f>
        <v/>
      </c>
      <c r="L1260" t="inlineStr">
        <is>
          <t>1 trục dài 210mm</t>
        </is>
      </c>
    </row>
    <row r="1261">
      <c r="A1261" t="inlineStr">
        <is>
          <t>SW-DAMPER-315-BEARING</t>
        </is>
      </c>
      <c r="B1261" t="inlineStr">
        <is>
          <t>SW-DAMPER-315</t>
        </is>
      </c>
      <c r="C1261" t="inlineStr">
        <is>
          <t>Bạc đồng D10</t>
        </is>
      </c>
      <c r="D1261" t="inlineStr">
        <is>
          <t>PHỤ_KIỆN_VAN</t>
        </is>
      </c>
      <c r="E1261" t="inlineStr">
        <is>
          <t>MAT-DAMPER-BAC-DONG-D10</t>
        </is>
      </c>
      <c r="F1261" t="inlineStr">
        <is>
          <t>Đôi</t>
        </is>
      </c>
      <c r="G1261" s="4" t="n">
        <v>1</v>
      </c>
      <c r="H1261" s="2">
        <f>XLOOKUP(B1261, '00_TONG_HOP_BAO_GIA'!B:B, '00_TONG_HOP_BAO_GIA'!G:G, 1)</f>
        <v/>
      </c>
      <c r="I1261" s="5">
        <f>G1261*H1261</f>
        <v/>
      </c>
      <c r="J1261" s="2">
        <f>XLOOKUP(E1261, '06_BANG_GIA_VAT_TU_AP_DUNG'!B:B, '06_BANG_GIA_VAT_TU_AP_DUNG'!C:C, "LỖI_MÃ_VT")</f>
        <v/>
      </c>
      <c r="K1261" s="2">
        <f>I1261*J1261</f>
        <v/>
      </c>
      <c r="L1261" t="inlineStr">
        <is>
          <t>1 đôi bạc đỡ 2 bên thân</t>
        </is>
      </c>
    </row>
    <row r="1262">
      <c r="A1262" t="inlineStr">
        <is>
          <t>SW-DAMPER-315-HANDLE</t>
        </is>
      </c>
      <c r="B1262" t="inlineStr">
        <is>
          <t>SW-DAMPER-315</t>
        </is>
      </c>
      <c r="C1262" t="inlineStr">
        <is>
          <t>Tay gạt nhỏ</t>
        </is>
      </c>
      <c r="D1262" t="inlineStr">
        <is>
          <t>PHỤ_KIỆN_VAN</t>
        </is>
      </c>
      <c r="E1262" t="inlineStr">
        <is>
          <t>MAT-DAMPER-TAY-GAT-NHO</t>
        </is>
      </c>
      <c r="F1262" t="inlineStr">
        <is>
          <t>Bộ</t>
        </is>
      </c>
      <c r="G1262" s="4" t="n">
        <v>1</v>
      </c>
      <c r="H1262" s="2">
        <f>XLOOKUP(B1262, '00_TONG_HOP_BAO_GIA'!B:B, '00_TONG_HOP_BAO_GIA'!G:G, 1)</f>
        <v/>
      </c>
      <c r="I1262" s="5">
        <f>G1262*H1262</f>
        <v/>
      </c>
      <c r="J1262" s="2">
        <f>XLOOKUP(E1262, '06_BANG_GIA_VAT_TU_AP_DUNG'!B:B, '06_BANG_GIA_VAT_TU_AP_DUNG'!C:C, "LỖI_MÃ_VT")</f>
        <v/>
      </c>
      <c r="K1262" s="2">
        <f>I1262*J1262</f>
        <v/>
      </c>
      <c r="L1262" t="inlineStr">
        <is>
          <t>Tay gạt khóa vị trí nan (S=0.01m2)</t>
        </is>
      </c>
    </row>
    <row r="1263">
      <c r="A1263" t="inlineStr">
        <is>
          <t>SW-DAMPER-316-BODY</t>
        </is>
      </c>
      <c r="B1263" t="inlineStr">
        <is>
          <t>SW-DAMPER-316</t>
        </is>
      </c>
      <c r="C1263" t="inlineStr">
        <is>
          <t>Thân vỏ van VCD bích TDF (0.75mm)</t>
        </is>
      </c>
      <c r="D1263" t="inlineStr">
        <is>
          <t>TÔN_CUỘN_MẠ_KẼM</t>
        </is>
      </c>
      <c r="E1263" t="inlineStr">
        <is>
          <t>MAT-STEEL-PN-0.75</t>
        </is>
      </c>
      <c r="F1263" t="inlineStr">
        <is>
          <t>kg</t>
        </is>
      </c>
      <c r="G1263" s="4" t="n">
        <v>1.107792</v>
      </c>
      <c r="H1263" s="2">
        <f>XLOOKUP(B1263, '00_TONG_HOP_BAO_GIA'!B:B, '00_TONG_HOP_BAO_GIA'!G:G, 1)</f>
        <v/>
      </c>
      <c r="I1263" s="5">
        <f>G1263*H1263</f>
        <v/>
      </c>
      <c r="J1263" s="2">
        <f>XLOOKUP(E1263, '06_BANG_GIA_VAT_TU_AP_DUNG'!B:B, '06_BANG_GIA_VAT_TU_AP_DUNG'!C:C, "LỖI_MÃ_VT")</f>
        <v/>
      </c>
      <c r="K1263" s="2">
        <f>I1263*J1263</f>
        <v/>
      </c>
      <c r="L1263" t="inlineStr">
        <is>
          <t>Kích thước vỏ 150.0x150.0x210mm</t>
        </is>
      </c>
    </row>
    <row r="1264">
      <c r="A1264" t="inlineStr">
        <is>
          <t>SW-DAMPER-316-BLADE</t>
        </is>
      </c>
      <c r="B1264" t="inlineStr">
        <is>
          <t>SW-DAMPER-316</t>
        </is>
      </c>
      <c r="C1264" t="inlineStr">
        <is>
          <t>Lá cánh van (1 cánh overlap)</t>
        </is>
      </c>
      <c r="D1264" t="inlineStr">
        <is>
          <t>TÔN_CUỘN_MẠ_KẼM</t>
        </is>
      </c>
      <c r="E1264" t="inlineStr">
        <is>
          <t>MAT-STEEL-PN-0.75</t>
        </is>
      </c>
      <c r="F1264" t="inlineStr">
        <is>
          <t>kg</t>
        </is>
      </c>
      <c r="G1264" s="4" t="n">
        <v>0.16214175</v>
      </c>
      <c r="H1264" s="2">
        <f>XLOOKUP(B1264, '00_TONG_HOP_BAO_GIA'!B:B, '00_TONG_HOP_BAO_GIA'!G:G, 1)</f>
        <v/>
      </c>
      <c r="I1264" s="5">
        <f>G1264*H1264</f>
        <v/>
      </c>
      <c r="J1264" s="2">
        <f>XLOOKUP(E1264, '06_BANG_GIA_VAT_TU_AP_DUNG'!B:B, '06_BANG_GIA_VAT_TU_AP_DUNG'!C:C, "LỖI_MÃ_VT")</f>
        <v/>
      </c>
      <c r="K1264" s="2">
        <f>I1264*J1264</f>
        <v/>
      </c>
      <c r="L1264" t="inlineStr">
        <is>
          <t>1 cánh cao 170mm</t>
        </is>
      </c>
    </row>
    <row r="1265">
      <c r="A1265" t="inlineStr">
        <is>
          <t>SW-DAMPER-316-AXLE</t>
        </is>
      </c>
      <c r="B1265" t="inlineStr">
        <is>
          <t>SW-DAMPER-316</t>
        </is>
      </c>
      <c r="C1265" t="inlineStr">
        <is>
          <t>Trục Sus 201 D10</t>
        </is>
      </c>
      <c r="D1265" t="inlineStr">
        <is>
          <t>PHỤ_KIỆN_VAN</t>
        </is>
      </c>
      <c r="E1265" t="inlineStr">
        <is>
          <t>MAT-DAMPER-TRUC-SUS-201-D10</t>
        </is>
      </c>
      <c r="F1265" t="inlineStr">
        <is>
          <t>m</t>
        </is>
      </c>
      <c r="G1265" s="4" t="n">
        <v>0.21</v>
      </c>
      <c r="H1265" s="2">
        <f>XLOOKUP(B1265, '00_TONG_HOP_BAO_GIA'!B:B, '00_TONG_HOP_BAO_GIA'!G:G, 1)</f>
        <v/>
      </c>
      <c r="I1265" s="5">
        <f>G1265*H1265</f>
        <v/>
      </c>
      <c r="J1265" s="2">
        <f>XLOOKUP(E1265, '06_BANG_GIA_VAT_TU_AP_DUNG'!B:B, '06_BANG_GIA_VAT_TU_AP_DUNG'!C:C, "LỖI_MÃ_VT")</f>
        <v/>
      </c>
      <c r="K1265" s="2">
        <f>I1265*J1265</f>
        <v/>
      </c>
      <c r="L1265" t="inlineStr">
        <is>
          <t>1 trục dài 210mm</t>
        </is>
      </c>
    </row>
    <row r="1266">
      <c r="A1266" t="inlineStr">
        <is>
          <t>SW-DAMPER-316-BEARING</t>
        </is>
      </c>
      <c r="B1266" t="inlineStr">
        <is>
          <t>SW-DAMPER-316</t>
        </is>
      </c>
      <c r="C1266" t="inlineStr">
        <is>
          <t>Bạc đồng D10</t>
        </is>
      </c>
      <c r="D1266" t="inlineStr">
        <is>
          <t>PHỤ_KIỆN_VAN</t>
        </is>
      </c>
      <c r="E1266" t="inlineStr">
        <is>
          <t>MAT-DAMPER-BAC-DONG-D10</t>
        </is>
      </c>
      <c r="F1266" t="inlineStr">
        <is>
          <t>Đôi</t>
        </is>
      </c>
      <c r="G1266" s="4" t="n">
        <v>1</v>
      </c>
      <c r="H1266" s="2">
        <f>XLOOKUP(B1266, '00_TONG_HOP_BAO_GIA'!B:B, '00_TONG_HOP_BAO_GIA'!G:G, 1)</f>
        <v/>
      </c>
      <c r="I1266" s="5">
        <f>G1266*H1266</f>
        <v/>
      </c>
      <c r="J1266" s="2">
        <f>XLOOKUP(E1266, '06_BANG_GIA_VAT_TU_AP_DUNG'!B:B, '06_BANG_GIA_VAT_TU_AP_DUNG'!C:C, "LỖI_MÃ_VT")</f>
        <v/>
      </c>
      <c r="K1266" s="2">
        <f>I1266*J1266</f>
        <v/>
      </c>
      <c r="L1266" t="inlineStr">
        <is>
          <t>1 đôi bạc đỡ 2 bên thân</t>
        </is>
      </c>
    </row>
    <row r="1267">
      <c r="A1267" t="inlineStr">
        <is>
          <t>SW-DAMPER-316-HANDLE</t>
        </is>
      </c>
      <c r="B1267" t="inlineStr">
        <is>
          <t>SW-DAMPER-316</t>
        </is>
      </c>
      <c r="C1267" t="inlineStr">
        <is>
          <t>Tay gạt nhỏ</t>
        </is>
      </c>
      <c r="D1267" t="inlineStr">
        <is>
          <t>PHỤ_KIỆN_VAN</t>
        </is>
      </c>
      <c r="E1267" t="inlineStr">
        <is>
          <t>MAT-DAMPER-TAY-GAT-NHO</t>
        </is>
      </c>
      <c r="F1267" t="inlineStr">
        <is>
          <t>Bộ</t>
        </is>
      </c>
      <c r="G1267" s="4" t="n">
        <v>1</v>
      </c>
      <c r="H1267" s="2">
        <f>XLOOKUP(B1267, '00_TONG_HOP_BAO_GIA'!B:B, '00_TONG_HOP_BAO_GIA'!G:G, 1)</f>
        <v/>
      </c>
      <c r="I1267" s="5">
        <f>G1267*H1267</f>
        <v/>
      </c>
      <c r="J1267" s="2">
        <f>XLOOKUP(E1267, '06_BANG_GIA_VAT_TU_AP_DUNG'!B:B, '06_BANG_GIA_VAT_TU_AP_DUNG'!C:C, "LỖI_MÃ_VT")</f>
        <v/>
      </c>
      <c r="K1267" s="2">
        <f>I1267*J1267</f>
        <v/>
      </c>
      <c r="L1267" t="inlineStr">
        <is>
          <t>Tay gạt khóa vị trí nan (S=0.02m2)</t>
        </is>
      </c>
    </row>
    <row r="1268">
      <c r="A1268" t="inlineStr">
        <is>
          <t>SW-DAMPER-317-BODY</t>
        </is>
      </c>
      <c r="B1268" t="inlineStr">
        <is>
          <t>SW-DAMPER-317</t>
        </is>
      </c>
      <c r="C1268" t="inlineStr">
        <is>
          <t>Thân vỏ van VCD bích TDF (0.75mm)</t>
        </is>
      </c>
      <c r="D1268" t="inlineStr">
        <is>
          <t>TÔN_CUỘN_MẠ_KẼM</t>
        </is>
      </c>
      <c r="E1268" t="inlineStr">
        <is>
          <t>MAT-STEEL-PN-0.75</t>
        </is>
      </c>
      <c r="F1268" t="inlineStr">
        <is>
          <t>kg</t>
        </is>
      </c>
      <c r="G1268" s="4" t="n">
        <v>1.2808845</v>
      </c>
      <c r="H1268" s="2">
        <f>XLOOKUP(B1268, '00_TONG_HOP_BAO_GIA'!B:B, '00_TONG_HOP_BAO_GIA'!G:G, 1)</f>
        <v/>
      </c>
      <c r="I1268" s="5">
        <f>G1268*H1268</f>
        <v/>
      </c>
      <c r="J1268" s="2">
        <f>XLOOKUP(E1268, '06_BANG_GIA_VAT_TU_AP_DUNG'!B:B, '06_BANG_GIA_VAT_TU_AP_DUNG'!C:C, "LỖI_MÃ_VT")</f>
        <v/>
      </c>
      <c r="K1268" s="2">
        <f>I1268*J1268</f>
        <v/>
      </c>
      <c r="L1268" t="inlineStr">
        <is>
          <t>Kích thước vỏ 200.0x150.0x210mm</t>
        </is>
      </c>
    </row>
    <row r="1269">
      <c r="A1269" t="inlineStr">
        <is>
          <t>SW-DAMPER-317-BLADE</t>
        </is>
      </c>
      <c r="B1269" t="inlineStr">
        <is>
          <t>SW-DAMPER-317</t>
        </is>
      </c>
      <c r="C1269" t="inlineStr">
        <is>
          <t>Lá cánh van (1 cánh overlap)</t>
        </is>
      </c>
      <c r="D1269" t="inlineStr">
        <is>
          <t>TÔN_CUỘN_MẠ_KẼM</t>
        </is>
      </c>
      <c r="E1269" t="inlineStr">
        <is>
          <t>MAT-STEEL-PN-0.75</t>
        </is>
      </c>
      <c r="F1269" t="inlineStr">
        <is>
          <t>kg</t>
        </is>
      </c>
      <c r="G1269" s="4" t="n">
        <v>0.216189</v>
      </c>
      <c r="H1269" s="2">
        <f>XLOOKUP(B1269, '00_TONG_HOP_BAO_GIA'!B:B, '00_TONG_HOP_BAO_GIA'!G:G, 1)</f>
        <v/>
      </c>
      <c r="I1269" s="5">
        <f>G1269*H1269</f>
        <v/>
      </c>
      <c r="J1269" s="2">
        <f>XLOOKUP(E1269, '06_BANG_GIA_VAT_TU_AP_DUNG'!B:B, '06_BANG_GIA_VAT_TU_AP_DUNG'!C:C, "LỖI_MÃ_VT")</f>
        <v/>
      </c>
      <c r="K1269" s="2">
        <f>I1269*J1269</f>
        <v/>
      </c>
      <c r="L1269" t="inlineStr">
        <is>
          <t>1 cánh cao 170mm</t>
        </is>
      </c>
    </row>
    <row r="1270">
      <c r="A1270" t="inlineStr">
        <is>
          <t>SW-DAMPER-317-AXLE</t>
        </is>
      </c>
      <c r="B1270" t="inlineStr">
        <is>
          <t>SW-DAMPER-317</t>
        </is>
      </c>
      <c r="C1270" t="inlineStr">
        <is>
          <t>Trục Sus 201 D10</t>
        </is>
      </c>
      <c r="D1270" t="inlineStr">
        <is>
          <t>PHỤ_KIỆN_VAN</t>
        </is>
      </c>
      <c r="E1270" t="inlineStr">
        <is>
          <t>MAT-DAMPER-TRUC-SUS-201-D10</t>
        </is>
      </c>
      <c r="F1270" t="inlineStr">
        <is>
          <t>m</t>
        </is>
      </c>
      <c r="G1270" s="4" t="n">
        <v>0.26</v>
      </c>
      <c r="H1270" s="2">
        <f>XLOOKUP(B1270, '00_TONG_HOP_BAO_GIA'!B:B, '00_TONG_HOP_BAO_GIA'!G:G, 1)</f>
        <v/>
      </c>
      <c r="I1270" s="5">
        <f>G1270*H1270</f>
        <v/>
      </c>
      <c r="J1270" s="2">
        <f>XLOOKUP(E1270, '06_BANG_GIA_VAT_TU_AP_DUNG'!B:B, '06_BANG_GIA_VAT_TU_AP_DUNG'!C:C, "LỖI_MÃ_VT")</f>
        <v/>
      </c>
      <c r="K1270" s="2">
        <f>I1270*J1270</f>
        <v/>
      </c>
      <c r="L1270" t="inlineStr">
        <is>
          <t>1 trục dài 260mm</t>
        </is>
      </c>
    </row>
    <row r="1271">
      <c r="A1271" t="inlineStr">
        <is>
          <t>SW-DAMPER-317-BEARING</t>
        </is>
      </c>
      <c r="B1271" t="inlineStr">
        <is>
          <t>SW-DAMPER-317</t>
        </is>
      </c>
      <c r="C1271" t="inlineStr">
        <is>
          <t>Bạc đồng D10</t>
        </is>
      </c>
      <c r="D1271" t="inlineStr">
        <is>
          <t>PHỤ_KIỆN_VAN</t>
        </is>
      </c>
      <c r="E1271" t="inlineStr">
        <is>
          <t>MAT-DAMPER-BAC-DONG-D10</t>
        </is>
      </c>
      <c r="F1271" t="inlineStr">
        <is>
          <t>Đôi</t>
        </is>
      </c>
      <c r="G1271" s="4" t="n">
        <v>1</v>
      </c>
      <c r="H1271" s="2">
        <f>XLOOKUP(B1271, '00_TONG_HOP_BAO_GIA'!B:B, '00_TONG_HOP_BAO_GIA'!G:G, 1)</f>
        <v/>
      </c>
      <c r="I1271" s="5">
        <f>G1271*H1271</f>
        <v/>
      </c>
      <c r="J1271" s="2">
        <f>XLOOKUP(E1271, '06_BANG_GIA_VAT_TU_AP_DUNG'!B:B, '06_BANG_GIA_VAT_TU_AP_DUNG'!C:C, "LỖI_MÃ_VT")</f>
        <v/>
      </c>
      <c r="K1271" s="2">
        <f>I1271*J1271</f>
        <v/>
      </c>
      <c r="L1271" t="inlineStr">
        <is>
          <t>1 đôi bạc đỡ 2 bên thân</t>
        </is>
      </c>
    </row>
    <row r="1272">
      <c r="A1272" t="inlineStr">
        <is>
          <t>SW-DAMPER-317-HANDLE</t>
        </is>
      </c>
      <c r="B1272" t="inlineStr">
        <is>
          <t>SW-DAMPER-317</t>
        </is>
      </c>
      <c r="C1272" t="inlineStr">
        <is>
          <t>Tay gạt nhỏ</t>
        </is>
      </c>
      <c r="D1272" t="inlineStr">
        <is>
          <t>PHỤ_KIỆN_VAN</t>
        </is>
      </c>
      <c r="E1272" t="inlineStr">
        <is>
          <t>MAT-DAMPER-TAY-GAT-NHO</t>
        </is>
      </c>
      <c r="F1272" t="inlineStr">
        <is>
          <t>Bộ</t>
        </is>
      </c>
      <c r="G1272" s="4" t="n">
        <v>1</v>
      </c>
      <c r="H1272" s="2">
        <f>XLOOKUP(B1272, '00_TONG_HOP_BAO_GIA'!B:B, '00_TONG_HOP_BAO_GIA'!G:G, 1)</f>
        <v/>
      </c>
      <c r="I1272" s="5">
        <f>G1272*H1272</f>
        <v/>
      </c>
      <c r="J1272" s="2">
        <f>XLOOKUP(E1272, '06_BANG_GIA_VAT_TU_AP_DUNG'!B:B, '06_BANG_GIA_VAT_TU_AP_DUNG'!C:C, "LỖI_MÃ_VT")</f>
        <v/>
      </c>
      <c r="K1272" s="2">
        <f>I1272*J1272</f>
        <v/>
      </c>
      <c r="L1272" t="inlineStr">
        <is>
          <t>Tay gạt khóa vị trí nan (S=0.03m2)</t>
        </is>
      </c>
    </row>
    <row r="1273">
      <c r="A1273" t="inlineStr">
        <is>
          <t>SW-DAMPER-318-BODY</t>
        </is>
      </c>
      <c r="B1273" t="inlineStr">
        <is>
          <t>SW-DAMPER-318</t>
        </is>
      </c>
      <c r="C1273" t="inlineStr">
        <is>
          <t>Thân vỏ van VCD bích TDF (0.75mm)</t>
        </is>
      </c>
      <c r="D1273" t="inlineStr">
        <is>
          <t>TÔN_CUỘN_MẠ_KẼM</t>
        </is>
      </c>
      <c r="E1273" t="inlineStr">
        <is>
          <t>MAT-STEEL-PN-0.75</t>
        </is>
      </c>
      <c r="F1273" t="inlineStr">
        <is>
          <t>kg</t>
        </is>
      </c>
      <c r="G1273" s="4" t="n">
        <v>1.9732545</v>
      </c>
      <c r="H1273" s="2">
        <f>XLOOKUP(B1273, '00_TONG_HOP_BAO_GIA'!B:B, '00_TONG_HOP_BAO_GIA'!G:G, 1)</f>
        <v/>
      </c>
      <c r="I1273" s="5">
        <f>G1273*H1273</f>
        <v/>
      </c>
      <c r="J1273" s="2">
        <f>XLOOKUP(E1273, '06_BANG_GIA_VAT_TU_AP_DUNG'!B:B, '06_BANG_GIA_VAT_TU_AP_DUNG'!C:C, "LỖI_MÃ_VT")</f>
        <v/>
      </c>
      <c r="K1273" s="2">
        <f>I1273*J1273</f>
        <v/>
      </c>
      <c r="L1273" t="inlineStr">
        <is>
          <t>Kích thước vỏ 300.0x250.0x210mm</t>
        </is>
      </c>
    </row>
    <row r="1274">
      <c r="A1274" t="inlineStr">
        <is>
          <t>SW-DAMPER-318-BLADE</t>
        </is>
      </c>
      <c r="B1274" t="inlineStr">
        <is>
          <t>SW-DAMPER-318</t>
        </is>
      </c>
      <c r="C1274" t="inlineStr">
        <is>
          <t>Lá cánh van (2 cánh overlap)</t>
        </is>
      </c>
      <c r="D1274" t="inlineStr">
        <is>
          <t>TÔN_CUỘN_MẠ_KẼM</t>
        </is>
      </c>
      <c r="E1274" t="inlineStr">
        <is>
          <t>MAT-STEEL-PN-0.75</t>
        </is>
      </c>
      <c r="F1274" t="inlineStr">
        <is>
          <t>kg</t>
        </is>
      </c>
      <c r="G1274" s="4" t="n">
        <v>0.5531894999999999</v>
      </c>
      <c r="H1274" s="2">
        <f>XLOOKUP(B1274, '00_TONG_HOP_BAO_GIA'!B:B, '00_TONG_HOP_BAO_GIA'!G:G, 1)</f>
        <v/>
      </c>
      <c r="I1274" s="5">
        <f>G1274*H1274</f>
        <v/>
      </c>
      <c r="J1274" s="2">
        <f>XLOOKUP(E1274, '06_BANG_GIA_VAT_TU_AP_DUNG'!B:B, '06_BANG_GIA_VAT_TU_AP_DUNG'!C:C, "LỖI_MÃ_VT")</f>
        <v/>
      </c>
      <c r="K1274" s="2">
        <f>I1274*J1274</f>
        <v/>
      </c>
      <c r="L1274" t="inlineStr">
        <is>
          <t>2 cánh cao 145mm</t>
        </is>
      </c>
    </row>
    <row r="1275">
      <c r="A1275" t="inlineStr">
        <is>
          <t>SW-DAMPER-318-AXLE</t>
        </is>
      </c>
      <c r="B1275" t="inlineStr">
        <is>
          <t>SW-DAMPER-318</t>
        </is>
      </c>
      <c r="C1275" t="inlineStr">
        <is>
          <t>Trục Sus 201 D10</t>
        </is>
      </c>
      <c r="D1275" t="inlineStr">
        <is>
          <t>PHỤ_KIỆN_VAN</t>
        </is>
      </c>
      <c r="E1275" t="inlineStr">
        <is>
          <t>MAT-DAMPER-TRUC-SUS-201-D10</t>
        </is>
      </c>
      <c r="F1275" t="inlineStr">
        <is>
          <t>m</t>
        </is>
      </c>
      <c r="G1275" s="4" t="n">
        <v>0.72</v>
      </c>
      <c r="H1275" s="2">
        <f>XLOOKUP(B1275, '00_TONG_HOP_BAO_GIA'!B:B, '00_TONG_HOP_BAO_GIA'!G:G, 1)</f>
        <v/>
      </c>
      <c r="I1275" s="5">
        <f>G1275*H1275</f>
        <v/>
      </c>
      <c r="J1275" s="2">
        <f>XLOOKUP(E1275, '06_BANG_GIA_VAT_TU_AP_DUNG'!B:B, '06_BANG_GIA_VAT_TU_AP_DUNG'!C:C, "LỖI_MÃ_VT")</f>
        <v/>
      </c>
      <c r="K1275" s="2">
        <f>I1275*J1275</f>
        <v/>
      </c>
      <c r="L1275" t="inlineStr">
        <is>
          <t>2 trục dài 360mm</t>
        </is>
      </c>
    </row>
    <row r="1276">
      <c r="A1276" t="inlineStr">
        <is>
          <t>SW-DAMPER-318-BEARING</t>
        </is>
      </c>
      <c r="B1276" t="inlineStr">
        <is>
          <t>SW-DAMPER-318</t>
        </is>
      </c>
      <c r="C1276" t="inlineStr">
        <is>
          <t>Bạc đồng D10</t>
        </is>
      </c>
      <c r="D1276" t="inlineStr">
        <is>
          <t>PHỤ_KIỆN_VAN</t>
        </is>
      </c>
      <c r="E1276" t="inlineStr">
        <is>
          <t>MAT-DAMPER-BAC-DONG-D10</t>
        </is>
      </c>
      <c r="F1276" t="inlineStr">
        <is>
          <t>Đôi</t>
        </is>
      </c>
      <c r="G1276" s="4" t="n">
        <v>2</v>
      </c>
      <c r="H1276" s="2">
        <f>XLOOKUP(B1276, '00_TONG_HOP_BAO_GIA'!B:B, '00_TONG_HOP_BAO_GIA'!G:G, 1)</f>
        <v/>
      </c>
      <c r="I1276" s="5">
        <f>G1276*H1276</f>
        <v/>
      </c>
      <c r="J1276" s="2">
        <f>XLOOKUP(E1276, '06_BANG_GIA_VAT_TU_AP_DUNG'!B:B, '06_BANG_GIA_VAT_TU_AP_DUNG'!C:C, "LỖI_MÃ_VT")</f>
        <v/>
      </c>
      <c r="K1276" s="2">
        <f>I1276*J1276</f>
        <v/>
      </c>
      <c r="L1276" t="inlineStr">
        <is>
          <t>2 đôi bạc đỡ 2 bên thân</t>
        </is>
      </c>
    </row>
    <row r="1277">
      <c r="A1277" t="inlineStr">
        <is>
          <t>SW-DAMPER-318-GEAR</t>
        </is>
      </c>
      <c r="B1277" t="inlineStr">
        <is>
          <t>SW-DAMPER-318</t>
        </is>
      </c>
      <c r="C1277" t="inlineStr">
        <is>
          <t>Bánh răng van nhôm</t>
        </is>
      </c>
      <c r="D1277" t="inlineStr">
        <is>
          <t>PHỤ_KIỆN_VAN</t>
        </is>
      </c>
      <c r="E1277" t="inlineStr">
        <is>
          <t>MAT-DAMPER-BANH-RANG-VAN-NHOM</t>
        </is>
      </c>
      <c r="F1277" t="inlineStr">
        <is>
          <t>Bộ</t>
        </is>
      </c>
      <c r="G1277" s="4" t="n">
        <v>1</v>
      </c>
      <c r="H1277" s="2">
        <f>XLOOKUP(B1277, '00_TONG_HOP_BAO_GIA'!B:B, '00_TONG_HOP_BAO_GIA'!G:G, 1)</f>
        <v/>
      </c>
      <c r="I1277" s="5">
        <f>G1277*H1277</f>
        <v/>
      </c>
      <c r="J1277" s="2">
        <f>XLOOKUP(E1277, '06_BANG_GIA_VAT_TU_AP_DUNG'!B:B, '06_BANG_GIA_VAT_TU_AP_DUNG'!C:C, "LỖI_MÃ_VT")</f>
        <v/>
      </c>
      <c r="K1277" s="2">
        <f>I1277*J1277</f>
        <v/>
      </c>
      <c r="L1277" t="inlineStr">
        <is>
          <t>Cơ cấu liên động bánh răng van</t>
        </is>
      </c>
    </row>
    <row r="1278">
      <c r="A1278" t="inlineStr">
        <is>
          <t>SW-DAMPER-318-HANDLE</t>
        </is>
      </c>
      <c r="B1278" t="inlineStr">
        <is>
          <t>SW-DAMPER-318</t>
        </is>
      </c>
      <c r="C1278" t="inlineStr">
        <is>
          <t>Tay gạt nhỏ</t>
        </is>
      </c>
      <c r="D1278" t="inlineStr">
        <is>
          <t>PHỤ_KIỆN_VAN</t>
        </is>
      </c>
      <c r="E1278" t="inlineStr">
        <is>
          <t>MAT-DAMPER-TAY-GAT-NHO</t>
        </is>
      </c>
      <c r="F1278" t="inlineStr">
        <is>
          <t>Bộ</t>
        </is>
      </c>
      <c r="G1278" s="4" t="n">
        <v>1</v>
      </c>
      <c r="H1278" s="2">
        <f>XLOOKUP(B1278, '00_TONG_HOP_BAO_GIA'!B:B, '00_TONG_HOP_BAO_GIA'!G:G, 1)</f>
        <v/>
      </c>
      <c r="I1278" s="5">
        <f>G1278*H1278</f>
        <v/>
      </c>
      <c r="J1278" s="2">
        <f>XLOOKUP(E1278, '06_BANG_GIA_VAT_TU_AP_DUNG'!B:B, '06_BANG_GIA_VAT_TU_AP_DUNG'!C:C, "LỖI_MÃ_VT")</f>
        <v/>
      </c>
      <c r="K1278" s="2">
        <f>I1278*J1278</f>
        <v/>
      </c>
      <c r="L1278" t="inlineStr">
        <is>
          <t>Tay gạt khóa vị trí nan (S=0.07m2)</t>
        </is>
      </c>
    </row>
    <row r="1279">
      <c r="A1279" t="inlineStr">
        <is>
          <t>SW-DAMPER-319-BODY</t>
        </is>
      </c>
      <c r="B1279" t="inlineStr">
        <is>
          <t>SW-DAMPER-319</t>
        </is>
      </c>
      <c r="C1279" t="inlineStr">
        <is>
          <t>Thân vỏ van VCD bích TDF (0.75mm)</t>
        </is>
      </c>
      <c r="D1279" t="inlineStr">
        <is>
          <t>TÔN_CUỘN_MẠ_KẼM</t>
        </is>
      </c>
      <c r="E1279" t="inlineStr">
        <is>
          <t>MAT-STEEL-PN-0.75</t>
        </is>
      </c>
      <c r="F1279" t="inlineStr">
        <is>
          <t>kg</t>
        </is>
      </c>
      <c r="G1279" s="4" t="n">
        <v>2.146347</v>
      </c>
      <c r="H1279" s="2">
        <f>XLOOKUP(B1279, '00_TONG_HOP_BAO_GIA'!B:B, '00_TONG_HOP_BAO_GIA'!G:G, 1)</f>
        <v/>
      </c>
      <c r="I1279" s="5">
        <f>G1279*H1279</f>
        <v/>
      </c>
      <c r="J1279" s="2">
        <f>XLOOKUP(E1279, '06_BANG_GIA_VAT_TU_AP_DUNG'!B:B, '06_BANG_GIA_VAT_TU_AP_DUNG'!C:C, "LỖI_MÃ_VT")</f>
        <v/>
      </c>
      <c r="K1279" s="2">
        <f>I1279*J1279</f>
        <v/>
      </c>
      <c r="L1279" t="inlineStr">
        <is>
          <t>Kích thước vỏ 350.0x250.0x210mm</t>
        </is>
      </c>
    </row>
    <row r="1280">
      <c r="A1280" t="inlineStr">
        <is>
          <t>SW-DAMPER-319-BLADE</t>
        </is>
      </c>
      <c r="B1280" t="inlineStr">
        <is>
          <t>SW-DAMPER-319</t>
        </is>
      </c>
      <c r="C1280" t="inlineStr">
        <is>
          <t>Lá cánh van (2 cánh overlap)</t>
        </is>
      </c>
      <c r="D1280" t="inlineStr">
        <is>
          <t>TÔN_CUỘN_MẠ_KẼM</t>
        </is>
      </c>
      <c r="E1280" t="inlineStr">
        <is>
          <t>MAT-STEEL-PN-0.75</t>
        </is>
      </c>
      <c r="F1280" t="inlineStr">
        <is>
          <t>kg</t>
        </is>
      </c>
      <c r="G1280" s="4" t="n">
        <v>0.6453877499999999</v>
      </c>
      <c r="H1280" s="2">
        <f>XLOOKUP(B1280, '00_TONG_HOP_BAO_GIA'!B:B, '00_TONG_HOP_BAO_GIA'!G:G, 1)</f>
        <v/>
      </c>
      <c r="I1280" s="5">
        <f>G1280*H1280</f>
        <v/>
      </c>
      <c r="J1280" s="2">
        <f>XLOOKUP(E1280, '06_BANG_GIA_VAT_TU_AP_DUNG'!B:B, '06_BANG_GIA_VAT_TU_AP_DUNG'!C:C, "LỖI_MÃ_VT")</f>
        <v/>
      </c>
      <c r="K1280" s="2">
        <f>I1280*J1280</f>
        <v/>
      </c>
      <c r="L1280" t="inlineStr">
        <is>
          <t>2 cánh cao 145mm</t>
        </is>
      </c>
    </row>
    <row r="1281">
      <c r="A1281" t="inlineStr">
        <is>
          <t>SW-DAMPER-319-AXLE</t>
        </is>
      </c>
      <c r="B1281" t="inlineStr">
        <is>
          <t>SW-DAMPER-319</t>
        </is>
      </c>
      <c r="C1281" t="inlineStr">
        <is>
          <t>Trục Sus 201 D10</t>
        </is>
      </c>
      <c r="D1281" t="inlineStr">
        <is>
          <t>PHỤ_KIỆN_VAN</t>
        </is>
      </c>
      <c r="E1281" t="inlineStr">
        <is>
          <t>MAT-DAMPER-TRUC-SUS-201-D10</t>
        </is>
      </c>
      <c r="F1281" t="inlineStr">
        <is>
          <t>m</t>
        </is>
      </c>
      <c r="G1281" s="4" t="n">
        <v>0.82</v>
      </c>
      <c r="H1281" s="2">
        <f>XLOOKUP(B1281, '00_TONG_HOP_BAO_GIA'!B:B, '00_TONG_HOP_BAO_GIA'!G:G, 1)</f>
        <v/>
      </c>
      <c r="I1281" s="5">
        <f>G1281*H1281</f>
        <v/>
      </c>
      <c r="J1281" s="2">
        <f>XLOOKUP(E1281, '06_BANG_GIA_VAT_TU_AP_DUNG'!B:B, '06_BANG_GIA_VAT_TU_AP_DUNG'!C:C, "LỖI_MÃ_VT")</f>
        <v/>
      </c>
      <c r="K1281" s="2">
        <f>I1281*J1281</f>
        <v/>
      </c>
      <c r="L1281" t="inlineStr">
        <is>
          <t>2 trục dài 410mm</t>
        </is>
      </c>
    </row>
    <row r="1282">
      <c r="A1282" t="inlineStr">
        <is>
          <t>SW-DAMPER-319-BEARING</t>
        </is>
      </c>
      <c r="B1282" t="inlineStr">
        <is>
          <t>SW-DAMPER-319</t>
        </is>
      </c>
      <c r="C1282" t="inlineStr">
        <is>
          <t>Bạc đồng D10</t>
        </is>
      </c>
      <c r="D1282" t="inlineStr">
        <is>
          <t>PHỤ_KIỆN_VAN</t>
        </is>
      </c>
      <c r="E1282" t="inlineStr">
        <is>
          <t>MAT-DAMPER-BAC-DONG-D10</t>
        </is>
      </c>
      <c r="F1282" t="inlineStr">
        <is>
          <t>Đôi</t>
        </is>
      </c>
      <c r="G1282" s="4" t="n">
        <v>2</v>
      </c>
      <c r="H1282" s="2">
        <f>XLOOKUP(B1282, '00_TONG_HOP_BAO_GIA'!B:B, '00_TONG_HOP_BAO_GIA'!G:G, 1)</f>
        <v/>
      </c>
      <c r="I1282" s="5">
        <f>G1282*H1282</f>
        <v/>
      </c>
      <c r="J1282" s="2">
        <f>XLOOKUP(E1282, '06_BANG_GIA_VAT_TU_AP_DUNG'!B:B, '06_BANG_GIA_VAT_TU_AP_DUNG'!C:C, "LỖI_MÃ_VT")</f>
        <v/>
      </c>
      <c r="K1282" s="2">
        <f>I1282*J1282</f>
        <v/>
      </c>
      <c r="L1282" t="inlineStr">
        <is>
          <t>2 đôi bạc đỡ 2 bên thân</t>
        </is>
      </c>
    </row>
    <row r="1283">
      <c r="A1283" t="inlineStr">
        <is>
          <t>SW-DAMPER-319-GEAR</t>
        </is>
      </c>
      <c r="B1283" t="inlineStr">
        <is>
          <t>SW-DAMPER-319</t>
        </is>
      </c>
      <c r="C1283" t="inlineStr">
        <is>
          <t>Bánh răng van nhôm</t>
        </is>
      </c>
      <c r="D1283" t="inlineStr">
        <is>
          <t>PHỤ_KIỆN_VAN</t>
        </is>
      </c>
      <c r="E1283" t="inlineStr">
        <is>
          <t>MAT-DAMPER-BANH-RANG-VAN-NHOM</t>
        </is>
      </c>
      <c r="F1283" t="inlineStr">
        <is>
          <t>Bộ</t>
        </is>
      </c>
      <c r="G1283" s="4" t="n">
        <v>1</v>
      </c>
      <c r="H1283" s="2">
        <f>XLOOKUP(B1283, '00_TONG_HOP_BAO_GIA'!B:B, '00_TONG_HOP_BAO_GIA'!G:G, 1)</f>
        <v/>
      </c>
      <c r="I1283" s="5">
        <f>G1283*H1283</f>
        <v/>
      </c>
      <c r="J1283" s="2">
        <f>XLOOKUP(E1283, '06_BANG_GIA_VAT_TU_AP_DUNG'!B:B, '06_BANG_GIA_VAT_TU_AP_DUNG'!C:C, "LỖI_MÃ_VT")</f>
        <v/>
      </c>
      <c r="K1283" s="2">
        <f>I1283*J1283</f>
        <v/>
      </c>
      <c r="L1283" t="inlineStr">
        <is>
          <t>Cơ cấu liên động bánh răng van</t>
        </is>
      </c>
    </row>
    <row r="1284">
      <c r="A1284" t="inlineStr">
        <is>
          <t>SW-DAMPER-319-HANDLE</t>
        </is>
      </c>
      <c r="B1284" t="inlineStr">
        <is>
          <t>SW-DAMPER-319</t>
        </is>
      </c>
      <c r="C1284" t="inlineStr">
        <is>
          <t>Tay gạt nhỏ</t>
        </is>
      </c>
      <c r="D1284" t="inlineStr">
        <is>
          <t>PHỤ_KIỆN_VAN</t>
        </is>
      </c>
      <c r="E1284" t="inlineStr">
        <is>
          <t>MAT-DAMPER-TAY-GAT-NHO</t>
        </is>
      </c>
      <c r="F1284" t="inlineStr">
        <is>
          <t>Bộ</t>
        </is>
      </c>
      <c r="G1284" s="4" t="n">
        <v>1</v>
      </c>
      <c r="H1284" s="2">
        <f>XLOOKUP(B1284, '00_TONG_HOP_BAO_GIA'!B:B, '00_TONG_HOP_BAO_GIA'!G:G, 1)</f>
        <v/>
      </c>
      <c r="I1284" s="5">
        <f>G1284*H1284</f>
        <v/>
      </c>
      <c r="J1284" s="2">
        <f>XLOOKUP(E1284, '06_BANG_GIA_VAT_TU_AP_DUNG'!B:B, '06_BANG_GIA_VAT_TU_AP_DUNG'!C:C, "LỖI_MÃ_VT")</f>
        <v/>
      </c>
      <c r="K1284" s="2">
        <f>I1284*J1284</f>
        <v/>
      </c>
      <c r="L1284" t="inlineStr">
        <is>
          <t>Tay gạt khóa vị trí nan (S=0.09m2)</t>
        </is>
      </c>
    </row>
    <row r="1285">
      <c r="A1285" t="inlineStr">
        <is>
          <t>SW-DAMPER-320-BODY</t>
        </is>
      </c>
      <c r="B1285" t="inlineStr">
        <is>
          <t>SW-DAMPER-320</t>
        </is>
      </c>
      <c r="C1285" t="inlineStr">
        <is>
          <t>Thân vỏ van VCD bích TDF (0.75mm)</t>
        </is>
      </c>
      <c r="D1285" t="inlineStr">
        <is>
          <t>TÔN_CUỘN_MẠ_KẼM</t>
        </is>
      </c>
      <c r="E1285" t="inlineStr">
        <is>
          <t>MAT-STEEL-PN-0.75</t>
        </is>
      </c>
      <c r="F1285" t="inlineStr">
        <is>
          <t>kg</t>
        </is>
      </c>
      <c r="G1285" s="4" t="n">
        <v>2.146347</v>
      </c>
      <c r="H1285" s="2">
        <f>XLOOKUP(B1285, '00_TONG_HOP_BAO_GIA'!B:B, '00_TONG_HOP_BAO_GIA'!G:G, 1)</f>
        <v/>
      </c>
      <c r="I1285" s="5">
        <f>G1285*H1285</f>
        <v/>
      </c>
      <c r="J1285" s="2">
        <f>XLOOKUP(E1285, '06_BANG_GIA_VAT_TU_AP_DUNG'!B:B, '06_BANG_GIA_VAT_TU_AP_DUNG'!C:C, "LỖI_MÃ_VT")</f>
        <v/>
      </c>
      <c r="K1285" s="2">
        <f>I1285*J1285</f>
        <v/>
      </c>
      <c r="L1285" t="inlineStr">
        <is>
          <t>Kích thước vỏ 400.0x200.0x210mm</t>
        </is>
      </c>
    </row>
    <row r="1286">
      <c r="A1286" t="inlineStr">
        <is>
          <t>SW-DAMPER-320-BLADE</t>
        </is>
      </c>
      <c r="B1286" t="inlineStr">
        <is>
          <t>SW-DAMPER-320</t>
        </is>
      </c>
      <c r="C1286" t="inlineStr">
        <is>
          <t>Lá cánh van (2 cánh overlap)</t>
        </is>
      </c>
      <c r="D1286" t="inlineStr">
        <is>
          <t>TÔN_CUỘN_MẠ_KẼM</t>
        </is>
      </c>
      <c r="E1286" t="inlineStr">
        <is>
          <t>MAT-STEEL-PN-0.75</t>
        </is>
      </c>
      <c r="F1286" t="inlineStr">
        <is>
          <t>kg</t>
        </is>
      </c>
      <c r="G1286" s="4" t="n">
        <v>0.610416</v>
      </c>
      <c r="H1286" s="2">
        <f>XLOOKUP(B1286, '00_TONG_HOP_BAO_GIA'!B:B, '00_TONG_HOP_BAO_GIA'!G:G, 1)</f>
        <v/>
      </c>
      <c r="I1286" s="5">
        <f>G1286*H1286</f>
        <v/>
      </c>
      <c r="J1286" s="2">
        <f>XLOOKUP(E1286, '06_BANG_GIA_VAT_TU_AP_DUNG'!B:B, '06_BANG_GIA_VAT_TU_AP_DUNG'!C:C, "LỖI_MÃ_VT")</f>
        <v/>
      </c>
      <c r="K1286" s="2">
        <f>I1286*J1286</f>
        <v/>
      </c>
      <c r="L1286" t="inlineStr">
        <is>
          <t>2 cánh cao 120mm</t>
        </is>
      </c>
    </row>
    <row r="1287">
      <c r="A1287" t="inlineStr">
        <is>
          <t>SW-DAMPER-320-AXLE</t>
        </is>
      </c>
      <c r="B1287" t="inlineStr">
        <is>
          <t>SW-DAMPER-320</t>
        </is>
      </c>
      <c r="C1287" t="inlineStr">
        <is>
          <t>Trục Sus 201 D10</t>
        </is>
      </c>
      <c r="D1287" t="inlineStr">
        <is>
          <t>PHỤ_KIỆN_VAN</t>
        </is>
      </c>
      <c r="E1287" t="inlineStr">
        <is>
          <t>MAT-DAMPER-TRUC-SUS-201-D10</t>
        </is>
      </c>
      <c r="F1287" t="inlineStr">
        <is>
          <t>m</t>
        </is>
      </c>
      <c r="G1287" s="4" t="n">
        <v>0.92</v>
      </c>
      <c r="H1287" s="2">
        <f>XLOOKUP(B1287, '00_TONG_HOP_BAO_GIA'!B:B, '00_TONG_HOP_BAO_GIA'!G:G, 1)</f>
        <v/>
      </c>
      <c r="I1287" s="5">
        <f>G1287*H1287</f>
        <v/>
      </c>
      <c r="J1287" s="2">
        <f>XLOOKUP(E1287, '06_BANG_GIA_VAT_TU_AP_DUNG'!B:B, '06_BANG_GIA_VAT_TU_AP_DUNG'!C:C, "LỖI_MÃ_VT")</f>
        <v/>
      </c>
      <c r="K1287" s="2">
        <f>I1287*J1287</f>
        <v/>
      </c>
      <c r="L1287" t="inlineStr">
        <is>
          <t>2 trục dài 460mm</t>
        </is>
      </c>
    </row>
    <row r="1288">
      <c r="A1288" t="inlineStr">
        <is>
          <t>SW-DAMPER-320-BEARING</t>
        </is>
      </c>
      <c r="B1288" t="inlineStr">
        <is>
          <t>SW-DAMPER-320</t>
        </is>
      </c>
      <c r="C1288" t="inlineStr">
        <is>
          <t>Bạc đồng D10</t>
        </is>
      </c>
      <c r="D1288" t="inlineStr">
        <is>
          <t>PHỤ_KIỆN_VAN</t>
        </is>
      </c>
      <c r="E1288" t="inlineStr">
        <is>
          <t>MAT-DAMPER-BAC-DONG-D10</t>
        </is>
      </c>
      <c r="F1288" t="inlineStr">
        <is>
          <t>Đôi</t>
        </is>
      </c>
      <c r="G1288" s="4" t="n">
        <v>2</v>
      </c>
      <c r="H1288" s="2">
        <f>XLOOKUP(B1288, '00_TONG_HOP_BAO_GIA'!B:B, '00_TONG_HOP_BAO_GIA'!G:G, 1)</f>
        <v/>
      </c>
      <c r="I1288" s="5">
        <f>G1288*H1288</f>
        <v/>
      </c>
      <c r="J1288" s="2">
        <f>XLOOKUP(E1288, '06_BANG_GIA_VAT_TU_AP_DUNG'!B:B, '06_BANG_GIA_VAT_TU_AP_DUNG'!C:C, "LỖI_MÃ_VT")</f>
        <v/>
      </c>
      <c r="K1288" s="2">
        <f>I1288*J1288</f>
        <v/>
      </c>
      <c r="L1288" t="inlineStr">
        <is>
          <t>2 đôi bạc đỡ 2 bên thân</t>
        </is>
      </c>
    </row>
    <row r="1289">
      <c r="A1289" t="inlineStr">
        <is>
          <t>SW-DAMPER-320-GEAR</t>
        </is>
      </c>
      <c r="B1289" t="inlineStr">
        <is>
          <t>SW-DAMPER-320</t>
        </is>
      </c>
      <c r="C1289" t="inlineStr">
        <is>
          <t>Bánh răng van nhôm</t>
        </is>
      </c>
      <c r="D1289" t="inlineStr">
        <is>
          <t>PHỤ_KIỆN_VAN</t>
        </is>
      </c>
      <c r="E1289" t="inlineStr">
        <is>
          <t>MAT-DAMPER-BANH-RANG-VAN-NHOM</t>
        </is>
      </c>
      <c r="F1289" t="inlineStr">
        <is>
          <t>Bộ</t>
        </is>
      </c>
      <c r="G1289" s="4" t="n">
        <v>1</v>
      </c>
      <c r="H1289" s="2">
        <f>XLOOKUP(B1289, '00_TONG_HOP_BAO_GIA'!B:B, '00_TONG_HOP_BAO_GIA'!G:G, 1)</f>
        <v/>
      </c>
      <c r="I1289" s="5">
        <f>G1289*H1289</f>
        <v/>
      </c>
      <c r="J1289" s="2">
        <f>XLOOKUP(E1289, '06_BANG_GIA_VAT_TU_AP_DUNG'!B:B, '06_BANG_GIA_VAT_TU_AP_DUNG'!C:C, "LỖI_MÃ_VT")</f>
        <v/>
      </c>
      <c r="K1289" s="2">
        <f>I1289*J1289</f>
        <v/>
      </c>
      <c r="L1289" t="inlineStr">
        <is>
          <t>Cơ cấu liên động bánh răng van</t>
        </is>
      </c>
    </row>
    <row r="1290">
      <c r="A1290" t="inlineStr">
        <is>
          <t>SW-DAMPER-320-HANDLE</t>
        </is>
      </c>
      <c r="B1290" t="inlineStr">
        <is>
          <t>SW-DAMPER-320</t>
        </is>
      </c>
      <c r="C1290" t="inlineStr">
        <is>
          <t>Tay gạt nhỏ</t>
        </is>
      </c>
      <c r="D1290" t="inlineStr">
        <is>
          <t>PHỤ_KIỆN_VAN</t>
        </is>
      </c>
      <c r="E1290" t="inlineStr">
        <is>
          <t>MAT-DAMPER-TAY-GAT-NHO</t>
        </is>
      </c>
      <c r="F1290" t="inlineStr">
        <is>
          <t>Bộ</t>
        </is>
      </c>
      <c r="G1290" s="4" t="n">
        <v>1</v>
      </c>
      <c r="H1290" s="2">
        <f>XLOOKUP(B1290, '00_TONG_HOP_BAO_GIA'!B:B, '00_TONG_HOP_BAO_GIA'!G:G, 1)</f>
        <v/>
      </c>
      <c r="I1290" s="5">
        <f>G1290*H1290</f>
        <v/>
      </c>
      <c r="J1290" s="2">
        <f>XLOOKUP(E1290, '06_BANG_GIA_VAT_TU_AP_DUNG'!B:B, '06_BANG_GIA_VAT_TU_AP_DUNG'!C:C, "LỖI_MÃ_VT")</f>
        <v/>
      </c>
      <c r="K1290" s="2">
        <f>I1290*J1290</f>
        <v/>
      </c>
      <c r="L1290" t="inlineStr">
        <is>
          <t>Tay gạt khóa vị trí nan (S=0.08m2)</t>
        </is>
      </c>
    </row>
    <row r="1291">
      <c r="A1291" t="inlineStr">
        <is>
          <t>SW-DAMPER-321-BODY</t>
        </is>
      </c>
      <c r="B1291" t="inlineStr">
        <is>
          <t>SW-DAMPER-321</t>
        </is>
      </c>
      <c r="C1291" t="inlineStr">
        <is>
          <t>Thân vỏ van VCD bích TDF (0.75mm)</t>
        </is>
      </c>
      <c r="D1291" t="inlineStr">
        <is>
          <t>TÔN_CUỘN_MẠ_KẼM</t>
        </is>
      </c>
      <c r="E1291" t="inlineStr">
        <is>
          <t>MAT-STEEL-PN-0.75</t>
        </is>
      </c>
      <c r="F1291" t="inlineStr">
        <is>
          <t>kg</t>
        </is>
      </c>
      <c r="G1291" s="4" t="n">
        <v>2.3194395</v>
      </c>
      <c r="H1291" s="2">
        <f>XLOOKUP(B1291, '00_TONG_HOP_BAO_GIA'!B:B, '00_TONG_HOP_BAO_GIA'!G:G, 1)</f>
        <v/>
      </c>
      <c r="I1291" s="5">
        <f>G1291*H1291</f>
        <v/>
      </c>
      <c r="J1291" s="2">
        <f>XLOOKUP(E1291, '06_BANG_GIA_VAT_TU_AP_DUNG'!B:B, '06_BANG_GIA_VAT_TU_AP_DUNG'!C:C, "LỖI_MÃ_VT")</f>
        <v/>
      </c>
      <c r="K1291" s="2">
        <f>I1291*J1291</f>
        <v/>
      </c>
      <c r="L1291" t="inlineStr">
        <is>
          <t>Kích thước vỏ 400.0x250.0x210mm</t>
        </is>
      </c>
    </row>
    <row r="1292">
      <c r="A1292" t="inlineStr">
        <is>
          <t>SW-DAMPER-321-BLADE</t>
        </is>
      </c>
      <c r="B1292" t="inlineStr">
        <is>
          <t>SW-DAMPER-321</t>
        </is>
      </c>
      <c r="C1292" t="inlineStr">
        <is>
          <t>Lá cánh van (2 cánh overlap)</t>
        </is>
      </c>
      <c r="D1292" t="inlineStr">
        <is>
          <t>TÔN_CUỘN_MẠ_KẼM</t>
        </is>
      </c>
      <c r="E1292" t="inlineStr">
        <is>
          <t>MAT-STEEL-PN-0.75</t>
        </is>
      </c>
      <c r="F1292" t="inlineStr">
        <is>
          <t>kg</t>
        </is>
      </c>
      <c r="G1292" s="4" t="n">
        <v>0.737586</v>
      </c>
      <c r="H1292" s="2">
        <f>XLOOKUP(B1292, '00_TONG_HOP_BAO_GIA'!B:B, '00_TONG_HOP_BAO_GIA'!G:G, 1)</f>
        <v/>
      </c>
      <c r="I1292" s="5">
        <f>G1292*H1292</f>
        <v/>
      </c>
      <c r="J1292" s="2">
        <f>XLOOKUP(E1292, '06_BANG_GIA_VAT_TU_AP_DUNG'!B:B, '06_BANG_GIA_VAT_TU_AP_DUNG'!C:C, "LỖI_MÃ_VT")</f>
        <v/>
      </c>
      <c r="K1292" s="2">
        <f>I1292*J1292</f>
        <v/>
      </c>
      <c r="L1292" t="inlineStr">
        <is>
          <t>2 cánh cao 145mm</t>
        </is>
      </c>
    </row>
    <row r="1293">
      <c r="A1293" t="inlineStr">
        <is>
          <t>SW-DAMPER-321-AXLE</t>
        </is>
      </c>
      <c r="B1293" t="inlineStr">
        <is>
          <t>SW-DAMPER-321</t>
        </is>
      </c>
      <c r="C1293" t="inlineStr">
        <is>
          <t>Trục Sus 201 D10</t>
        </is>
      </c>
      <c r="D1293" t="inlineStr">
        <is>
          <t>PHỤ_KIỆN_VAN</t>
        </is>
      </c>
      <c r="E1293" t="inlineStr">
        <is>
          <t>MAT-DAMPER-TRUC-SUS-201-D10</t>
        </is>
      </c>
      <c r="F1293" t="inlineStr">
        <is>
          <t>m</t>
        </is>
      </c>
      <c r="G1293" s="4" t="n">
        <v>0.92</v>
      </c>
      <c r="H1293" s="2">
        <f>XLOOKUP(B1293, '00_TONG_HOP_BAO_GIA'!B:B, '00_TONG_HOP_BAO_GIA'!G:G, 1)</f>
        <v/>
      </c>
      <c r="I1293" s="5">
        <f>G1293*H1293</f>
        <v/>
      </c>
      <c r="J1293" s="2">
        <f>XLOOKUP(E1293, '06_BANG_GIA_VAT_TU_AP_DUNG'!B:B, '06_BANG_GIA_VAT_TU_AP_DUNG'!C:C, "LỖI_MÃ_VT")</f>
        <v/>
      </c>
      <c r="K1293" s="2">
        <f>I1293*J1293</f>
        <v/>
      </c>
      <c r="L1293" t="inlineStr">
        <is>
          <t>2 trục dài 460mm</t>
        </is>
      </c>
    </row>
    <row r="1294">
      <c r="A1294" t="inlineStr">
        <is>
          <t>SW-DAMPER-321-BEARING</t>
        </is>
      </c>
      <c r="B1294" t="inlineStr">
        <is>
          <t>SW-DAMPER-321</t>
        </is>
      </c>
      <c r="C1294" t="inlineStr">
        <is>
          <t>Bạc đồng D10</t>
        </is>
      </c>
      <c r="D1294" t="inlineStr">
        <is>
          <t>PHỤ_KIỆN_VAN</t>
        </is>
      </c>
      <c r="E1294" t="inlineStr">
        <is>
          <t>MAT-DAMPER-BAC-DONG-D10</t>
        </is>
      </c>
      <c r="F1294" t="inlineStr">
        <is>
          <t>Đôi</t>
        </is>
      </c>
      <c r="G1294" s="4" t="n">
        <v>2</v>
      </c>
      <c r="H1294" s="2">
        <f>XLOOKUP(B1294, '00_TONG_HOP_BAO_GIA'!B:B, '00_TONG_HOP_BAO_GIA'!G:G, 1)</f>
        <v/>
      </c>
      <c r="I1294" s="5">
        <f>G1294*H1294</f>
        <v/>
      </c>
      <c r="J1294" s="2">
        <f>XLOOKUP(E1294, '06_BANG_GIA_VAT_TU_AP_DUNG'!B:B, '06_BANG_GIA_VAT_TU_AP_DUNG'!C:C, "LỖI_MÃ_VT")</f>
        <v/>
      </c>
      <c r="K1294" s="2">
        <f>I1294*J1294</f>
        <v/>
      </c>
      <c r="L1294" t="inlineStr">
        <is>
          <t>2 đôi bạc đỡ 2 bên thân</t>
        </is>
      </c>
    </row>
    <row r="1295">
      <c r="A1295" t="inlineStr">
        <is>
          <t>SW-DAMPER-321-GEAR</t>
        </is>
      </c>
      <c r="B1295" t="inlineStr">
        <is>
          <t>SW-DAMPER-321</t>
        </is>
      </c>
      <c r="C1295" t="inlineStr">
        <is>
          <t>Bánh răng van nhôm</t>
        </is>
      </c>
      <c r="D1295" t="inlineStr">
        <is>
          <t>PHỤ_KIỆN_VAN</t>
        </is>
      </c>
      <c r="E1295" t="inlineStr">
        <is>
          <t>MAT-DAMPER-BANH-RANG-VAN-NHOM</t>
        </is>
      </c>
      <c r="F1295" t="inlineStr">
        <is>
          <t>Bộ</t>
        </is>
      </c>
      <c r="G1295" s="4" t="n">
        <v>1</v>
      </c>
      <c r="H1295" s="2">
        <f>XLOOKUP(B1295, '00_TONG_HOP_BAO_GIA'!B:B, '00_TONG_HOP_BAO_GIA'!G:G, 1)</f>
        <v/>
      </c>
      <c r="I1295" s="5">
        <f>G1295*H1295</f>
        <v/>
      </c>
      <c r="J1295" s="2">
        <f>XLOOKUP(E1295, '06_BANG_GIA_VAT_TU_AP_DUNG'!B:B, '06_BANG_GIA_VAT_TU_AP_DUNG'!C:C, "LỖI_MÃ_VT")</f>
        <v/>
      </c>
      <c r="K1295" s="2">
        <f>I1295*J1295</f>
        <v/>
      </c>
      <c r="L1295" t="inlineStr">
        <is>
          <t>Cơ cấu liên động bánh răng van</t>
        </is>
      </c>
    </row>
    <row r="1296">
      <c r="A1296" t="inlineStr">
        <is>
          <t>SW-DAMPER-321-HANDLE</t>
        </is>
      </c>
      <c r="B1296" t="inlineStr">
        <is>
          <t>SW-DAMPER-321</t>
        </is>
      </c>
      <c r="C1296" t="inlineStr">
        <is>
          <t>Tay gạt nhỏ</t>
        </is>
      </c>
      <c r="D1296" t="inlineStr">
        <is>
          <t>PHỤ_KIỆN_VAN</t>
        </is>
      </c>
      <c r="E1296" t="inlineStr">
        <is>
          <t>MAT-DAMPER-TAY-GAT-NHO</t>
        </is>
      </c>
      <c r="F1296" t="inlineStr">
        <is>
          <t>Bộ</t>
        </is>
      </c>
      <c r="G1296" s="4" t="n">
        <v>1</v>
      </c>
      <c r="H1296" s="2">
        <f>XLOOKUP(B1296, '00_TONG_HOP_BAO_GIA'!B:B, '00_TONG_HOP_BAO_GIA'!G:G, 1)</f>
        <v/>
      </c>
      <c r="I1296" s="5">
        <f>G1296*H1296</f>
        <v/>
      </c>
      <c r="J1296" s="2">
        <f>XLOOKUP(E1296, '06_BANG_GIA_VAT_TU_AP_DUNG'!B:B, '06_BANG_GIA_VAT_TU_AP_DUNG'!C:C, "LỖI_MÃ_VT")</f>
        <v/>
      </c>
      <c r="K1296" s="2">
        <f>I1296*J1296</f>
        <v/>
      </c>
      <c r="L1296" t="inlineStr">
        <is>
          <t>Tay gạt khóa vị trí nan (S=0.10m2)</t>
        </is>
      </c>
    </row>
    <row r="1297">
      <c r="A1297" t="inlineStr">
        <is>
          <t>SW-DAMPER-322-BODY</t>
        </is>
      </c>
      <c r="B1297" t="inlineStr">
        <is>
          <t>SW-DAMPER-322</t>
        </is>
      </c>
      <c r="C1297" t="inlineStr">
        <is>
          <t>Thân vỏ van VCD bích TDF (0.75mm)</t>
        </is>
      </c>
      <c r="D1297" t="inlineStr">
        <is>
          <t>TÔN_CUỘN_MẠ_KẼM</t>
        </is>
      </c>
      <c r="E1297" t="inlineStr">
        <is>
          <t>MAT-STEEL-PN-0.75</t>
        </is>
      </c>
      <c r="F1297" t="inlineStr">
        <is>
          <t>kg</t>
        </is>
      </c>
      <c r="G1297" s="4" t="n">
        <v>2.492532</v>
      </c>
      <c r="H1297" s="2">
        <f>XLOOKUP(B1297, '00_TONG_HOP_BAO_GIA'!B:B, '00_TONG_HOP_BAO_GIA'!G:G, 1)</f>
        <v/>
      </c>
      <c r="I1297" s="5">
        <f>G1297*H1297</f>
        <v/>
      </c>
      <c r="J1297" s="2">
        <f>XLOOKUP(E1297, '06_BANG_GIA_VAT_TU_AP_DUNG'!B:B, '06_BANG_GIA_VAT_TU_AP_DUNG'!C:C, "LỖI_MÃ_VT")</f>
        <v/>
      </c>
      <c r="K1297" s="2">
        <f>I1297*J1297</f>
        <v/>
      </c>
      <c r="L1297" t="inlineStr">
        <is>
          <t>Kích thước vỏ 400.0x300.0x210mm</t>
        </is>
      </c>
    </row>
    <row r="1298">
      <c r="A1298" t="inlineStr">
        <is>
          <t>SW-DAMPER-322-BLADE</t>
        </is>
      </c>
      <c r="B1298" t="inlineStr">
        <is>
          <t>SW-DAMPER-322</t>
        </is>
      </c>
      <c r="C1298" t="inlineStr">
        <is>
          <t>Lá cánh van (2 cánh overlap)</t>
        </is>
      </c>
      <c r="D1298" t="inlineStr">
        <is>
          <t>TÔN_CUỘN_MẠ_KẼM</t>
        </is>
      </c>
      <c r="E1298" t="inlineStr">
        <is>
          <t>MAT-STEEL-PN-0.75</t>
        </is>
      </c>
      <c r="F1298" t="inlineStr">
        <is>
          <t>kg</t>
        </is>
      </c>
      <c r="G1298" s="4" t="n">
        <v>0.864756</v>
      </c>
      <c r="H1298" s="2">
        <f>XLOOKUP(B1298, '00_TONG_HOP_BAO_GIA'!B:B, '00_TONG_HOP_BAO_GIA'!G:G, 1)</f>
        <v/>
      </c>
      <c r="I1298" s="5">
        <f>G1298*H1298</f>
        <v/>
      </c>
      <c r="J1298" s="2">
        <f>XLOOKUP(E1298, '06_BANG_GIA_VAT_TU_AP_DUNG'!B:B, '06_BANG_GIA_VAT_TU_AP_DUNG'!C:C, "LỖI_MÃ_VT")</f>
        <v/>
      </c>
      <c r="K1298" s="2">
        <f>I1298*J1298</f>
        <v/>
      </c>
      <c r="L1298" t="inlineStr">
        <is>
          <t>2 cánh cao 170mm</t>
        </is>
      </c>
    </row>
    <row r="1299">
      <c r="A1299" t="inlineStr">
        <is>
          <t>SW-DAMPER-322-AXLE</t>
        </is>
      </c>
      <c r="B1299" t="inlineStr">
        <is>
          <t>SW-DAMPER-322</t>
        </is>
      </c>
      <c r="C1299" t="inlineStr">
        <is>
          <t>Trục Sus 201 D10</t>
        </is>
      </c>
      <c r="D1299" t="inlineStr">
        <is>
          <t>PHỤ_KIỆN_VAN</t>
        </is>
      </c>
      <c r="E1299" t="inlineStr">
        <is>
          <t>MAT-DAMPER-TRUC-SUS-201-D10</t>
        </is>
      </c>
      <c r="F1299" t="inlineStr">
        <is>
          <t>m</t>
        </is>
      </c>
      <c r="G1299" s="4" t="n">
        <v>0.92</v>
      </c>
      <c r="H1299" s="2">
        <f>XLOOKUP(B1299, '00_TONG_HOP_BAO_GIA'!B:B, '00_TONG_HOP_BAO_GIA'!G:G, 1)</f>
        <v/>
      </c>
      <c r="I1299" s="5">
        <f>G1299*H1299</f>
        <v/>
      </c>
      <c r="J1299" s="2">
        <f>XLOOKUP(E1299, '06_BANG_GIA_VAT_TU_AP_DUNG'!B:B, '06_BANG_GIA_VAT_TU_AP_DUNG'!C:C, "LỖI_MÃ_VT")</f>
        <v/>
      </c>
      <c r="K1299" s="2">
        <f>I1299*J1299</f>
        <v/>
      </c>
      <c r="L1299" t="inlineStr">
        <is>
          <t>2 trục dài 460mm</t>
        </is>
      </c>
    </row>
    <row r="1300">
      <c r="A1300" t="inlineStr">
        <is>
          <t>SW-DAMPER-322-BEARING</t>
        </is>
      </c>
      <c r="B1300" t="inlineStr">
        <is>
          <t>SW-DAMPER-322</t>
        </is>
      </c>
      <c r="C1300" t="inlineStr">
        <is>
          <t>Bạc đồng D10</t>
        </is>
      </c>
      <c r="D1300" t="inlineStr">
        <is>
          <t>PHỤ_KIỆN_VAN</t>
        </is>
      </c>
      <c r="E1300" t="inlineStr">
        <is>
          <t>MAT-DAMPER-BAC-DONG-D10</t>
        </is>
      </c>
      <c r="F1300" t="inlineStr">
        <is>
          <t>Đôi</t>
        </is>
      </c>
      <c r="G1300" s="4" t="n">
        <v>2</v>
      </c>
      <c r="H1300" s="2">
        <f>XLOOKUP(B1300, '00_TONG_HOP_BAO_GIA'!B:B, '00_TONG_HOP_BAO_GIA'!G:G, 1)</f>
        <v/>
      </c>
      <c r="I1300" s="5">
        <f>G1300*H1300</f>
        <v/>
      </c>
      <c r="J1300" s="2">
        <f>XLOOKUP(E1300, '06_BANG_GIA_VAT_TU_AP_DUNG'!B:B, '06_BANG_GIA_VAT_TU_AP_DUNG'!C:C, "LỖI_MÃ_VT")</f>
        <v/>
      </c>
      <c r="K1300" s="2">
        <f>I1300*J1300</f>
        <v/>
      </c>
      <c r="L1300" t="inlineStr">
        <is>
          <t>2 đôi bạc đỡ 2 bên thân</t>
        </is>
      </c>
    </row>
    <row r="1301">
      <c r="A1301" t="inlineStr">
        <is>
          <t>SW-DAMPER-322-GEAR</t>
        </is>
      </c>
      <c r="B1301" t="inlineStr">
        <is>
          <t>SW-DAMPER-322</t>
        </is>
      </c>
      <c r="C1301" t="inlineStr">
        <is>
          <t>Bánh răng van nhôm</t>
        </is>
      </c>
      <c r="D1301" t="inlineStr">
        <is>
          <t>PHỤ_KIỆN_VAN</t>
        </is>
      </c>
      <c r="E1301" t="inlineStr">
        <is>
          <t>MAT-DAMPER-BANH-RANG-VAN-NHOM</t>
        </is>
      </c>
      <c r="F1301" t="inlineStr">
        <is>
          <t>Bộ</t>
        </is>
      </c>
      <c r="G1301" s="4" t="n">
        <v>1</v>
      </c>
      <c r="H1301" s="2">
        <f>XLOOKUP(B1301, '00_TONG_HOP_BAO_GIA'!B:B, '00_TONG_HOP_BAO_GIA'!G:G, 1)</f>
        <v/>
      </c>
      <c r="I1301" s="5">
        <f>G1301*H1301</f>
        <v/>
      </c>
      <c r="J1301" s="2">
        <f>XLOOKUP(E1301, '06_BANG_GIA_VAT_TU_AP_DUNG'!B:B, '06_BANG_GIA_VAT_TU_AP_DUNG'!C:C, "LỖI_MÃ_VT")</f>
        <v/>
      </c>
      <c r="K1301" s="2">
        <f>I1301*J1301</f>
        <v/>
      </c>
      <c r="L1301" t="inlineStr">
        <is>
          <t>Cơ cấu liên động bánh răng van</t>
        </is>
      </c>
    </row>
    <row r="1302">
      <c r="A1302" t="inlineStr">
        <is>
          <t>SW-DAMPER-322-HANDLE</t>
        </is>
      </c>
      <c r="B1302" t="inlineStr">
        <is>
          <t>SW-DAMPER-322</t>
        </is>
      </c>
      <c r="C1302" t="inlineStr">
        <is>
          <t>Tay gạt nhỏ</t>
        </is>
      </c>
      <c r="D1302" t="inlineStr">
        <is>
          <t>PHỤ_KIỆN_VAN</t>
        </is>
      </c>
      <c r="E1302" t="inlineStr">
        <is>
          <t>MAT-DAMPER-TAY-GAT-NHO</t>
        </is>
      </c>
      <c r="F1302" t="inlineStr">
        <is>
          <t>Bộ</t>
        </is>
      </c>
      <c r="G1302" s="4" t="n">
        <v>1</v>
      </c>
      <c r="H1302" s="2">
        <f>XLOOKUP(B1302, '00_TONG_HOP_BAO_GIA'!B:B, '00_TONG_HOP_BAO_GIA'!G:G, 1)</f>
        <v/>
      </c>
      <c r="I1302" s="5">
        <f>G1302*H1302</f>
        <v/>
      </c>
      <c r="J1302" s="2">
        <f>XLOOKUP(E1302, '06_BANG_GIA_VAT_TU_AP_DUNG'!B:B, '06_BANG_GIA_VAT_TU_AP_DUNG'!C:C, "LỖI_MÃ_VT")</f>
        <v/>
      </c>
      <c r="K1302" s="2">
        <f>I1302*J1302</f>
        <v/>
      </c>
      <c r="L1302" t="inlineStr">
        <is>
          <t>Tay gạt khóa vị trí nan (S=0.12m2)</t>
        </is>
      </c>
    </row>
    <row r="1303">
      <c r="A1303" t="inlineStr">
        <is>
          <t>SW-DAMPER-323-BODY</t>
        </is>
      </c>
      <c r="B1303" t="inlineStr">
        <is>
          <t>SW-DAMPER-323</t>
        </is>
      </c>
      <c r="C1303" t="inlineStr">
        <is>
          <t>Thân vỏ van VCD bích TDF (0.75mm)</t>
        </is>
      </c>
      <c r="D1303" t="inlineStr">
        <is>
          <t>TÔN_CUỘN_MẠ_KẼM</t>
        </is>
      </c>
      <c r="E1303" t="inlineStr">
        <is>
          <t>MAT-STEEL-PN-0.75</t>
        </is>
      </c>
      <c r="F1303" t="inlineStr">
        <is>
          <t>kg</t>
        </is>
      </c>
      <c r="G1303" s="4" t="n">
        <v>2.492532</v>
      </c>
      <c r="H1303" s="2">
        <f>XLOOKUP(B1303, '00_TONG_HOP_BAO_GIA'!B:B, '00_TONG_HOP_BAO_GIA'!G:G, 1)</f>
        <v/>
      </c>
      <c r="I1303" s="5">
        <f>G1303*H1303</f>
        <v/>
      </c>
      <c r="J1303" s="2">
        <f>XLOOKUP(E1303, '06_BANG_GIA_VAT_TU_AP_DUNG'!B:B, '06_BANG_GIA_VAT_TU_AP_DUNG'!C:C, "LỖI_MÃ_VT")</f>
        <v/>
      </c>
      <c r="K1303" s="2">
        <f>I1303*J1303</f>
        <v/>
      </c>
      <c r="L1303" t="inlineStr">
        <is>
          <t>Kích thước vỏ 450.0x250.0x210mm</t>
        </is>
      </c>
    </row>
    <row r="1304">
      <c r="A1304" t="inlineStr">
        <is>
          <t>SW-DAMPER-323-BLADE</t>
        </is>
      </c>
      <c r="B1304" t="inlineStr">
        <is>
          <t>SW-DAMPER-323</t>
        </is>
      </c>
      <c r="C1304" t="inlineStr">
        <is>
          <t>Lá cánh van (2 cánh overlap)</t>
        </is>
      </c>
      <c r="D1304" t="inlineStr">
        <is>
          <t>TÔN_CUỘN_MẠ_KẼM</t>
        </is>
      </c>
      <c r="E1304" t="inlineStr">
        <is>
          <t>MAT-STEEL-PN-0.75</t>
        </is>
      </c>
      <c r="F1304" t="inlineStr">
        <is>
          <t>kg</t>
        </is>
      </c>
      <c r="G1304" s="4" t="n">
        <v>0.82978425</v>
      </c>
      <c r="H1304" s="2">
        <f>XLOOKUP(B1304, '00_TONG_HOP_BAO_GIA'!B:B, '00_TONG_HOP_BAO_GIA'!G:G, 1)</f>
        <v/>
      </c>
      <c r="I1304" s="5">
        <f>G1304*H1304</f>
        <v/>
      </c>
      <c r="J1304" s="2">
        <f>XLOOKUP(E1304, '06_BANG_GIA_VAT_TU_AP_DUNG'!B:B, '06_BANG_GIA_VAT_TU_AP_DUNG'!C:C, "LỖI_MÃ_VT")</f>
        <v/>
      </c>
      <c r="K1304" s="2">
        <f>I1304*J1304</f>
        <v/>
      </c>
      <c r="L1304" t="inlineStr">
        <is>
          <t>2 cánh cao 145mm</t>
        </is>
      </c>
    </row>
    <row r="1305">
      <c r="A1305" t="inlineStr">
        <is>
          <t>SW-DAMPER-323-AXLE</t>
        </is>
      </c>
      <c r="B1305" t="inlineStr">
        <is>
          <t>SW-DAMPER-323</t>
        </is>
      </c>
      <c r="C1305" t="inlineStr">
        <is>
          <t>Trục Sus 201 D10</t>
        </is>
      </c>
      <c r="D1305" t="inlineStr">
        <is>
          <t>PHỤ_KIỆN_VAN</t>
        </is>
      </c>
      <c r="E1305" t="inlineStr">
        <is>
          <t>MAT-DAMPER-TRUC-SUS-201-D10</t>
        </is>
      </c>
      <c r="F1305" t="inlineStr">
        <is>
          <t>m</t>
        </is>
      </c>
      <c r="G1305" s="4" t="n">
        <v>1.02</v>
      </c>
      <c r="H1305" s="2">
        <f>XLOOKUP(B1305, '00_TONG_HOP_BAO_GIA'!B:B, '00_TONG_HOP_BAO_GIA'!G:G, 1)</f>
        <v/>
      </c>
      <c r="I1305" s="5">
        <f>G1305*H1305</f>
        <v/>
      </c>
      <c r="J1305" s="2">
        <f>XLOOKUP(E1305, '06_BANG_GIA_VAT_TU_AP_DUNG'!B:B, '06_BANG_GIA_VAT_TU_AP_DUNG'!C:C, "LỖI_MÃ_VT")</f>
        <v/>
      </c>
      <c r="K1305" s="2">
        <f>I1305*J1305</f>
        <v/>
      </c>
      <c r="L1305" t="inlineStr">
        <is>
          <t>2 trục dài 510mm</t>
        </is>
      </c>
    </row>
    <row r="1306">
      <c r="A1306" t="inlineStr">
        <is>
          <t>SW-DAMPER-323-BEARING</t>
        </is>
      </c>
      <c r="B1306" t="inlineStr">
        <is>
          <t>SW-DAMPER-323</t>
        </is>
      </c>
      <c r="C1306" t="inlineStr">
        <is>
          <t>Bạc đồng D10</t>
        </is>
      </c>
      <c r="D1306" t="inlineStr">
        <is>
          <t>PHỤ_KIỆN_VAN</t>
        </is>
      </c>
      <c r="E1306" t="inlineStr">
        <is>
          <t>MAT-DAMPER-BAC-DONG-D10</t>
        </is>
      </c>
      <c r="F1306" t="inlineStr">
        <is>
          <t>Đôi</t>
        </is>
      </c>
      <c r="G1306" s="4" t="n">
        <v>2</v>
      </c>
      <c r="H1306" s="2">
        <f>XLOOKUP(B1306, '00_TONG_HOP_BAO_GIA'!B:B, '00_TONG_HOP_BAO_GIA'!G:G, 1)</f>
        <v/>
      </c>
      <c r="I1306" s="5">
        <f>G1306*H1306</f>
        <v/>
      </c>
      <c r="J1306" s="2">
        <f>XLOOKUP(E1306, '06_BANG_GIA_VAT_TU_AP_DUNG'!B:B, '06_BANG_GIA_VAT_TU_AP_DUNG'!C:C, "LỖI_MÃ_VT")</f>
        <v/>
      </c>
      <c r="K1306" s="2">
        <f>I1306*J1306</f>
        <v/>
      </c>
      <c r="L1306" t="inlineStr">
        <is>
          <t>2 đôi bạc đỡ 2 bên thân</t>
        </is>
      </c>
    </row>
    <row r="1307">
      <c r="A1307" t="inlineStr">
        <is>
          <t>SW-DAMPER-323-GEAR</t>
        </is>
      </c>
      <c r="B1307" t="inlineStr">
        <is>
          <t>SW-DAMPER-323</t>
        </is>
      </c>
      <c r="C1307" t="inlineStr">
        <is>
          <t>Bánh răng van nhôm</t>
        </is>
      </c>
      <c r="D1307" t="inlineStr">
        <is>
          <t>PHỤ_KIỆN_VAN</t>
        </is>
      </c>
      <c r="E1307" t="inlineStr">
        <is>
          <t>MAT-DAMPER-BANH-RANG-VAN-NHOM</t>
        </is>
      </c>
      <c r="F1307" t="inlineStr">
        <is>
          <t>Bộ</t>
        </is>
      </c>
      <c r="G1307" s="4" t="n">
        <v>1</v>
      </c>
      <c r="H1307" s="2">
        <f>XLOOKUP(B1307, '00_TONG_HOP_BAO_GIA'!B:B, '00_TONG_HOP_BAO_GIA'!G:G, 1)</f>
        <v/>
      </c>
      <c r="I1307" s="5">
        <f>G1307*H1307</f>
        <v/>
      </c>
      <c r="J1307" s="2">
        <f>XLOOKUP(E1307, '06_BANG_GIA_VAT_TU_AP_DUNG'!B:B, '06_BANG_GIA_VAT_TU_AP_DUNG'!C:C, "LỖI_MÃ_VT")</f>
        <v/>
      </c>
      <c r="K1307" s="2">
        <f>I1307*J1307</f>
        <v/>
      </c>
      <c r="L1307" t="inlineStr">
        <is>
          <t>Cơ cấu liên động bánh răng van</t>
        </is>
      </c>
    </row>
    <row r="1308">
      <c r="A1308" t="inlineStr">
        <is>
          <t>SW-DAMPER-323-HANDLE</t>
        </is>
      </c>
      <c r="B1308" t="inlineStr">
        <is>
          <t>SW-DAMPER-323</t>
        </is>
      </c>
      <c r="C1308" t="inlineStr">
        <is>
          <t>Tay gạt nhỏ</t>
        </is>
      </c>
      <c r="D1308" t="inlineStr">
        <is>
          <t>PHỤ_KIỆN_VAN</t>
        </is>
      </c>
      <c r="E1308" t="inlineStr">
        <is>
          <t>MAT-DAMPER-TAY-GAT-NHO</t>
        </is>
      </c>
      <c r="F1308" t="inlineStr">
        <is>
          <t>Bộ</t>
        </is>
      </c>
      <c r="G1308" s="4" t="n">
        <v>1</v>
      </c>
      <c r="H1308" s="2">
        <f>XLOOKUP(B1308, '00_TONG_HOP_BAO_GIA'!B:B, '00_TONG_HOP_BAO_GIA'!G:G, 1)</f>
        <v/>
      </c>
      <c r="I1308" s="5">
        <f>G1308*H1308</f>
        <v/>
      </c>
      <c r="J1308" s="2">
        <f>XLOOKUP(E1308, '06_BANG_GIA_VAT_TU_AP_DUNG'!B:B, '06_BANG_GIA_VAT_TU_AP_DUNG'!C:C, "LỖI_MÃ_VT")</f>
        <v/>
      </c>
      <c r="K1308" s="2">
        <f>I1308*J1308</f>
        <v/>
      </c>
      <c r="L1308" t="inlineStr">
        <is>
          <t>Tay gạt khóa vị trí nan (S=0.11m2)</t>
        </is>
      </c>
    </row>
    <row r="1309">
      <c r="A1309" t="inlineStr">
        <is>
          <t>SW-DAMPER-324-BODY</t>
        </is>
      </c>
      <c r="B1309" t="inlineStr">
        <is>
          <t>SW-DAMPER-324</t>
        </is>
      </c>
      <c r="C1309" t="inlineStr">
        <is>
          <t>Thân vỏ van VCD bích TDF (0.75mm)</t>
        </is>
      </c>
      <c r="D1309" t="inlineStr">
        <is>
          <t>TÔN_CUỘN_MẠ_KẼM</t>
        </is>
      </c>
      <c r="E1309" t="inlineStr">
        <is>
          <t>MAT-STEEL-PN-0.75</t>
        </is>
      </c>
      <c r="F1309" t="inlineStr">
        <is>
          <t>kg</t>
        </is>
      </c>
      <c r="G1309" s="4" t="n">
        <v>2.838717</v>
      </c>
      <c r="H1309" s="2">
        <f>XLOOKUP(B1309, '00_TONG_HOP_BAO_GIA'!B:B, '00_TONG_HOP_BAO_GIA'!G:G, 1)</f>
        <v/>
      </c>
      <c r="I1309" s="5">
        <f>G1309*H1309</f>
        <v/>
      </c>
      <c r="J1309" s="2">
        <f>XLOOKUP(E1309, '06_BANG_GIA_VAT_TU_AP_DUNG'!B:B, '06_BANG_GIA_VAT_TU_AP_DUNG'!C:C, "LỖI_MÃ_VT")</f>
        <v/>
      </c>
      <c r="K1309" s="2">
        <f>I1309*J1309</f>
        <v/>
      </c>
      <c r="L1309" t="inlineStr">
        <is>
          <t>Kích thước vỏ 500.0x300.0x210mm</t>
        </is>
      </c>
    </row>
    <row r="1310">
      <c r="A1310" t="inlineStr">
        <is>
          <t>SW-DAMPER-324-BLADE</t>
        </is>
      </c>
      <c r="B1310" t="inlineStr">
        <is>
          <t>SW-DAMPER-324</t>
        </is>
      </c>
      <c r="C1310" t="inlineStr">
        <is>
          <t>Lá cánh van (2 cánh overlap)</t>
        </is>
      </c>
      <c r="D1310" t="inlineStr">
        <is>
          <t>TÔN_CUỘN_MẠ_KẼM</t>
        </is>
      </c>
      <c r="E1310" t="inlineStr">
        <is>
          <t>MAT-STEEL-PN-0.75</t>
        </is>
      </c>
      <c r="F1310" t="inlineStr">
        <is>
          <t>kg</t>
        </is>
      </c>
      <c r="G1310" s="4" t="n">
        <v>1.080945</v>
      </c>
      <c r="H1310" s="2">
        <f>XLOOKUP(B1310, '00_TONG_HOP_BAO_GIA'!B:B, '00_TONG_HOP_BAO_GIA'!G:G, 1)</f>
        <v/>
      </c>
      <c r="I1310" s="5">
        <f>G1310*H1310</f>
        <v/>
      </c>
      <c r="J1310" s="2">
        <f>XLOOKUP(E1310, '06_BANG_GIA_VAT_TU_AP_DUNG'!B:B, '06_BANG_GIA_VAT_TU_AP_DUNG'!C:C, "LỖI_MÃ_VT")</f>
        <v/>
      </c>
      <c r="K1310" s="2">
        <f>I1310*J1310</f>
        <v/>
      </c>
      <c r="L1310" t="inlineStr">
        <is>
          <t>2 cánh cao 170mm</t>
        </is>
      </c>
    </row>
    <row r="1311">
      <c r="A1311" t="inlineStr">
        <is>
          <t>SW-DAMPER-324-AXLE</t>
        </is>
      </c>
      <c r="B1311" t="inlineStr">
        <is>
          <t>SW-DAMPER-324</t>
        </is>
      </c>
      <c r="C1311" t="inlineStr">
        <is>
          <t>Trục Sus 201 D10</t>
        </is>
      </c>
      <c r="D1311" t="inlineStr">
        <is>
          <t>PHỤ_KIỆN_VAN</t>
        </is>
      </c>
      <c r="E1311" t="inlineStr">
        <is>
          <t>MAT-DAMPER-TRUC-SUS-201-D10</t>
        </is>
      </c>
      <c r="F1311" t="inlineStr">
        <is>
          <t>m</t>
        </is>
      </c>
      <c r="G1311" s="4" t="n">
        <v>1.12</v>
      </c>
      <c r="H1311" s="2">
        <f>XLOOKUP(B1311, '00_TONG_HOP_BAO_GIA'!B:B, '00_TONG_HOP_BAO_GIA'!G:G, 1)</f>
        <v/>
      </c>
      <c r="I1311" s="5">
        <f>G1311*H1311</f>
        <v/>
      </c>
      <c r="J1311" s="2">
        <f>XLOOKUP(E1311, '06_BANG_GIA_VAT_TU_AP_DUNG'!B:B, '06_BANG_GIA_VAT_TU_AP_DUNG'!C:C, "LỖI_MÃ_VT")</f>
        <v/>
      </c>
      <c r="K1311" s="2">
        <f>I1311*J1311</f>
        <v/>
      </c>
      <c r="L1311" t="inlineStr">
        <is>
          <t>2 trục dài 560mm</t>
        </is>
      </c>
    </row>
    <row r="1312">
      <c r="A1312" t="inlineStr">
        <is>
          <t>SW-DAMPER-324-BEARING</t>
        </is>
      </c>
      <c r="B1312" t="inlineStr">
        <is>
          <t>SW-DAMPER-324</t>
        </is>
      </c>
      <c r="C1312" t="inlineStr">
        <is>
          <t>Bạc đồng D10</t>
        </is>
      </c>
      <c r="D1312" t="inlineStr">
        <is>
          <t>PHỤ_KIỆN_VAN</t>
        </is>
      </c>
      <c r="E1312" t="inlineStr">
        <is>
          <t>MAT-DAMPER-BAC-DONG-D10</t>
        </is>
      </c>
      <c r="F1312" t="inlineStr">
        <is>
          <t>Đôi</t>
        </is>
      </c>
      <c r="G1312" s="4" t="n">
        <v>2</v>
      </c>
      <c r="H1312" s="2">
        <f>XLOOKUP(B1312, '00_TONG_HOP_BAO_GIA'!B:B, '00_TONG_HOP_BAO_GIA'!G:G, 1)</f>
        <v/>
      </c>
      <c r="I1312" s="5">
        <f>G1312*H1312</f>
        <v/>
      </c>
      <c r="J1312" s="2">
        <f>XLOOKUP(E1312, '06_BANG_GIA_VAT_TU_AP_DUNG'!B:B, '06_BANG_GIA_VAT_TU_AP_DUNG'!C:C, "LỖI_MÃ_VT")</f>
        <v/>
      </c>
      <c r="K1312" s="2">
        <f>I1312*J1312</f>
        <v/>
      </c>
      <c r="L1312" t="inlineStr">
        <is>
          <t>2 đôi bạc đỡ 2 bên thân</t>
        </is>
      </c>
    </row>
    <row r="1313">
      <c r="A1313" t="inlineStr">
        <is>
          <t>SW-DAMPER-324-GEAR</t>
        </is>
      </c>
      <c r="B1313" t="inlineStr">
        <is>
          <t>SW-DAMPER-324</t>
        </is>
      </c>
      <c r="C1313" t="inlineStr">
        <is>
          <t>Bánh răng van nhôm</t>
        </is>
      </c>
      <c r="D1313" t="inlineStr">
        <is>
          <t>PHỤ_KIỆN_VAN</t>
        </is>
      </c>
      <c r="E1313" t="inlineStr">
        <is>
          <t>MAT-DAMPER-BANH-RANG-VAN-NHOM</t>
        </is>
      </c>
      <c r="F1313" t="inlineStr">
        <is>
          <t>Bộ</t>
        </is>
      </c>
      <c r="G1313" s="4" t="n">
        <v>1</v>
      </c>
      <c r="H1313" s="2">
        <f>XLOOKUP(B1313, '00_TONG_HOP_BAO_GIA'!B:B, '00_TONG_HOP_BAO_GIA'!G:G, 1)</f>
        <v/>
      </c>
      <c r="I1313" s="5">
        <f>G1313*H1313</f>
        <v/>
      </c>
      <c r="J1313" s="2">
        <f>XLOOKUP(E1313, '06_BANG_GIA_VAT_TU_AP_DUNG'!B:B, '06_BANG_GIA_VAT_TU_AP_DUNG'!C:C, "LỖI_MÃ_VT")</f>
        <v/>
      </c>
      <c r="K1313" s="2">
        <f>I1313*J1313</f>
        <v/>
      </c>
      <c r="L1313" t="inlineStr">
        <is>
          <t>Cơ cấu liên động bánh răng van</t>
        </is>
      </c>
    </row>
    <row r="1314">
      <c r="A1314" t="inlineStr">
        <is>
          <t>SW-DAMPER-324-HANDLE</t>
        </is>
      </c>
      <c r="B1314" t="inlineStr">
        <is>
          <t>SW-DAMPER-324</t>
        </is>
      </c>
      <c r="C1314" t="inlineStr">
        <is>
          <t>Tay gạt nhỏ</t>
        </is>
      </c>
      <c r="D1314" t="inlineStr">
        <is>
          <t>PHỤ_KIỆN_VAN</t>
        </is>
      </c>
      <c r="E1314" t="inlineStr">
        <is>
          <t>MAT-DAMPER-TAY-GAT-NHO</t>
        </is>
      </c>
      <c r="F1314" t="inlineStr">
        <is>
          <t>Bộ</t>
        </is>
      </c>
      <c r="G1314" s="4" t="n">
        <v>1</v>
      </c>
      <c r="H1314" s="2">
        <f>XLOOKUP(B1314, '00_TONG_HOP_BAO_GIA'!B:B, '00_TONG_HOP_BAO_GIA'!G:G, 1)</f>
        <v/>
      </c>
      <c r="I1314" s="5">
        <f>G1314*H1314</f>
        <v/>
      </c>
      <c r="J1314" s="2">
        <f>XLOOKUP(E1314, '06_BANG_GIA_VAT_TU_AP_DUNG'!B:B, '06_BANG_GIA_VAT_TU_AP_DUNG'!C:C, "LỖI_MÃ_VT")</f>
        <v/>
      </c>
      <c r="K1314" s="2">
        <f>I1314*J1314</f>
        <v/>
      </c>
      <c r="L1314" t="inlineStr">
        <is>
          <t>Tay gạt khóa vị trí nan (S=0.15m2)</t>
        </is>
      </c>
    </row>
    <row r="1315">
      <c r="A1315" t="inlineStr">
        <is>
          <t>SW-DAMPER-325-BODY</t>
        </is>
      </c>
      <c r="B1315" t="inlineStr">
        <is>
          <t>SW-DAMPER-325</t>
        </is>
      </c>
      <c r="C1315" t="inlineStr">
        <is>
          <t>Thân vỏ van VCD bích TDF (0.75mm)</t>
        </is>
      </c>
      <c r="D1315" t="inlineStr">
        <is>
          <t>TÔN_CUỘN_MẠ_KẼM</t>
        </is>
      </c>
      <c r="E1315" t="inlineStr">
        <is>
          <t>MAT-STEEL-PN-0.75</t>
        </is>
      </c>
      <c r="F1315" t="inlineStr">
        <is>
          <t>kg</t>
        </is>
      </c>
      <c r="G1315" s="4" t="n">
        <v>2.6656245</v>
      </c>
      <c r="H1315" s="2">
        <f>XLOOKUP(B1315, '00_TONG_HOP_BAO_GIA'!B:B, '00_TONG_HOP_BAO_GIA'!G:G, 1)</f>
        <v/>
      </c>
      <c r="I1315" s="5">
        <f>G1315*H1315</f>
        <v/>
      </c>
      <c r="J1315" s="2">
        <f>XLOOKUP(E1315, '06_BANG_GIA_VAT_TU_AP_DUNG'!B:B, '06_BANG_GIA_VAT_TU_AP_DUNG'!C:C, "LỖI_MÃ_VT")</f>
        <v/>
      </c>
      <c r="K1315" s="2">
        <f>I1315*J1315</f>
        <v/>
      </c>
      <c r="L1315" t="inlineStr">
        <is>
          <t>Kích thước vỏ 500.0x250.0x210mm</t>
        </is>
      </c>
    </row>
    <row r="1316">
      <c r="A1316" t="inlineStr">
        <is>
          <t>SW-DAMPER-325-BLADE</t>
        </is>
      </c>
      <c r="B1316" t="inlineStr">
        <is>
          <t>SW-DAMPER-325</t>
        </is>
      </c>
      <c r="C1316" t="inlineStr">
        <is>
          <t>Lá cánh van (2 cánh overlap)</t>
        </is>
      </c>
      <c r="D1316" t="inlineStr">
        <is>
          <t>TÔN_CUỘN_MẠ_KẼM</t>
        </is>
      </c>
      <c r="E1316" t="inlineStr">
        <is>
          <t>MAT-STEEL-PN-0.75</t>
        </is>
      </c>
      <c r="F1316" t="inlineStr">
        <is>
          <t>kg</t>
        </is>
      </c>
      <c r="G1316" s="4" t="n">
        <v>0.9219824999999998</v>
      </c>
      <c r="H1316" s="2">
        <f>XLOOKUP(B1316, '00_TONG_HOP_BAO_GIA'!B:B, '00_TONG_HOP_BAO_GIA'!G:G, 1)</f>
        <v/>
      </c>
      <c r="I1316" s="5">
        <f>G1316*H1316</f>
        <v/>
      </c>
      <c r="J1316" s="2">
        <f>XLOOKUP(E1316, '06_BANG_GIA_VAT_TU_AP_DUNG'!B:B, '06_BANG_GIA_VAT_TU_AP_DUNG'!C:C, "LỖI_MÃ_VT")</f>
        <v/>
      </c>
      <c r="K1316" s="2">
        <f>I1316*J1316</f>
        <v/>
      </c>
      <c r="L1316" t="inlineStr">
        <is>
          <t>2 cánh cao 145mm</t>
        </is>
      </c>
    </row>
    <row r="1317">
      <c r="A1317" t="inlineStr">
        <is>
          <t>SW-DAMPER-325-AXLE</t>
        </is>
      </c>
      <c r="B1317" t="inlineStr">
        <is>
          <t>SW-DAMPER-325</t>
        </is>
      </c>
      <c r="C1317" t="inlineStr">
        <is>
          <t>Trục Sus 201 D10</t>
        </is>
      </c>
      <c r="D1317" t="inlineStr">
        <is>
          <t>PHỤ_KIỆN_VAN</t>
        </is>
      </c>
      <c r="E1317" t="inlineStr">
        <is>
          <t>MAT-DAMPER-TRUC-SUS-201-D10</t>
        </is>
      </c>
      <c r="F1317" t="inlineStr">
        <is>
          <t>m</t>
        </is>
      </c>
      <c r="G1317" s="4" t="n">
        <v>1.12</v>
      </c>
      <c r="H1317" s="2">
        <f>XLOOKUP(B1317, '00_TONG_HOP_BAO_GIA'!B:B, '00_TONG_HOP_BAO_GIA'!G:G, 1)</f>
        <v/>
      </c>
      <c r="I1317" s="5">
        <f>G1317*H1317</f>
        <v/>
      </c>
      <c r="J1317" s="2">
        <f>XLOOKUP(E1317, '06_BANG_GIA_VAT_TU_AP_DUNG'!B:B, '06_BANG_GIA_VAT_TU_AP_DUNG'!C:C, "LỖI_MÃ_VT")</f>
        <v/>
      </c>
      <c r="K1317" s="2">
        <f>I1317*J1317</f>
        <v/>
      </c>
      <c r="L1317" t="inlineStr">
        <is>
          <t>2 trục dài 560mm</t>
        </is>
      </c>
    </row>
    <row r="1318">
      <c r="A1318" t="inlineStr">
        <is>
          <t>SW-DAMPER-325-BEARING</t>
        </is>
      </c>
      <c r="B1318" t="inlineStr">
        <is>
          <t>SW-DAMPER-325</t>
        </is>
      </c>
      <c r="C1318" t="inlineStr">
        <is>
          <t>Bạc đồng D10</t>
        </is>
      </c>
      <c r="D1318" t="inlineStr">
        <is>
          <t>PHỤ_KIỆN_VAN</t>
        </is>
      </c>
      <c r="E1318" t="inlineStr">
        <is>
          <t>MAT-DAMPER-BAC-DONG-D10</t>
        </is>
      </c>
      <c r="F1318" t="inlineStr">
        <is>
          <t>Đôi</t>
        </is>
      </c>
      <c r="G1318" s="4" t="n">
        <v>2</v>
      </c>
      <c r="H1318" s="2">
        <f>XLOOKUP(B1318, '00_TONG_HOP_BAO_GIA'!B:B, '00_TONG_HOP_BAO_GIA'!G:G, 1)</f>
        <v/>
      </c>
      <c r="I1318" s="5">
        <f>G1318*H1318</f>
        <v/>
      </c>
      <c r="J1318" s="2">
        <f>XLOOKUP(E1318, '06_BANG_GIA_VAT_TU_AP_DUNG'!B:B, '06_BANG_GIA_VAT_TU_AP_DUNG'!C:C, "LỖI_MÃ_VT")</f>
        <v/>
      </c>
      <c r="K1318" s="2">
        <f>I1318*J1318</f>
        <v/>
      </c>
      <c r="L1318" t="inlineStr">
        <is>
          <t>2 đôi bạc đỡ 2 bên thân</t>
        </is>
      </c>
    </row>
    <row r="1319">
      <c r="A1319" t="inlineStr">
        <is>
          <t>SW-DAMPER-325-GEAR</t>
        </is>
      </c>
      <c r="B1319" t="inlineStr">
        <is>
          <t>SW-DAMPER-325</t>
        </is>
      </c>
      <c r="C1319" t="inlineStr">
        <is>
          <t>Bánh răng van nhôm</t>
        </is>
      </c>
      <c r="D1319" t="inlineStr">
        <is>
          <t>PHỤ_KIỆN_VAN</t>
        </is>
      </c>
      <c r="E1319" t="inlineStr">
        <is>
          <t>MAT-DAMPER-BANH-RANG-VAN-NHOM</t>
        </is>
      </c>
      <c r="F1319" t="inlineStr">
        <is>
          <t>Bộ</t>
        </is>
      </c>
      <c r="G1319" s="4" t="n">
        <v>1</v>
      </c>
      <c r="H1319" s="2">
        <f>XLOOKUP(B1319, '00_TONG_HOP_BAO_GIA'!B:B, '00_TONG_HOP_BAO_GIA'!G:G, 1)</f>
        <v/>
      </c>
      <c r="I1319" s="5">
        <f>G1319*H1319</f>
        <v/>
      </c>
      <c r="J1319" s="2">
        <f>XLOOKUP(E1319, '06_BANG_GIA_VAT_TU_AP_DUNG'!B:B, '06_BANG_GIA_VAT_TU_AP_DUNG'!C:C, "LỖI_MÃ_VT")</f>
        <v/>
      </c>
      <c r="K1319" s="2">
        <f>I1319*J1319</f>
        <v/>
      </c>
      <c r="L1319" t="inlineStr">
        <is>
          <t>Cơ cấu liên động bánh răng van</t>
        </is>
      </c>
    </row>
    <row r="1320">
      <c r="A1320" t="inlineStr">
        <is>
          <t>SW-DAMPER-325-HANDLE</t>
        </is>
      </c>
      <c r="B1320" t="inlineStr">
        <is>
          <t>SW-DAMPER-325</t>
        </is>
      </c>
      <c r="C1320" t="inlineStr">
        <is>
          <t>Tay gạt nhỏ</t>
        </is>
      </c>
      <c r="D1320" t="inlineStr">
        <is>
          <t>PHỤ_KIỆN_VAN</t>
        </is>
      </c>
      <c r="E1320" t="inlineStr">
        <is>
          <t>MAT-DAMPER-TAY-GAT-NHO</t>
        </is>
      </c>
      <c r="F1320" t="inlineStr">
        <is>
          <t>Bộ</t>
        </is>
      </c>
      <c r="G1320" s="4" t="n">
        <v>1</v>
      </c>
      <c r="H1320" s="2">
        <f>XLOOKUP(B1320, '00_TONG_HOP_BAO_GIA'!B:B, '00_TONG_HOP_BAO_GIA'!G:G, 1)</f>
        <v/>
      </c>
      <c r="I1320" s="5">
        <f>G1320*H1320</f>
        <v/>
      </c>
      <c r="J1320" s="2">
        <f>XLOOKUP(E1320, '06_BANG_GIA_VAT_TU_AP_DUNG'!B:B, '06_BANG_GIA_VAT_TU_AP_DUNG'!C:C, "LỖI_MÃ_VT")</f>
        <v/>
      </c>
      <c r="K1320" s="2">
        <f>I1320*J1320</f>
        <v/>
      </c>
      <c r="L1320" t="inlineStr">
        <is>
          <t>Tay gạt khóa vị trí nan (S=0.12m2)</t>
        </is>
      </c>
    </row>
    <row r="1321">
      <c r="A1321" t="inlineStr">
        <is>
          <t>SW-DAMPER-326-BODY</t>
        </is>
      </c>
      <c r="B1321" t="inlineStr">
        <is>
          <t>SW-DAMPER-326</t>
        </is>
      </c>
      <c r="C1321" t="inlineStr">
        <is>
          <t>Thân vỏ van VCD bích TDF (0.75mm)</t>
        </is>
      </c>
      <c r="D1321" t="inlineStr">
        <is>
          <t>TÔN_CUỘN_MẠ_KẼM</t>
        </is>
      </c>
      <c r="E1321" t="inlineStr">
        <is>
          <t>MAT-STEEL-PN-0.75</t>
        </is>
      </c>
      <c r="F1321" t="inlineStr">
        <is>
          <t>kg</t>
        </is>
      </c>
      <c r="G1321" s="4" t="n">
        <v>2.838717</v>
      </c>
      <c r="H1321" s="2">
        <f>XLOOKUP(B1321, '00_TONG_HOP_BAO_GIA'!B:B, '00_TONG_HOP_BAO_GIA'!G:G, 1)</f>
        <v/>
      </c>
      <c r="I1321" s="5">
        <f>G1321*H1321</f>
        <v/>
      </c>
      <c r="J1321" s="2">
        <f>XLOOKUP(E1321, '06_BANG_GIA_VAT_TU_AP_DUNG'!B:B, '06_BANG_GIA_VAT_TU_AP_DUNG'!C:C, "LỖI_MÃ_VT")</f>
        <v/>
      </c>
      <c r="K1321" s="2">
        <f>I1321*J1321</f>
        <v/>
      </c>
      <c r="L1321" t="inlineStr">
        <is>
          <t>Kích thước vỏ 550.0x250.0x210mm</t>
        </is>
      </c>
    </row>
    <row r="1322">
      <c r="A1322" t="inlineStr">
        <is>
          <t>SW-DAMPER-326-BLADE</t>
        </is>
      </c>
      <c r="B1322" t="inlineStr">
        <is>
          <t>SW-DAMPER-326</t>
        </is>
      </c>
      <c r="C1322" t="inlineStr">
        <is>
          <t>Lá cánh van (2 cánh overlap)</t>
        </is>
      </c>
      <c r="D1322" t="inlineStr">
        <is>
          <t>TÔN_CUỘN_MẠ_KẼM</t>
        </is>
      </c>
      <c r="E1322" t="inlineStr">
        <is>
          <t>MAT-STEEL-PN-0.75</t>
        </is>
      </c>
      <c r="F1322" t="inlineStr">
        <is>
          <t>kg</t>
        </is>
      </c>
      <c r="G1322" s="4" t="n">
        <v>1.01418075</v>
      </c>
      <c r="H1322" s="2">
        <f>XLOOKUP(B1322, '00_TONG_HOP_BAO_GIA'!B:B, '00_TONG_HOP_BAO_GIA'!G:G, 1)</f>
        <v/>
      </c>
      <c r="I1322" s="5">
        <f>G1322*H1322</f>
        <v/>
      </c>
      <c r="J1322" s="2">
        <f>XLOOKUP(E1322, '06_BANG_GIA_VAT_TU_AP_DUNG'!B:B, '06_BANG_GIA_VAT_TU_AP_DUNG'!C:C, "LỖI_MÃ_VT")</f>
        <v/>
      </c>
      <c r="K1322" s="2">
        <f>I1322*J1322</f>
        <v/>
      </c>
      <c r="L1322" t="inlineStr">
        <is>
          <t>2 cánh cao 145mm</t>
        </is>
      </c>
    </row>
    <row r="1323">
      <c r="A1323" t="inlineStr">
        <is>
          <t>SW-DAMPER-326-AXLE</t>
        </is>
      </c>
      <c r="B1323" t="inlineStr">
        <is>
          <t>SW-DAMPER-326</t>
        </is>
      </c>
      <c r="C1323" t="inlineStr">
        <is>
          <t>Trục Sus 201 D10</t>
        </is>
      </c>
      <c r="D1323" t="inlineStr">
        <is>
          <t>PHỤ_KIỆN_VAN</t>
        </is>
      </c>
      <c r="E1323" t="inlineStr">
        <is>
          <t>MAT-DAMPER-TRUC-SUS-201-D10</t>
        </is>
      </c>
      <c r="F1323" t="inlineStr">
        <is>
          <t>m</t>
        </is>
      </c>
      <c r="G1323" s="4" t="n">
        <v>1.22</v>
      </c>
      <c r="H1323" s="2">
        <f>XLOOKUP(B1323, '00_TONG_HOP_BAO_GIA'!B:B, '00_TONG_HOP_BAO_GIA'!G:G, 1)</f>
        <v/>
      </c>
      <c r="I1323" s="5">
        <f>G1323*H1323</f>
        <v/>
      </c>
      <c r="J1323" s="2">
        <f>XLOOKUP(E1323, '06_BANG_GIA_VAT_TU_AP_DUNG'!B:B, '06_BANG_GIA_VAT_TU_AP_DUNG'!C:C, "LỖI_MÃ_VT")</f>
        <v/>
      </c>
      <c r="K1323" s="2">
        <f>I1323*J1323</f>
        <v/>
      </c>
      <c r="L1323" t="inlineStr">
        <is>
          <t>2 trục dài 610mm</t>
        </is>
      </c>
    </row>
    <row r="1324">
      <c r="A1324" t="inlineStr">
        <is>
          <t>SW-DAMPER-326-BEARING</t>
        </is>
      </c>
      <c r="B1324" t="inlineStr">
        <is>
          <t>SW-DAMPER-326</t>
        </is>
      </c>
      <c r="C1324" t="inlineStr">
        <is>
          <t>Bạc đồng D10</t>
        </is>
      </c>
      <c r="D1324" t="inlineStr">
        <is>
          <t>PHỤ_KIỆN_VAN</t>
        </is>
      </c>
      <c r="E1324" t="inlineStr">
        <is>
          <t>MAT-DAMPER-BAC-DONG-D10</t>
        </is>
      </c>
      <c r="F1324" t="inlineStr">
        <is>
          <t>Đôi</t>
        </is>
      </c>
      <c r="G1324" s="4" t="n">
        <v>2</v>
      </c>
      <c r="H1324" s="2">
        <f>XLOOKUP(B1324, '00_TONG_HOP_BAO_GIA'!B:B, '00_TONG_HOP_BAO_GIA'!G:G, 1)</f>
        <v/>
      </c>
      <c r="I1324" s="5">
        <f>G1324*H1324</f>
        <v/>
      </c>
      <c r="J1324" s="2">
        <f>XLOOKUP(E1324, '06_BANG_GIA_VAT_TU_AP_DUNG'!B:B, '06_BANG_GIA_VAT_TU_AP_DUNG'!C:C, "LỖI_MÃ_VT")</f>
        <v/>
      </c>
      <c r="K1324" s="2">
        <f>I1324*J1324</f>
        <v/>
      </c>
      <c r="L1324" t="inlineStr">
        <is>
          <t>2 đôi bạc đỡ 2 bên thân</t>
        </is>
      </c>
    </row>
    <row r="1325">
      <c r="A1325" t="inlineStr">
        <is>
          <t>SW-DAMPER-326-GEAR</t>
        </is>
      </c>
      <c r="B1325" t="inlineStr">
        <is>
          <t>SW-DAMPER-326</t>
        </is>
      </c>
      <c r="C1325" t="inlineStr">
        <is>
          <t>Bánh răng van nhôm</t>
        </is>
      </c>
      <c r="D1325" t="inlineStr">
        <is>
          <t>PHỤ_KIỆN_VAN</t>
        </is>
      </c>
      <c r="E1325" t="inlineStr">
        <is>
          <t>MAT-DAMPER-BANH-RANG-VAN-NHOM</t>
        </is>
      </c>
      <c r="F1325" t="inlineStr">
        <is>
          <t>Bộ</t>
        </is>
      </c>
      <c r="G1325" s="4" t="n">
        <v>1</v>
      </c>
      <c r="H1325" s="2">
        <f>XLOOKUP(B1325, '00_TONG_HOP_BAO_GIA'!B:B, '00_TONG_HOP_BAO_GIA'!G:G, 1)</f>
        <v/>
      </c>
      <c r="I1325" s="5">
        <f>G1325*H1325</f>
        <v/>
      </c>
      <c r="J1325" s="2">
        <f>XLOOKUP(E1325, '06_BANG_GIA_VAT_TU_AP_DUNG'!B:B, '06_BANG_GIA_VAT_TU_AP_DUNG'!C:C, "LỖI_MÃ_VT")</f>
        <v/>
      </c>
      <c r="K1325" s="2">
        <f>I1325*J1325</f>
        <v/>
      </c>
      <c r="L1325" t="inlineStr">
        <is>
          <t>Cơ cấu liên động bánh răng van</t>
        </is>
      </c>
    </row>
    <row r="1326">
      <c r="A1326" t="inlineStr">
        <is>
          <t>SW-DAMPER-326-HANDLE</t>
        </is>
      </c>
      <c r="B1326" t="inlineStr">
        <is>
          <t>SW-DAMPER-326</t>
        </is>
      </c>
      <c r="C1326" t="inlineStr">
        <is>
          <t>Tay gạt nhỏ</t>
        </is>
      </c>
      <c r="D1326" t="inlineStr">
        <is>
          <t>PHỤ_KIỆN_VAN</t>
        </is>
      </c>
      <c r="E1326" t="inlineStr">
        <is>
          <t>MAT-DAMPER-TAY-GAT-NHO</t>
        </is>
      </c>
      <c r="F1326" t="inlineStr">
        <is>
          <t>Bộ</t>
        </is>
      </c>
      <c r="G1326" s="4" t="n">
        <v>1</v>
      </c>
      <c r="H1326" s="2">
        <f>XLOOKUP(B1326, '00_TONG_HOP_BAO_GIA'!B:B, '00_TONG_HOP_BAO_GIA'!G:G, 1)</f>
        <v/>
      </c>
      <c r="I1326" s="5">
        <f>G1326*H1326</f>
        <v/>
      </c>
      <c r="J1326" s="2">
        <f>XLOOKUP(E1326, '06_BANG_GIA_VAT_TU_AP_DUNG'!B:B, '06_BANG_GIA_VAT_TU_AP_DUNG'!C:C, "LỖI_MÃ_VT")</f>
        <v/>
      </c>
      <c r="K1326" s="2">
        <f>I1326*J1326</f>
        <v/>
      </c>
      <c r="L1326" t="inlineStr">
        <is>
          <t>Tay gạt khóa vị trí nan (S=0.14m2)</t>
        </is>
      </c>
    </row>
    <row r="1327">
      <c r="A1327" t="inlineStr">
        <is>
          <t>SW-DAMPER-327-BODY</t>
        </is>
      </c>
      <c r="B1327" t="inlineStr">
        <is>
          <t>SW-DAMPER-327</t>
        </is>
      </c>
      <c r="C1327" t="inlineStr">
        <is>
          <t>Thân vỏ van VCD bích TDF (0.75mm)</t>
        </is>
      </c>
      <c r="D1327" t="inlineStr">
        <is>
          <t>TÔN_CUỘN_MẠ_KẼM</t>
        </is>
      </c>
      <c r="E1327" t="inlineStr">
        <is>
          <t>MAT-STEEL-PN-0.75</t>
        </is>
      </c>
      <c r="F1327" t="inlineStr">
        <is>
          <t>kg</t>
        </is>
      </c>
      <c r="G1327" s="4" t="n">
        <v>3.184902</v>
      </c>
      <c r="H1327" s="2">
        <f>XLOOKUP(B1327, '00_TONG_HOP_BAO_GIA'!B:B, '00_TONG_HOP_BAO_GIA'!G:G, 1)</f>
        <v/>
      </c>
      <c r="I1327" s="5">
        <f>G1327*H1327</f>
        <v/>
      </c>
      <c r="J1327" s="2">
        <f>XLOOKUP(E1327, '06_BANG_GIA_VAT_TU_AP_DUNG'!B:B, '06_BANG_GIA_VAT_TU_AP_DUNG'!C:C, "LỖI_MÃ_VT")</f>
        <v/>
      </c>
      <c r="K1327" s="2">
        <f>I1327*J1327</f>
        <v/>
      </c>
      <c r="L1327" t="inlineStr">
        <is>
          <t>Kích thước vỏ 600.0x300.0x210mm</t>
        </is>
      </c>
    </row>
    <row r="1328">
      <c r="A1328" t="inlineStr">
        <is>
          <t>SW-DAMPER-327-BLADE</t>
        </is>
      </c>
      <c r="B1328" t="inlineStr">
        <is>
          <t>SW-DAMPER-327</t>
        </is>
      </c>
      <c r="C1328" t="inlineStr">
        <is>
          <t>Lá cánh van (2 cánh overlap)</t>
        </is>
      </c>
      <c r="D1328" t="inlineStr">
        <is>
          <t>TÔN_CUỘN_MẠ_KẼM</t>
        </is>
      </c>
      <c r="E1328" t="inlineStr">
        <is>
          <t>MAT-STEEL-PN-0.75</t>
        </is>
      </c>
      <c r="F1328" t="inlineStr">
        <is>
          <t>kg</t>
        </is>
      </c>
      <c r="G1328" s="4" t="n">
        <v>1.297134</v>
      </c>
      <c r="H1328" s="2">
        <f>XLOOKUP(B1328, '00_TONG_HOP_BAO_GIA'!B:B, '00_TONG_HOP_BAO_GIA'!G:G, 1)</f>
        <v/>
      </c>
      <c r="I1328" s="5">
        <f>G1328*H1328</f>
        <v/>
      </c>
      <c r="J1328" s="2">
        <f>XLOOKUP(E1328, '06_BANG_GIA_VAT_TU_AP_DUNG'!B:B, '06_BANG_GIA_VAT_TU_AP_DUNG'!C:C, "LỖI_MÃ_VT")</f>
        <v/>
      </c>
      <c r="K1328" s="2">
        <f>I1328*J1328</f>
        <v/>
      </c>
      <c r="L1328" t="inlineStr">
        <is>
          <t>2 cánh cao 170mm</t>
        </is>
      </c>
    </row>
    <row r="1329">
      <c r="A1329" t="inlineStr">
        <is>
          <t>SW-DAMPER-327-AXLE</t>
        </is>
      </c>
      <c r="B1329" t="inlineStr">
        <is>
          <t>SW-DAMPER-327</t>
        </is>
      </c>
      <c r="C1329" t="inlineStr">
        <is>
          <t>Trục Sus 201 D10</t>
        </is>
      </c>
      <c r="D1329" t="inlineStr">
        <is>
          <t>PHỤ_KIỆN_VAN</t>
        </is>
      </c>
      <c r="E1329" t="inlineStr">
        <is>
          <t>MAT-DAMPER-TRUC-SUS-201-D10</t>
        </is>
      </c>
      <c r="F1329" t="inlineStr">
        <is>
          <t>m</t>
        </is>
      </c>
      <c r="G1329" s="4" t="n">
        <v>1.32</v>
      </c>
      <c r="H1329" s="2">
        <f>XLOOKUP(B1329, '00_TONG_HOP_BAO_GIA'!B:B, '00_TONG_HOP_BAO_GIA'!G:G, 1)</f>
        <v/>
      </c>
      <c r="I1329" s="5">
        <f>G1329*H1329</f>
        <v/>
      </c>
      <c r="J1329" s="2">
        <f>XLOOKUP(E1329, '06_BANG_GIA_VAT_TU_AP_DUNG'!B:B, '06_BANG_GIA_VAT_TU_AP_DUNG'!C:C, "LỖI_MÃ_VT")</f>
        <v/>
      </c>
      <c r="K1329" s="2">
        <f>I1329*J1329</f>
        <v/>
      </c>
      <c r="L1329" t="inlineStr">
        <is>
          <t>2 trục dài 660mm</t>
        </is>
      </c>
    </row>
    <row r="1330">
      <c r="A1330" t="inlineStr">
        <is>
          <t>SW-DAMPER-327-BEARING</t>
        </is>
      </c>
      <c r="B1330" t="inlineStr">
        <is>
          <t>SW-DAMPER-327</t>
        </is>
      </c>
      <c r="C1330" t="inlineStr">
        <is>
          <t>Bạc đồng D10</t>
        </is>
      </c>
      <c r="D1330" t="inlineStr">
        <is>
          <t>PHỤ_KIỆN_VAN</t>
        </is>
      </c>
      <c r="E1330" t="inlineStr">
        <is>
          <t>MAT-DAMPER-BAC-DONG-D10</t>
        </is>
      </c>
      <c r="F1330" t="inlineStr">
        <is>
          <t>Đôi</t>
        </is>
      </c>
      <c r="G1330" s="4" t="n">
        <v>2</v>
      </c>
      <c r="H1330" s="2">
        <f>XLOOKUP(B1330, '00_TONG_HOP_BAO_GIA'!B:B, '00_TONG_HOP_BAO_GIA'!G:G, 1)</f>
        <v/>
      </c>
      <c r="I1330" s="5">
        <f>G1330*H1330</f>
        <v/>
      </c>
      <c r="J1330" s="2">
        <f>XLOOKUP(E1330, '06_BANG_GIA_VAT_TU_AP_DUNG'!B:B, '06_BANG_GIA_VAT_TU_AP_DUNG'!C:C, "LỖI_MÃ_VT")</f>
        <v/>
      </c>
      <c r="K1330" s="2">
        <f>I1330*J1330</f>
        <v/>
      </c>
      <c r="L1330" t="inlineStr">
        <is>
          <t>2 đôi bạc đỡ 2 bên thân</t>
        </is>
      </c>
    </row>
    <row r="1331">
      <c r="A1331" t="inlineStr">
        <is>
          <t>SW-DAMPER-327-GEAR</t>
        </is>
      </c>
      <c r="B1331" t="inlineStr">
        <is>
          <t>SW-DAMPER-327</t>
        </is>
      </c>
      <c r="C1331" t="inlineStr">
        <is>
          <t>Bánh răng van nhôm</t>
        </is>
      </c>
      <c r="D1331" t="inlineStr">
        <is>
          <t>PHỤ_KIỆN_VAN</t>
        </is>
      </c>
      <c r="E1331" t="inlineStr">
        <is>
          <t>MAT-DAMPER-BANH-RANG-VAN-NHOM</t>
        </is>
      </c>
      <c r="F1331" t="inlineStr">
        <is>
          <t>Bộ</t>
        </is>
      </c>
      <c r="G1331" s="4" t="n">
        <v>1</v>
      </c>
      <c r="H1331" s="2">
        <f>XLOOKUP(B1331, '00_TONG_HOP_BAO_GIA'!B:B, '00_TONG_HOP_BAO_GIA'!G:G, 1)</f>
        <v/>
      </c>
      <c r="I1331" s="5">
        <f>G1331*H1331</f>
        <v/>
      </c>
      <c r="J1331" s="2">
        <f>XLOOKUP(E1331, '06_BANG_GIA_VAT_TU_AP_DUNG'!B:B, '06_BANG_GIA_VAT_TU_AP_DUNG'!C:C, "LỖI_MÃ_VT")</f>
        <v/>
      </c>
      <c r="K1331" s="2">
        <f>I1331*J1331</f>
        <v/>
      </c>
      <c r="L1331" t="inlineStr">
        <is>
          <t>Cơ cấu liên động bánh răng van</t>
        </is>
      </c>
    </row>
    <row r="1332">
      <c r="A1332" t="inlineStr">
        <is>
          <t>SW-DAMPER-327-HANDLE</t>
        </is>
      </c>
      <c r="B1332" t="inlineStr">
        <is>
          <t>SW-DAMPER-327</t>
        </is>
      </c>
      <c r="C1332" t="inlineStr">
        <is>
          <t>Tay gạt nhỏ</t>
        </is>
      </c>
      <c r="D1332" t="inlineStr">
        <is>
          <t>PHỤ_KIỆN_VAN</t>
        </is>
      </c>
      <c r="E1332" t="inlineStr">
        <is>
          <t>MAT-DAMPER-TAY-GAT-NHO</t>
        </is>
      </c>
      <c r="F1332" t="inlineStr">
        <is>
          <t>Bộ</t>
        </is>
      </c>
      <c r="G1332" s="4" t="n">
        <v>1</v>
      </c>
      <c r="H1332" s="2">
        <f>XLOOKUP(B1332, '00_TONG_HOP_BAO_GIA'!B:B, '00_TONG_HOP_BAO_GIA'!G:G, 1)</f>
        <v/>
      </c>
      <c r="I1332" s="5">
        <f>G1332*H1332</f>
        <v/>
      </c>
      <c r="J1332" s="2">
        <f>XLOOKUP(E1332, '06_BANG_GIA_VAT_TU_AP_DUNG'!B:B, '06_BANG_GIA_VAT_TU_AP_DUNG'!C:C, "LỖI_MÃ_VT")</f>
        <v/>
      </c>
      <c r="K1332" s="2">
        <f>I1332*J1332</f>
        <v/>
      </c>
      <c r="L1332" t="inlineStr">
        <is>
          <t>Tay gạt khóa vị trí nan (S=0.18m2)</t>
        </is>
      </c>
    </row>
    <row r="1333">
      <c r="A1333" t="inlineStr">
        <is>
          <t>SW-DAMPER-328-BODY</t>
        </is>
      </c>
      <c r="B1333" t="inlineStr">
        <is>
          <t>SW-DAMPER-328</t>
        </is>
      </c>
      <c r="C1333" t="inlineStr">
        <is>
          <t>Thân vỏ van VCD bích TDF (0.75mm)</t>
        </is>
      </c>
      <c r="D1333" t="inlineStr">
        <is>
          <t>TÔN_CUỘN_MẠ_KẼM</t>
        </is>
      </c>
      <c r="E1333" t="inlineStr">
        <is>
          <t>MAT-STEEL-PN-0.75</t>
        </is>
      </c>
      <c r="F1333" t="inlineStr">
        <is>
          <t>kg</t>
        </is>
      </c>
      <c r="G1333" s="4" t="n">
        <v>3.184902</v>
      </c>
      <c r="H1333" s="2">
        <f>XLOOKUP(B1333, '00_TONG_HOP_BAO_GIA'!B:B, '00_TONG_HOP_BAO_GIA'!G:G, 1)</f>
        <v/>
      </c>
      <c r="I1333" s="5">
        <f>G1333*H1333</f>
        <v/>
      </c>
      <c r="J1333" s="2">
        <f>XLOOKUP(E1333, '06_BANG_GIA_VAT_TU_AP_DUNG'!B:B, '06_BANG_GIA_VAT_TU_AP_DUNG'!C:C, "LỖI_MÃ_VT")</f>
        <v/>
      </c>
      <c r="K1333" s="2">
        <f>I1333*J1333</f>
        <v/>
      </c>
      <c r="L1333" t="inlineStr">
        <is>
          <t>Kích thước vỏ 650.0x250.0x210mm</t>
        </is>
      </c>
    </row>
    <row r="1334">
      <c r="A1334" t="inlineStr">
        <is>
          <t>SW-DAMPER-328-BLADE</t>
        </is>
      </c>
      <c r="B1334" t="inlineStr">
        <is>
          <t>SW-DAMPER-328</t>
        </is>
      </c>
      <c r="C1334" t="inlineStr">
        <is>
          <t>Lá cánh van (2 cánh overlap)</t>
        </is>
      </c>
      <c r="D1334" t="inlineStr">
        <is>
          <t>TÔN_CUỘN_MẠ_KẼM</t>
        </is>
      </c>
      <c r="E1334" t="inlineStr">
        <is>
          <t>MAT-STEEL-PN-0.75</t>
        </is>
      </c>
      <c r="F1334" t="inlineStr">
        <is>
          <t>kg</t>
        </is>
      </c>
      <c r="G1334" s="4" t="n">
        <v>1.19857725</v>
      </c>
      <c r="H1334" s="2">
        <f>XLOOKUP(B1334, '00_TONG_HOP_BAO_GIA'!B:B, '00_TONG_HOP_BAO_GIA'!G:G, 1)</f>
        <v/>
      </c>
      <c r="I1334" s="5">
        <f>G1334*H1334</f>
        <v/>
      </c>
      <c r="J1334" s="2">
        <f>XLOOKUP(E1334, '06_BANG_GIA_VAT_TU_AP_DUNG'!B:B, '06_BANG_GIA_VAT_TU_AP_DUNG'!C:C, "LỖI_MÃ_VT")</f>
        <v/>
      </c>
      <c r="K1334" s="2">
        <f>I1334*J1334</f>
        <v/>
      </c>
      <c r="L1334" t="inlineStr">
        <is>
          <t>2 cánh cao 145mm</t>
        </is>
      </c>
    </row>
    <row r="1335">
      <c r="A1335" t="inlineStr">
        <is>
          <t>SW-DAMPER-328-AXLE</t>
        </is>
      </c>
      <c r="B1335" t="inlineStr">
        <is>
          <t>SW-DAMPER-328</t>
        </is>
      </c>
      <c r="C1335" t="inlineStr">
        <is>
          <t>Trục Sus 201 D10</t>
        </is>
      </c>
      <c r="D1335" t="inlineStr">
        <is>
          <t>PHỤ_KIỆN_VAN</t>
        </is>
      </c>
      <c r="E1335" t="inlineStr">
        <is>
          <t>MAT-DAMPER-TRUC-SUS-201-D10</t>
        </is>
      </c>
      <c r="F1335" t="inlineStr">
        <is>
          <t>m</t>
        </is>
      </c>
      <c r="G1335" s="4" t="n">
        <v>1.42</v>
      </c>
      <c r="H1335" s="2">
        <f>XLOOKUP(B1335, '00_TONG_HOP_BAO_GIA'!B:B, '00_TONG_HOP_BAO_GIA'!G:G, 1)</f>
        <v/>
      </c>
      <c r="I1335" s="5">
        <f>G1335*H1335</f>
        <v/>
      </c>
      <c r="J1335" s="2">
        <f>XLOOKUP(E1335, '06_BANG_GIA_VAT_TU_AP_DUNG'!B:B, '06_BANG_GIA_VAT_TU_AP_DUNG'!C:C, "LỖI_MÃ_VT")</f>
        <v/>
      </c>
      <c r="K1335" s="2">
        <f>I1335*J1335</f>
        <v/>
      </c>
      <c r="L1335" t="inlineStr">
        <is>
          <t>2 trục dài 710mm</t>
        </is>
      </c>
    </row>
    <row r="1336">
      <c r="A1336" t="inlineStr">
        <is>
          <t>SW-DAMPER-328-BEARING</t>
        </is>
      </c>
      <c r="B1336" t="inlineStr">
        <is>
          <t>SW-DAMPER-328</t>
        </is>
      </c>
      <c r="C1336" t="inlineStr">
        <is>
          <t>Bạc đồng D10</t>
        </is>
      </c>
      <c r="D1336" t="inlineStr">
        <is>
          <t>PHỤ_KIỆN_VAN</t>
        </is>
      </c>
      <c r="E1336" t="inlineStr">
        <is>
          <t>MAT-DAMPER-BAC-DONG-D10</t>
        </is>
      </c>
      <c r="F1336" t="inlineStr">
        <is>
          <t>Đôi</t>
        </is>
      </c>
      <c r="G1336" s="4" t="n">
        <v>2</v>
      </c>
      <c r="H1336" s="2">
        <f>XLOOKUP(B1336, '00_TONG_HOP_BAO_GIA'!B:B, '00_TONG_HOP_BAO_GIA'!G:G, 1)</f>
        <v/>
      </c>
      <c r="I1336" s="5">
        <f>G1336*H1336</f>
        <v/>
      </c>
      <c r="J1336" s="2">
        <f>XLOOKUP(E1336, '06_BANG_GIA_VAT_TU_AP_DUNG'!B:B, '06_BANG_GIA_VAT_TU_AP_DUNG'!C:C, "LỖI_MÃ_VT")</f>
        <v/>
      </c>
      <c r="K1336" s="2">
        <f>I1336*J1336</f>
        <v/>
      </c>
      <c r="L1336" t="inlineStr">
        <is>
          <t>2 đôi bạc đỡ 2 bên thân</t>
        </is>
      </c>
    </row>
    <row r="1337">
      <c r="A1337" t="inlineStr">
        <is>
          <t>SW-DAMPER-328-GEAR</t>
        </is>
      </c>
      <c r="B1337" t="inlineStr">
        <is>
          <t>SW-DAMPER-328</t>
        </is>
      </c>
      <c r="C1337" t="inlineStr">
        <is>
          <t>Bánh răng van nhôm</t>
        </is>
      </c>
      <c r="D1337" t="inlineStr">
        <is>
          <t>PHỤ_KIỆN_VAN</t>
        </is>
      </c>
      <c r="E1337" t="inlineStr">
        <is>
          <t>MAT-DAMPER-BANH-RANG-VAN-NHOM</t>
        </is>
      </c>
      <c r="F1337" t="inlineStr">
        <is>
          <t>Bộ</t>
        </is>
      </c>
      <c r="G1337" s="4" t="n">
        <v>1</v>
      </c>
      <c r="H1337" s="2">
        <f>XLOOKUP(B1337, '00_TONG_HOP_BAO_GIA'!B:B, '00_TONG_HOP_BAO_GIA'!G:G, 1)</f>
        <v/>
      </c>
      <c r="I1337" s="5">
        <f>G1337*H1337</f>
        <v/>
      </c>
      <c r="J1337" s="2">
        <f>XLOOKUP(E1337, '06_BANG_GIA_VAT_TU_AP_DUNG'!B:B, '06_BANG_GIA_VAT_TU_AP_DUNG'!C:C, "LỖI_MÃ_VT")</f>
        <v/>
      </c>
      <c r="K1337" s="2">
        <f>I1337*J1337</f>
        <v/>
      </c>
      <c r="L1337" t="inlineStr">
        <is>
          <t>Cơ cấu liên động bánh răng van</t>
        </is>
      </c>
    </row>
    <row r="1338">
      <c r="A1338" t="inlineStr">
        <is>
          <t>SW-DAMPER-328-HANDLE</t>
        </is>
      </c>
      <c r="B1338" t="inlineStr">
        <is>
          <t>SW-DAMPER-328</t>
        </is>
      </c>
      <c r="C1338" t="inlineStr">
        <is>
          <t>Tay gạt nhỏ</t>
        </is>
      </c>
      <c r="D1338" t="inlineStr">
        <is>
          <t>PHỤ_KIỆN_VAN</t>
        </is>
      </c>
      <c r="E1338" t="inlineStr">
        <is>
          <t>MAT-DAMPER-TAY-GAT-NHO</t>
        </is>
      </c>
      <c r="F1338" t="inlineStr">
        <is>
          <t>Bộ</t>
        </is>
      </c>
      <c r="G1338" s="4" t="n">
        <v>1</v>
      </c>
      <c r="H1338" s="2">
        <f>XLOOKUP(B1338, '00_TONG_HOP_BAO_GIA'!B:B, '00_TONG_HOP_BAO_GIA'!G:G, 1)</f>
        <v/>
      </c>
      <c r="I1338" s="5">
        <f>G1338*H1338</f>
        <v/>
      </c>
      <c r="J1338" s="2">
        <f>XLOOKUP(E1338, '06_BANG_GIA_VAT_TU_AP_DUNG'!B:B, '06_BANG_GIA_VAT_TU_AP_DUNG'!C:C, "LỖI_MÃ_VT")</f>
        <v/>
      </c>
      <c r="K1338" s="2">
        <f>I1338*J1338</f>
        <v/>
      </c>
      <c r="L1338" t="inlineStr">
        <is>
          <t>Tay gạt khóa vị trí nan (S=0.16m2)</t>
        </is>
      </c>
    </row>
    <row r="1339">
      <c r="A1339" t="inlineStr">
        <is>
          <t>SW-DAMPER-329-BODY</t>
        </is>
      </c>
      <c r="B1339" t="inlineStr">
        <is>
          <t>SW-DAMPER-329</t>
        </is>
      </c>
      <c r="C1339" t="inlineStr">
        <is>
          <t>Thân vỏ van VCD bích TDF (0.75mm)</t>
        </is>
      </c>
      <c r="D1339" t="inlineStr">
        <is>
          <t>TÔN_CUỘN_MẠ_KẼM</t>
        </is>
      </c>
      <c r="E1339" t="inlineStr">
        <is>
          <t>MAT-STEEL-PN-0.75</t>
        </is>
      </c>
      <c r="F1339" t="inlineStr">
        <is>
          <t>kg</t>
        </is>
      </c>
      <c r="G1339" s="4" t="n">
        <v>3.3579945</v>
      </c>
      <c r="H1339" s="2">
        <f>XLOOKUP(B1339, '00_TONG_HOP_BAO_GIA'!B:B, '00_TONG_HOP_BAO_GIA'!G:G, 1)</f>
        <v/>
      </c>
      <c r="I1339" s="5">
        <f>G1339*H1339</f>
        <v/>
      </c>
      <c r="J1339" s="2">
        <f>XLOOKUP(E1339, '06_BANG_GIA_VAT_TU_AP_DUNG'!B:B, '06_BANG_GIA_VAT_TU_AP_DUNG'!C:C, "LỖI_MÃ_VT")</f>
        <v/>
      </c>
      <c r="K1339" s="2">
        <f>I1339*J1339</f>
        <v/>
      </c>
      <c r="L1339" t="inlineStr">
        <is>
          <t>Kích thước vỏ 650.0x300.0x210mm</t>
        </is>
      </c>
    </row>
    <row r="1340">
      <c r="A1340" t="inlineStr">
        <is>
          <t>SW-DAMPER-329-BLADE</t>
        </is>
      </c>
      <c r="B1340" t="inlineStr">
        <is>
          <t>SW-DAMPER-329</t>
        </is>
      </c>
      <c r="C1340" t="inlineStr">
        <is>
          <t>Lá cánh van (2 cánh overlap)</t>
        </is>
      </c>
      <c r="D1340" t="inlineStr">
        <is>
          <t>TÔN_CUỘN_MẠ_KẼM</t>
        </is>
      </c>
      <c r="E1340" t="inlineStr">
        <is>
          <t>MAT-STEEL-PN-0.75</t>
        </is>
      </c>
      <c r="F1340" t="inlineStr">
        <is>
          <t>kg</t>
        </is>
      </c>
      <c r="G1340" s="4" t="n">
        <v>1.4052285</v>
      </c>
      <c r="H1340" s="2">
        <f>XLOOKUP(B1340, '00_TONG_HOP_BAO_GIA'!B:B, '00_TONG_HOP_BAO_GIA'!G:G, 1)</f>
        <v/>
      </c>
      <c r="I1340" s="5">
        <f>G1340*H1340</f>
        <v/>
      </c>
      <c r="J1340" s="2">
        <f>XLOOKUP(E1340, '06_BANG_GIA_VAT_TU_AP_DUNG'!B:B, '06_BANG_GIA_VAT_TU_AP_DUNG'!C:C, "LỖI_MÃ_VT")</f>
        <v/>
      </c>
      <c r="K1340" s="2">
        <f>I1340*J1340</f>
        <v/>
      </c>
      <c r="L1340" t="inlineStr">
        <is>
          <t>2 cánh cao 170mm</t>
        </is>
      </c>
    </row>
    <row r="1341">
      <c r="A1341" t="inlineStr">
        <is>
          <t>SW-DAMPER-329-AXLE</t>
        </is>
      </c>
      <c r="B1341" t="inlineStr">
        <is>
          <t>SW-DAMPER-329</t>
        </is>
      </c>
      <c r="C1341" t="inlineStr">
        <is>
          <t>Trục Sus 201 D10</t>
        </is>
      </c>
      <c r="D1341" t="inlineStr">
        <is>
          <t>PHỤ_KIỆN_VAN</t>
        </is>
      </c>
      <c r="E1341" t="inlineStr">
        <is>
          <t>MAT-DAMPER-TRUC-SUS-201-D10</t>
        </is>
      </c>
      <c r="F1341" t="inlineStr">
        <is>
          <t>m</t>
        </is>
      </c>
      <c r="G1341" s="4" t="n">
        <v>1.42</v>
      </c>
      <c r="H1341" s="2">
        <f>XLOOKUP(B1341, '00_TONG_HOP_BAO_GIA'!B:B, '00_TONG_HOP_BAO_GIA'!G:G, 1)</f>
        <v/>
      </c>
      <c r="I1341" s="5">
        <f>G1341*H1341</f>
        <v/>
      </c>
      <c r="J1341" s="2">
        <f>XLOOKUP(E1341, '06_BANG_GIA_VAT_TU_AP_DUNG'!B:B, '06_BANG_GIA_VAT_TU_AP_DUNG'!C:C, "LỖI_MÃ_VT")</f>
        <v/>
      </c>
      <c r="K1341" s="2">
        <f>I1341*J1341</f>
        <v/>
      </c>
      <c r="L1341" t="inlineStr">
        <is>
          <t>2 trục dài 710mm</t>
        </is>
      </c>
    </row>
    <row r="1342">
      <c r="A1342" t="inlineStr">
        <is>
          <t>SW-DAMPER-329-BEARING</t>
        </is>
      </c>
      <c r="B1342" t="inlineStr">
        <is>
          <t>SW-DAMPER-329</t>
        </is>
      </c>
      <c r="C1342" t="inlineStr">
        <is>
          <t>Bạc đồng D10</t>
        </is>
      </c>
      <c r="D1342" t="inlineStr">
        <is>
          <t>PHỤ_KIỆN_VAN</t>
        </is>
      </c>
      <c r="E1342" t="inlineStr">
        <is>
          <t>MAT-DAMPER-BAC-DONG-D10</t>
        </is>
      </c>
      <c r="F1342" t="inlineStr">
        <is>
          <t>Đôi</t>
        </is>
      </c>
      <c r="G1342" s="4" t="n">
        <v>2</v>
      </c>
      <c r="H1342" s="2">
        <f>XLOOKUP(B1342, '00_TONG_HOP_BAO_GIA'!B:B, '00_TONG_HOP_BAO_GIA'!G:G, 1)</f>
        <v/>
      </c>
      <c r="I1342" s="5">
        <f>G1342*H1342</f>
        <v/>
      </c>
      <c r="J1342" s="2">
        <f>XLOOKUP(E1342, '06_BANG_GIA_VAT_TU_AP_DUNG'!B:B, '06_BANG_GIA_VAT_TU_AP_DUNG'!C:C, "LỖI_MÃ_VT")</f>
        <v/>
      </c>
      <c r="K1342" s="2">
        <f>I1342*J1342</f>
        <v/>
      </c>
      <c r="L1342" t="inlineStr">
        <is>
          <t>2 đôi bạc đỡ 2 bên thân</t>
        </is>
      </c>
    </row>
    <row r="1343">
      <c r="A1343" t="inlineStr">
        <is>
          <t>SW-DAMPER-329-GEAR</t>
        </is>
      </c>
      <c r="B1343" t="inlineStr">
        <is>
          <t>SW-DAMPER-329</t>
        </is>
      </c>
      <c r="C1343" t="inlineStr">
        <is>
          <t>Bánh răng van nhôm</t>
        </is>
      </c>
      <c r="D1343" t="inlineStr">
        <is>
          <t>PHỤ_KIỆN_VAN</t>
        </is>
      </c>
      <c r="E1343" t="inlineStr">
        <is>
          <t>MAT-DAMPER-BANH-RANG-VAN-NHOM</t>
        </is>
      </c>
      <c r="F1343" t="inlineStr">
        <is>
          <t>Bộ</t>
        </is>
      </c>
      <c r="G1343" s="4" t="n">
        <v>1</v>
      </c>
      <c r="H1343" s="2">
        <f>XLOOKUP(B1343, '00_TONG_HOP_BAO_GIA'!B:B, '00_TONG_HOP_BAO_GIA'!G:G, 1)</f>
        <v/>
      </c>
      <c r="I1343" s="5">
        <f>G1343*H1343</f>
        <v/>
      </c>
      <c r="J1343" s="2">
        <f>XLOOKUP(E1343, '06_BANG_GIA_VAT_TU_AP_DUNG'!B:B, '06_BANG_GIA_VAT_TU_AP_DUNG'!C:C, "LỖI_MÃ_VT")</f>
        <v/>
      </c>
      <c r="K1343" s="2">
        <f>I1343*J1343</f>
        <v/>
      </c>
      <c r="L1343" t="inlineStr">
        <is>
          <t>Cơ cấu liên động bánh răng van</t>
        </is>
      </c>
    </row>
    <row r="1344">
      <c r="A1344" t="inlineStr">
        <is>
          <t>SW-DAMPER-329-HANDLE</t>
        </is>
      </c>
      <c r="B1344" t="inlineStr">
        <is>
          <t>SW-DAMPER-329</t>
        </is>
      </c>
      <c r="C1344" t="inlineStr">
        <is>
          <t>Tay gạt nhỏ</t>
        </is>
      </c>
      <c r="D1344" t="inlineStr">
        <is>
          <t>PHỤ_KIỆN_VAN</t>
        </is>
      </c>
      <c r="E1344" t="inlineStr">
        <is>
          <t>MAT-DAMPER-TAY-GAT-NHO</t>
        </is>
      </c>
      <c r="F1344" t="inlineStr">
        <is>
          <t>Bộ</t>
        </is>
      </c>
      <c r="G1344" s="4" t="n">
        <v>1</v>
      </c>
      <c r="H1344" s="2">
        <f>XLOOKUP(B1344, '00_TONG_HOP_BAO_GIA'!B:B, '00_TONG_HOP_BAO_GIA'!G:G, 1)</f>
        <v/>
      </c>
      <c r="I1344" s="5">
        <f>G1344*H1344</f>
        <v/>
      </c>
      <c r="J1344" s="2">
        <f>XLOOKUP(E1344, '06_BANG_GIA_VAT_TU_AP_DUNG'!B:B, '06_BANG_GIA_VAT_TU_AP_DUNG'!C:C, "LỖI_MÃ_VT")</f>
        <v/>
      </c>
      <c r="K1344" s="2">
        <f>I1344*J1344</f>
        <v/>
      </c>
      <c r="L1344" t="inlineStr">
        <is>
          <t>Tay gạt khóa vị trí nan (S=0.20m2)</t>
        </is>
      </c>
    </row>
    <row r="1345">
      <c r="A1345" t="inlineStr">
        <is>
          <t>SW-DAMPER-330-BODY</t>
        </is>
      </c>
      <c r="B1345" t="inlineStr">
        <is>
          <t>SW-DAMPER-330</t>
        </is>
      </c>
      <c r="C1345" t="inlineStr">
        <is>
          <t>Thân vỏ van VCD bích TDF (0.75mm)</t>
        </is>
      </c>
      <c r="D1345" t="inlineStr">
        <is>
          <t>TÔN_CUỘN_MẠ_KẼM</t>
        </is>
      </c>
      <c r="E1345" t="inlineStr">
        <is>
          <t>MAT-STEEL-PN-0.75</t>
        </is>
      </c>
      <c r="F1345" t="inlineStr">
        <is>
          <t>kg</t>
        </is>
      </c>
      <c r="G1345" s="4" t="n">
        <v>3.531087</v>
      </c>
      <c r="H1345" s="2">
        <f>XLOOKUP(B1345, '00_TONG_HOP_BAO_GIA'!B:B, '00_TONG_HOP_BAO_GIA'!G:G, 1)</f>
        <v/>
      </c>
      <c r="I1345" s="5">
        <f>G1345*H1345</f>
        <v/>
      </c>
      <c r="J1345" s="2">
        <f>XLOOKUP(E1345, '06_BANG_GIA_VAT_TU_AP_DUNG'!B:B, '06_BANG_GIA_VAT_TU_AP_DUNG'!C:C, "LỖI_MÃ_VT")</f>
        <v/>
      </c>
      <c r="K1345" s="2">
        <f>I1345*J1345</f>
        <v/>
      </c>
      <c r="L1345" t="inlineStr">
        <is>
          <t>Kích thước vỏ 650.0x350.0x210mm</t>
        </is>
      </c>
    </row>
    <row r="1346">
      <c r="A1346" t="inlineStr">
        <is>
          <t>SW-DAMPER-330-BLADE</t>
        </is>
      </c>
      <c r="B1346" t="inlineStr">
        <is>
          <t>SW-DAMPER-330</t>
        </is>
      </c>
      <c r="C1346" t="inlineStr">
        <is>
          <t>Lá cánh van (2 cánh overlap)</t>
        </is>
      </c>
      <c r="D1346" t="inlineStr">
        <is>
          <t>TÔN_CUỘN_MẠ_KẼM</t>
        </is>
      </c>
      <c r="E1346" t="inlineStr">
        <is>
          <t>MAT-STEEL-PN-0.75</t>
        </is>
      </c>
      <c r="F1346" t="inlineStr">
        <is>
          <t>kg</t>
        </is>
      </c>
      <c r="G1346" s="4" t="n">
        <v>1.61187975</v>
      </c>
      <c r="H1346" s="2">
        <f>XLOOKUP(B1346, '00_TONG_HOP_BAO_GIA'!B:B, '00_TONG_HOP_BAO_GIA'!G:G, 1)</f>
        <v/>
      </c>
      <c r="I1346" s="5">
        <f>G1346*H1346</f>
        <v/>
      </c>
      <c r="J1346" s="2">
        <f>XLOOKUP(E1346, '06_BANG_GIA_VAT_TU_AP_DUNG'!B:B, '06_BANG_GIA_VAT_TU_AP_DUNG'!C:C, "LỖI_MÃ_VT")</f>
        <v/>
      </c>
      <c r="K1346" s="2">
        <f>I1346*J1346</f>
        <v/>
      </c>
      <c r="L1346" t="inlineStr">
        <is>
          <t>2 cánh cao 195mm</t>
        </is>
      </c>
    </row>
    <row r="1347">
      <c r="A1347" t="inlineStr">
        <is>
          <t>SW-DAMPER-330-AXLE</t>
        </is>
      </c>
      <c r="B1347" t="inlineStr">
        <is>
          <t>SW-DAMPER-330</t>
        </is>
      </c>
      <c r="C1347" t="inlineStr">
        <is>
          <t>Trục Sus 201 D10</t>
        </is>
      </c>
      <c r="D1347" t="inlineStr">
        <is>
          <t>PHỤ_KIỆN_VAN</t>
        </is>
      </c>
      <c r="E1347" t="inlineStr">
        <is>
          <t>MAT-DAMPER-TRUC-SUS-201-D10</t>
        </is>
      </c>
      <c r="F1347" t="inlineStr">
        <is>
          <t>m</t>
        </is>
      </c>
      <c r="G1347" s="4" t="n">
        <v>1.42</v>
      </c>
      <c r="H1347" s="2">
        <f>XLOOKUP(B1347, '00_TONG_HOP_BAO_GIA'!B:B, '00_TONG_HOP_BAO_GIA'!G:G, 1)</f>
        <v/>
      </c>
      <c r="I1347" s="5">
        <f>G1347*H1347</f>
        <v/>
      </c>
      <c r="J1347" s="2">
        <f>XLOOKUP(E1347, '06_BANG_GIA_VAT_TU_AP_DUNG'!B:B, '06_BANG_GIA_VAT_TU_AP_DUNG'!C:C, "LỖI_MÃ_VT")</f>
        <v/>
      </c>
      <c r="K1347" s="2">
        <f>I1347*J1347</f>
        <v/>
      </c>
      <c r="L1347" t="inlineStr">
        <is>
          <t>2 trục dài 710mm</t>
        </is>
      </c>
    </row>
    <row r="1348">
      <c r="A1348" t="inlineStr">
        <is>
          <t>SW-DAMPER-330-BEARING</t>
        </is>
      </c>
      <c r="B1348" t="inlineStr">
        <is>
          <t>SW-DAMPER-330</t>
        </is>
      </c>
      <c r="C1348" t="inlineStr">
        <is>
          <t>Bạc đồng D10</t>
        </is>
      </c>
      <c r="D1348" t="inlineStr">
        <is>
          <t>PHỤ_KIỆN_VAN</t>
        </is>
      </c>
      <c r="E1348" t="inlineStr">
        <is>
          <t>MAT-DAMPER-BAC-DONG-D10</t>
        </is>
      </c>
      <c r="F1348" t="inlineStr">
        <is>
          <t>Đôi</t>
        </is>
      </c>
      <c r="G1348" s="4" t="n">
        <v>2</v>
      </c>
      <c r="H1348" s="2">
        <f>XLOOKUP(B1348, '00_TONG_HOP_BAO_GIA'!B:B, '00_TONG_HOP_BAO_GIA'!G:G, 1)</f>
        <v/>
      </c>
      <c r="I1348" s="5">
        <f>G1348*H1348</f>
        <v/>
      </c>
      <c r="J1348" s="2">
        <f>XLOOKUP(E1348, '06_BANG_GIA_VAT_TU_AP_DUNG'!B:B, '06_BANG_GIA_VAT_TU_AP_DUNG'!C:C, "LỖI_MÃ_VT")</f>
        <v/>
      </c>
      <c r="K1348" s="2">
        <f>I1348*J1348</f>
        <v/>
      </c>
      <c r="L1348" t="inlineStr">
        <is>
          <t>2 đôi bạc đỡ 2 bên thân</t>
        </is>
      </c>
    </row>
    <row r="1349">
      <c r="A1349" t="inlineStr">
        <is>
          <t>SW-DAMPER-330-GEAR</t>
        </is>
      </c>
      <c r="B1349" t="inlineStr">
        <is>
          <t>SW-DAMPER-330</t>
        </is>
      </c>
      <c r="C1349" t="inlineStr">
        <is>
          <t>Bánh răng van nhôm</t>
        </is>
      </c>
      <c r="D1349" t="inlineStr">
        <is>
          <t>PHỤ_KIỆN_VAN</t>
        </is>
      </c>
      <c r="E1349" t="inlineStr">
        <is>
          <t>MAT-DAMPER-BANH-RANG-VAN-NHOM</t>
        </is>
      </c>
      <c r="F1349" t="inlineStr">
        <is>
          <t>Bộ</t>
        </is>
      </c>
      <c r="G1349" s="4" t="n">
        <v>1</v>
      </c>
      <c r="H1349" s="2">
        <f>XLOOKUP(B1349, '00_TONG_HOP_BAO_GIA'!B:B, '00_TONG_HOP_BAO_GIA'!G:G, 1)</f>
        <v/>
      </c>
      <c r="I1349" s="5">
        <f>G1349*H1349</f>
        <v/>
      </c>
      <c r="J1349" s="2">
        <f>XLOOKUP(E1349, '06_BANG_GIA_VAT_TU_AP_DUNG'!B:B, '06_BANG_GIA_VAT_TU_AP_DUNG'!C:C, "LỖI_MÃ_VT")</f>
        <v/>
      </c>
      <c r="K1349" s="2">
        <f>I1349*J1349</f>
        <v/>
      </c>
      <c r="L1349" t="inlineStr">
        <is>
          <t>Cơ cấu liên động bánh răng van</t>
        </is>
      </c>
    </row>
    <row r="1350">
      <c r="A1350" t="inlineStr">
        <is>
          <t>SW-DAMPER-330-HANDLE</t>
        </is>
      </c>
      <c r="B1350" t="inlineStr">
        <is>
          <t>SW-DAMPER-330</t>
        </is>
      </c>
      <c r="C1350" t="inlineStr">
        <is>
          <t>Tay gạt nhỏ</t>
        </is>
      </c>
      <c r="D1350" t="inlineStr">
        <is>
          <t>PHỤ_KIỆN_VAN</t>
        </is>
      </c>
      <c r="E1350" t="inlineStr">
        <is>
          <t>MAT-DAMPER-TAY-GAT-NHO</t>
        </is>
      </c>
      <c r="F1350" t="inlineStr">
        <is>
          <t>Bộ</t>
        </is>
      </c>
      <c r="G1350" s="4" t="n">
        <v>1</v>
      </c>
      <c r="H1350" s="2">
        <f>XLOOKUP(B1350, '00_TONG_HOP_BAO_GIA'!B:B, '00_TONG_HOP_BAO_GIA'!G:G, 1)</f>
        <v/>
      </c>
      <c r="I1350" s="5">
        <f>G1350*H1350</f>
        <v/>
      </c>
      <c r="J1350" s="2">
        <f>XLOOKUP(E1350, '06_BANG_GIA_VAT_TU_AP_DUNG'!B:B, '06_BANG_GIA_VAT_TU_AP_DUNG'!C:C, "LỖI_MÃ_VT")</f>
        <v/>
      </c>
      <c r="K1350" s="2">
        <f>I1350*J1350</f>
        <v/>
      </c>
      <c r="L1350" t="inlineStr">
        <is>
          <t>Tay gạt khóa vị trí nan (S=0.23m2)</t>
        </is>
      </c>
    </row>
    <row r="1351">
      <c r="A1351" t="inlineStr">
        <is>
          <t>SW-DAMPER-331-BODY</t>
        </is>
      </c>
      <c r="B1351" t="inlineStr">
        <is>
          <t>SW-DAMPER-331</t>
        </is>
      </c>
      <c r="C1351" t="inlineStr">
        <is>
          <t>Thân vỏ van VCD bích TDF (0.75mm)</t>
        </is>
      </c>
      <c r="D1351" t="inlineStr">
        <is>
          <t>TÔN_CUỘN_MẠ_KẼM</t>
        </is>
      </c>
      <c r="E1351" t="inlineStr">
        <is>
          <t>MAT-STEEL-PN-0.75</t>
        </is>
      </c>
      <c r="F1351" t="inlineStr">
        <is>
          <t>kg</t>
        </is>
      </c>
      <c r="G1351" s="4" t="n">
        <v>4.915826999999999</v>
      </c>
      <c r="H1351" s="2">
        <f>XLOOKUP(B1351, '00_TONG_HOP_BAO_GIA'!B:B, '00_TONG_HOP_BAO_GIA'!G:G, 1)</f>
        <v/>
      </c>
      <c r="I1351" s="5">
        <f>G1351*H1351</f>
        <v/>
      </c>
      <c r="J1351" s="2">
        <f>XLOOKUP(E1351, '06_BANG_GIA_VAT_TU_AP_DUNG'!B:B, '06_BANG_GIA_VAT_TU_AP_DUNG'!C:C, "LỖI_MÃ_VT")</f>
        <v/>
      </c>
      <c r="K1351" s="2">
        <f>I1351*J1351</f>
        <v/>
      </c>
      <c r="L1351" t="inlineStr">
        <is>
          <t>Kích thước vỏ 800.0x600.0x210mm</t>
        </is>
      </c>
    </row>
    <row r="1352">
      <c r="A1352" t="inlineStr">
        <is>
          <t>SW-DAMPER-331-BLADE</t>
        </is>
      </c>
      <c r="B1352" t="inlineStr">
        <is>
          <t>SW-DAMPER-331</t>
        </is>
      </c>
      <c r="C1352" t="inlineStr">
        <is>
          <t>Lá cánh van (4 cánh overlap)</t>
        </is>
      </c>
      <c r="D1352" t="inlineStr">
        <is>
          <t>TÔN_CUỘN_MẠ_KẼM</t>
        </is>
      </c>
      <c r="E1352" t="inlineStr">
        <is>
          <t>MAT-STEEL-PN-0.75</t>
        </is>
      </c>
      <c r="F1352" t="inlineStr">
        <is>
          <t>kg</t>
        </is>
      </c>
      <c r="G1352" s="4" t="n">
        <v>3.459024</v>
      </c>
      <c r="H1352" s="2">
        <f>XLOOKUP(B1352, '00_TONG_HOP_BAO_GIA'!B:B, '00_TONG_HOP_BAO_GIA'!G:G, 1)</f>
        <v/>
      </c>
      <c r="I1352" s="5">
        <f>G1352*H1352</f>
        <v/>
      </c>
      <c r="J1352" s="2">
        <f>XLOOKUP(E1352, '06_BANG_GIA_VAT_TU_AP_DUNG'!B:B, '06_BANG_GIA_VAT_TU_AP_DUNG'!C:C, "LỖI_MÃ_VT")</f>
        <v/>
      </c>
      <c r="K1352" s="2">
        <f>I1352*J1352</f>
        <v/>
      </c>
      <c r="L1352" t="inlineStr">
        <is>
          <t>4 cánh cao 170mm</t>
        </is>
      </c>
    </row>
    <row r="1353">
      <c r="A1353" t="inlineStr">
        <is>
          <t>SW-DAMPER-331-AXLE</t>
        </is>
      </c>
      <c r="B1353" t="inlineStr">
        <is>
          <t>SW-DAMPER-331</t>
        </is>
      </c>
      <c r="C1353" t="inlineStr">
        <is>
          <t>Trục Sus 201 D10</t>
        </is>
      </c>
      <c r="D1353" t="inlineStr">
        <is>
          <t>PHỤ_KIỆN_VAN</t>
        </is>
      </c>
      <c r="E1353" t="inlineStr">
        <is>
          <t>MAT-DAMPER-TRUC-SUS-201-D10</t>
        </is>
      </c>
      <c r="F1353" t="inlineStr">
        <is>
          <t>m</t>
        </is>
      </c>
      <c r="G1353" s="4" t="n">
        <v>3.44</v>
      </c>
      <c r="H1353" s="2">
        <f>XLOOKUP(B1353, '00_TONG_HOP_BAO_GIA'!B:B, '00_TONG_HOP_BAO_GIA'!G:G, 1)</f>
        <v/>
      </c>
      <c r="I1353" s="5">
        <f>G1353*H1353</f>
        <v/>
      </c>
      <c r="J1353" s="2">
        <f>XLOOKUP(E1353, '06_BANG_GIA_VAT_TU_AP_DUNG'!B:B, '06_BANG_GIA_VAT_TU_AP_DUNG'!C:C, "LỖI_MÃ_VT")</f>
        <v/>
      </c>
      <c r="K1353" s="2">
        <f>I1353*J1353</f>
        <v/>
      </c>
      <c r="L1353" t="inlineStr">
        <is>
          <t>4 trục dài 860mm</t>
        </is>
      </c>
    </row>
    <row r="1354">
      <c r="A1354" t="inlineStr">
        <is>
          <t>SW-DAMPER-331-BEARING</t>
        </is>
      </c>
      <c r="B1354" t="inlineStr">
        <is>
          <t>SW-DAMPER-331</t>
        </is>
      </c>
      <c r="C1354" t="inlineStr">
        <is>
          <t>Bạc đồng D10</t>
        </is>
      </c>
      <c r="D1354" t="inlineStr">
        <is>
          <t>PHỤ_KIỆN_VAN</t>
        </is>
      </c>
      <c r="E1354" t="inlineStr">
        <is>
          <t>MAT-DAMPER-BAC-DONG-D10</t>
        </is>
      </c>
      <c r="F1354" t="inlineStr">
        <is>
          <t>Đôi</t>
        </is>
      </c>
      <c r="G1354" s="4" t="n">
        <v>4</v>
      </c>
      <c r="H1354" s="2">
        <f>XLOOKUP(B1354, '00_TONG_HOP_BAO_GIA'!B:B, '00_TONG_HOP_BAO_GIA'!G:G, 1)</f>
        <v/>
      </c>
      <c r="I1354" s="5">
        <f>G1354*H1354</f>
        <v/>
      </c>
      <c r="J1354" s="2">
        <f>XLOOKUP(E1354, '06_BANG_GIA_VAT_TU_AP_DUNG'!B:B, '06_BANG_GIA_VAT_TU_AP_DUNG'!C:C, "LỖI_MÃ_VT")</f>
        <v/>
      </c>
      <c r="K1354" s="2">
        <f>I1354*J1354</f>
        <v/>
      </c>
      <c r="L1354" t="inlineStr">
        <is>
          <t>4 đôi bạc đỡ 2 bên thân</t>
        </is>
      </c>
    </row>
    <row r="1355">
      <c r="A1355" t="inlineStr">
        <is>
          <t>SW-DAMPER-331-GEAR</t>
        </is>
      </c>
      <c r="B1355" t="inlineStr">
        <is>
          <t>SW-DAMPER-331</t>
        </is>
      </c>
      <c r="C1355" t="inlineStr">
        <is>
          <t>Bánh răng van nhôm</t>
        </is>
      </c>
      <c r="D1355" t="inlineStr">
        <is>
          <t>PHỤ_KIỆN_VAN</t>
        </is>
      </c>
      <c r="E1355" t="inlineStr">
        <is>
          <t>MAT-DAMPER-BANH-RANG-VAN-NHOM</t>
        </is>
      </c>
      <c r="F1355" t="inlineStr">
        <is>
          <t>Bộ</t>
        </is>
      </c>
      <c r="G1355" s="4" t="n">
        <v>1</v>
      </c>
      <c r="H1355" s="2">
        <f>XLOOKUP(B1355, '00_TONG_HOP_BAO_GIA'!B:B, '00_TONG_HOP_BAO_GIA'!G:G, 1)</f>
        <v/>
      </c>
      <c r="I1355" s="5">
        <f>G1355*H1355</f>
        <v/>
      </c>
      <c r="J1355" s="2">
        <f>XLOOKUP(E1355, '06_BANG_GIA_VAT_TU_AP_DUNG'!B:B, '06_BANG_GIA_VAT_TU_AP_DUNG'!C:C, "LỖI_MÃ_VT")</f>
        <v/>
      </c>
      <c r="K1355" s="2">
        <f>I1355*J1355</f>
        <v/>
      </c>
      <c r="L1355" t="inlineStr">
        <is>
          <t>Cơ cấu liên động bánh răng van</t>
        </is>
      </c>
    </row>
    <row r="1356">
      <c r="A1356" t="inlineStr">
        <is>
          <t>SW-DAMPER-331-HANDLE</t>
        </is>
      </c>
      <c r="B1356" t="inlineStr">
        <is>
          <t>SW-DAMPER-331</t>
        </is>
      </c>
      <c r="C1356" t="inlineStr">
        <is>
          <t>Tay gạt nhỏ</t>
        </is>
      </c>
      <c r="D1356" t="inlineStr">
        <is>
          <t>PHỤ_KIỆN_VAN</t>
        </is>
      </c>
      <c r="E1356" t="inlineStr">
        <is>
          <t>MAT-DAMPER-TAY-GAT-NHO</t>
        </is>
      </c>
      <c r="F1356" t="inlineStr">
        <is>
          <t>Bộ</t>
        </is>
      </c>
      <c r="G1356" s="4" t="n">
        <v>1</v>
      </c>
      <c r="H1356" s="2">
        <f>XLOOKUP(B1356, '00_TONG_HOP_BAO_GIA'!B:B, '00_TONG_HOP_BAO_GIA'!G:G, 1)</f>
        <v/>
      </c>
      <c r="I1356" s="5">
        <f>G1356*H1356</f>
        <v/>
      </c>
      <c r="J1356" s="2">
        <f>XLOOKUP(E1356, '06_BANG_GIA_VAT_TU_AP_DUNG'!B:B, '06_BANG_GIA_VAT_TU_AP_DUNG'!C:C, "LỖI_MÃ_VT")</f>
        <v/>
      </c>
      <c r="K1356" s="2">
        <f>I1356*J1356</f>
        <v/>
      </c>
      <c r="L1356" t="inlineStr">
        <is>
          <t>Tay gạt khóa vị trí nan (S=0.48m2)</t>
        </is>
      </c>
    </row>
    <row r="1357">
      <c r="A1357" t="inlineStr">
        <is>
          <t>SW-DAMPER-332-BODY</t>
        </is>
      </c>
      <c r="B1357" t="inlineStr">
        <is>
          <t>SW-DAMPER-332</t>
        </is>
      </c>
      <c r="C1357" t="inlineStr">
        <is>
          <t>Thân vỏ van VCD bích TDF (0.95mm)</t>
        </is>
      </c>
      <c r="D1357" t="inlineStr">
        <is>
          <t>TÔN_CUỘN_MẠ_KẼM</t>
        </is>
      </c>
      <c r="E1357" t="inlineStr">
        <is>
          <t>MAT-STEEL-PN-0.95</t>
        </is>
      </c>
      <c r="F1357" t="inlineStr">
        <is>
          <t>kg</t>
        </is>
      </c>
      <c r="G1357" s="4" t="n">
        <v>5.349712200000001</v>
      </c>
      <c r="H1357" s="2">
        <f>XLOOKUP(B1357, '00_TONG_HOP_BAO_GIA'!B:B, '00_TONG_HOP_BAO_GIA'!G:G, 1)</f>
        <v/>
      </c>
      <c r="I1357" s="5">
        <f>G1357*H1357</f>
        <v/>
      </c>
      <c r="J1357" s="2">
        <f>XLOOKUP(E1357, '06_BANG_GIA_VAT_TU_AP_DUNG'!B:B, '06_BANG_GIA_VAT_TU_AP_DUNG'!C:C, "LỖI_MÃ_VT")</f>
        <v/>
      </c>
      <c r="K1357" s="2">
        <f>I1357*J1357</f>
        <v/>
      </c>
      <c r="L1357" t="inlineStr">
        <is>
          <t>Kích thước vỏ 900.0x300.0x210mm</t>
        </is>
      </c>
    </row>
    <row r="1358">
      <c r="A1358" t="inlineStr">
        <is>
          <t>SW-DAMPER-332-BLADE</t>
        </is>
      </c>
      <c r="B1358" t="inlineStr">
        <is>
          <t>SW-DAMPER-332</t>
        </is>
      </c>
      <c r="C1358" t="inlineStr">
        <is>
          <t>Lá cánh van (2 cánh overlap)</t>
        </is>
      </c>
      <c r="D1358" t="inlineStr">
        <is>
          <t>TÔN_CUỘN_MẠ_KẼM</t>
        </is>
      </c>
      <c r="E1358" t="inlineStr">
        <is>
          <t>MAT-STEEL-PN-0.75</t>
        </is>
      </c>
      <c r="F1358" t="inlineStr">
        <is>
          <t>kg</t>
        </is>
      </c>
      <c r="G1358" s="4" t="n">
        <v>1.945701</v>
      </c>
      <c r="H1358" s="2">
        <f>XLOOKUP(B1358, '00_TONG_HOP_BAO_GIA'!B:B, '00_TONG_HOP_BAO_GIA'!G:G, 1)</f>
        <v/>
      </c>
      <c r="I1358" s="5">
        <f>G1358*H1358</f>
        <v/>
      </c>
      <c r="J1358" s="2">
        <f>XLOOKUP(E1358, '06_BANG_GIA_VAT_TU_AP_DUNG'!B:B, '06_BANG_GIA_VAT_TU_AP_DUNG'!C:C, "LỖI_MÃ_VT")</f>
        <v/>
      </c>
      <c r="K1358" s="2">
        <f>I1358*J1358</f>
        <v/>
      </c>
      <c r="L1358" t="inlineStr">
        <is>
          <t>2 cánh cao 170mm</t>
        </is>
      </c>
    </row>
    <row r="1359">
      <c r="A1359" t="inlineStr">
        <is>
          <t>SW-DAMPER-332-AXLE</t>
        </is>
      </c>
      <c r="B1359" t="inlineStr">
        <is>
          <t>SW-DAMPER-332</t>
        </is>
      </c>
      <c r="C1359" t="inlineStr">
        <is>
          <t>Trục Sus 201 D10</t>
        </is>
      </c>
      <c r="D1359" t="inlineStr">
        <is>
          <t>PHỤ_KIỆN_VAN</t>
        </is>
      </c>
      <c r="E1359" t="inlineStr">
        <is>
          <t>MAT-DAMPER-TRUC-SUS-201-D10</t>
        </is>
      </c>
      <c r="F1359" t="inlineStr">
        <is>
          <t>m</t>
        </is>
      </c>
      <c r="G1359" s="4" t="n">
        <v>1.92</v>
      </c>
      <c r="H1359" s="2">
        <f>XLOOKUP(B1359, '00_TONG_HOP_BAO_GIA'!B:B, '00_TONG_HOP_BAO_GIA'!G:G, 1)</f>
        <v/>
      </c>
      <c r="I1359" s="5">
        <f>G1359*H1359</f>
        <v/>
      </c>
      <c r="J1359" s="2">
        <f>XLOOKUP(E1359, '06_BANG_GIA_VAT_TU_AP_DUNG'!B:B, '06_BANG_GIA_VAT_TU_AP_DUNG'!C:C, "LỖI_MÃ_VT")</f>
        <v/>
      </c>
      <c r="K1359" s="2">
        <f>I1359*J1359</f>
        <v/>
      </c>
      <c r="L1359" t="inlineStr">
        <is>
          <t>2 trục dài 960mm</t>
        </is>
      </c>
    </row>
    <row r="1360">
      <c r="A1360" t="inlineStr">
        <is>
          <t>SW-DAMPER-332-BEARING</t>
        </is>
      </c>
      <c r="B1360" t="inlineStr">
        <is>
          <t>SW-DAMPER-332</t>
        </is>
      </c>
      <c r="C1360" t="inlineStr">
        <is>
          <t>Bạc đồng D10</t>
        </is>
      </c>
      <c r="D1360" t="inlineStr">
        <is>
          <t>PHỤ_KIỆN_VAN</t>
        </is>
      </c>
      <c r="E1360" t="inlineStr">
        <is>
          <t>MAT-DAMPER-BAC-DONG-D10</t>
        </is>
      </c>
      <c r="F1360" t="inlineStr">
        <is>
          <t>Đôi</t>
        </is>
      </c>
      <c r="G1360" s="4" t="n">
        <v>2</v>
      </c>
      <c r="H1360" s="2">
        <f>XLOOKUP(B1360, '00_TONG_HOP_BAO_GIA'!B:B, '00_TONG_HOP_BAO_GIA'!G:G, 1)</f>
        <v/>
      </c>
      <c r="I1360" s="5">
        <f>G1360*H1360</f>
        <v/>
      </c>
      <c r="J1360" s="2">
        <f>XLOOKUP(E1360, '06_BANG_GIA_VAT_TU_AP_DUNG'!B:B, '06_BANG_GIA_VAT_TU_AP_DUNG'!C:C, "LỖI_MÃ_VT")</f>
        <v/>
      </c>
      <c r="K1360" s="2">
        <f>I1360*J1360</f>
        <v/>
      </c>
      <c r="L1360" t="inlineStr">
        <is>
          <t>2 đôi bạc đỡ 2 bên thân</t>
        </is>
      </c>
    </row>
    <row r="1361">
      <c r="A1361" t="inlineStr">
        <is>
          <t>SW-DAMPER-332-GEAR</t>
        </is>
      </c>
      <c r="B1361" t="inlineStr">
        <is>
          <t>SW-DAMPER-332</t>
        </is>
      </c>
      <c r="C1361" t="inlineStr">
        <is>
          <t>Bánh răng van nhôm</t>
        </is>
      </c>
      <c r="D1361" t="inlineStr">
        <is>
          <t>PHỤ_KIỆN_VAN</t>
        </is>
      </c>
      <c r="E1361" t="inlineStr">
        <is>
          <t>MAT-DAMPER-BANH-RANG-VAN-NHOM</t>
        </is>
      </c>
      <c r="F1361" t="inlineStr">
        <is>
          <t>Bộ</t>
        </is>
      </c>
      <c r="G1361" s="4" t="n">
        <v>1</v>
      </c>
      <c r="H1361" s="2">
        <f>XLOOKUP(B1361, '00_TONG_HOP_BAO_GIA'!B:B, '00_TONG_HOP_BAO_GIA'!G:G, 1)</f>
        <v/>
      </c>
      <c r="I1361" s="5">
        <f>G1361*H1361</f>
        <v/>
      </c>
      <c r="J1361" s="2">
        <f>XLOOKUP(E1361, '06_BANG_GIA_VAT_TU_AP_DUNG'!B:B, '06_BANG_GIA_VAT_TU_AP_DUNG'!C:C, "LỖI_MÃ_VT")</f>
        <v/>
      </c>
      <c r="K1361" s="2">
        <f>I1361*J1361</f>
        <v/>
      </c>
      <c r="L1361" t="inlineStr">
        <is>
          <t>Cơ cấu liên động bánh răng van</t>
        </is>
      </c>
    </row>
    <row r="1362">
      <c r="A1362" t="inlineStr">
        <is>
          <t>SW-DAMPER-332-HANDLE</t>
        </is>
      </c>
      <c r="B1362" t="inlineStr">
        <is>
          <t>SW-DAMPER-332</t>
        </is>
      </c>
      <c r="C1362" t="inlineStr">
        <is>
          <t>Tay gạt nhỏ</t>
        </is>
      </c>
      <c r="D1362" t="inlineStr">
        <is>
          <t>PHỤ_KIỆN_VAN</t>
        </is>
      </c>
      <c r="E1362" t="inlineStr">
        <is>
          <t>MAT-DAMPER-TAY-GAT-NHO</t>
        </is>
      </c>
      <c r="F1362" t="inlineStr">
        <is>
          <t>Bộ</t>
        </is>
      </c>
      <c r="G1362" s="4" t="n">
        <v>1</v>
      </c>
      <c r="H1362" s="2">
        <f>XLOOKUP(B1362, '00_TONG_HOP_BAO_GIA'!B:B, '00_TONG_HOP_BAO_GIA'!G:G, 1)</f>
        <v/>
      </c>
      <c r="I1362" s="5">
        <f>G1362*H1362</f>
        <v/>
      </c>
      <c r="J1362" s="2">
        <f>XLOOKUP(E1362, '06_BANG_GIA_VAT_TU_AP_DUNG'!B:B, '06_BANG_GIA_VAT_TU_AP_DUNG'!C:C, "LỖI_MÃ_VT")</f>
        <v/>
      </c>
      <c r="K1362" s="2">
        <f>I1362*J1362</f>
        <v/>
      </c>
      <c r="L1362" t="inlineStr">
        <is>
          <t>Tay gạt khóa vị trí nan (S=0.27m2)</t>
        </is>
      </c>
    </row>
    <row r="1363">
      <c r="A1363" t="inlineStr">
        <is>
          <t>SW-DAMPER-333-BODY</t>
        </is>
      </c>
      <c r="B1363" t="inlineStr">
        <is>
          <t>SW-DAMPER-333</t>
        </is>
      </c>
      <c r="C1363" t="inlineStr">
        <is>
          <t>Thân vỏ van VCD bích TDF (0.95mm)</t>
        </is>
      </c>
      <c r="D1363" t="inlineStr">
        <is>
          <t>TÔN_CUỘN_MẠ_KẼM</t>
        </is>
      </c>
      <c r="E1363" t="inlineStr">
        <is>
          <t>MAT-STEEL-PN-0.95</t>
        </is>
      </c>
      <c r="F1363" t="inlineStr">
        <is>
          <t>kg</t>
        </is>
      </c>
      <c r="G1363" s="4" t="n">
        <v>6.2267142</v>
      </c>
      <c r="H1363" s="2">
        <f>XLOOKUP(B1363, '00_TONG_HOP_BAO_GIA'!B:B, '00_TONG_HOP_BAO_GIA'!G:G, 1)</f>
        <v/>
      </c>
      <c r="I1363" s="5">
        <f>G1363*H1363</f>
        <v/>
      </c>
      <c r="J1363" s="2">
        <f>XLOOKUP(E1363, '06_BANG_GIA_VAT_TU_AP_DUNG'!B:B, '06_BANG_GIA_VAT_TU_AP_DUNG'!C:C, "LỖI_MÃ_VT")</f>
        <v/>
      </c>
      <c r="K1363" s="2">
        <f>I1363*J1363</f>
        <v/>
      </c>
      <c r="L1363" t="inlineStr">
        <is>
          <t>Kích thước vỏ 900.0x500.0x210mm</t>
        </is>
      </c>
    </row>
    <row r="1364">
      <c r="A1364" t="inlineStr">
        <is>
          <t>SW-DAMPER-333-BLADE</t>
        </is>
      </c>
      <c r="B1364" t="inlineStr">
        <is>
          <t>SW-DAMPER-333</t>
        </is>
      </c>
      <c r="C1364" t="inlineStr">
        <is>
          <t>Lá cánh van (3 cánh overlap)</t>
        </is>
      </c>
      <c r="D1364" t="inlineStr">
        <is>
          <t>TÔN_CUỘN_MẠ_KẼM</t>
        </is>
      </c>
      <c r="E1364" t="inlineStr">
        <is>
          <t>MAT-STEEL-PN-0.75</t>
        </is>
      </c>
      <c r="F1364" t="inlineStr">
        <is>
          <t>kg</t>
        </is>
      </c>
      <c r="G1364" s="4" t="n">
        <v>3.204684</v>
      </c>
      <c r="H1364" s="2">
        <f>XLOOKUP(B1364, '00_TONG_HOP_BAO_GIA'!B:B, '00_TONG_HOP_BAO_GIA'!G:G, 1)</f>
        <v/>
      </c>
      <c r="I1364" s="5">
        <f>G1364*H1364</f>
        <v/>
      </c>
      <c r="J1364" s="2">
        <f>XLOOKUP(E1364, '06_BANG_GIA_VAT_TU_AP_DUNG'!B:B, '06_BANG_GIA_VAT_TU_AP_DUNG'!C:C, "LỖI_MÃ_VT")</f>
        <v/>
      </c>
      <c r="K1364" s="2">
        <f>I1364*J1364</f>
        <v/>
      </c>
      <c r="L1364" t="inlineStr">
        <is>
          <t>3 cánh cao 187mm</t>
        </is>
      </c>
    </row>
    <row r="1365">
      <c r="A1365" t="inlineStr">
        <is>
          <t>SW-DAMPER-333-AXLE</t>
        </is>
      </c>
      <c r="B1365" t="inlineStr">
        <is>
          <t>SW-DAMPER-333</t>
        </is>
      </c>
      <c r="C1365" t="inlineStr">
        <is>
          <t>Trục Sus 201 D10</t>
        </is>
      </c>
      <c r="D1365" t="inlineStr">
        <is>
          <t>PHỤ_KIỆN_VAN</t>
        </is>
      </c>
      <c r="E1365" t="inlineStr">
        <is>
          <t>MAT-DAMPER-TRUC-SUS-201-D10</t>
        </is>
      </c>
      <c r="F1365" t="inlineStr">
        <is>
          <t>m</t>
        </is>
      </c>
      <c r="G1365" s="4" t="n">
        <v>2.88</v>
      </c>
      <c r="H1365" s="2">
        <f>XLOOKUP(B1365, '00_TONG_HOP_BAO_GIA'!B:B, '00_TONG_HOP_BAO_GIA'!G:G, 1)</f>
        <v/>
      </c>
      <c r="I1365" s="5">
        <f>G1365*H1365</f>
        <v/>
      </c>
      <c r="J1365" s="2">
        <f>XLOOKUP(E1365, '06_BANG_GIA_VAT_TU_AP_DUNG'!B:B, '06_BANG_GIA_VAT_TU_AP_DUNG'!C:C, "LỖI_MÃ_VT")</f>
        <v/>
      </c>
      <c r="K1365" s="2">
        <f>I1365*J1365</f>
        <v/>
      </c>
      <c r="L1365" t="inlineStr">
        <is>
          <t>3 trục dài 960mm</t>
        </is>
      </c>
    </row>
    <row r="1366">
      <c r="A1366" t="inlineStr">
        <is>
          <t>SW-DAMPER-333-BEARING</t>
        </is>
      </c>
      <c r="B1366" t="inlineStr">
        <is>
          <t>SW-DAMPER-333</t>
        </is>
      </c>
      <c r="C1366" t="inlineStr">
        <is>
          <t>Bạc đồng D10</t>
        </is>
      </c>
      <c r="D1366" t="inlineStr">
        <is>
          <t>PHỤ_KIỆN_VAN</t>
        </is>
      </c>
      <c r="E1366" t="inlineStr">
        <is>
          <t>MAT-DAMPER-BAC-DONG-D10</t>
        </is>
      </c>
      <c r="F1366" t="inlineStr">
        <is>
          <t>Đôi</t>
        </is>
      </c>
      <c r="G1366" s="4" t="n">
        <v>3</v>
      </c>
      <c r="H1366" s="2">
        <f>XLOOKUP(B1366, '00_TONG_HOP_BAO_GIA'!B:B, '00_TONG_HOP_BAO_GIA'!G:G, 1)</f>
        <v/>
      </c>
      <c r="I1366" s="5">
        <f>G1366*H1366</f>
        <v/>
      </c>
      <c r="J1366" s="2">
        <f>XLOOKUP(E1366, '06_BANG_GIA_VAT_TU_AP_DUNG'!B:B, '06_BANG_GIA_VAT_TU_AP_DUNG'!C:C, "LỖI_MÃ_VT")</f>
        <v/>
      </c>
      <c r="K1366" s="2">
        <f>I1366*J1366</f>
        <v/>
      </c>
      <c r="L1366" t="inlineStr">
        <is>
          <t>3 đôi bạc đỡ 2 bên thân</t>
        </is>
      </c>
    </row>
    <row r="1367">
      <c r="A1367" t="inlineStr">
        <is>
          <t>SW-DAMPER-333-GEAR</t>
        </is>
      </c>
      <c r="B1367" t="inlineStr">
        <is>
          <t>SW-DAMPER-333</t>
        </is>
      </c>
      <c r="C1367" t="inlineStr">
        <is>
          <t>Bánh răng van nhôm</t>
        </is>
      </c>
      <c r="D1367" t="inlineStr">
        <is>
          <t>PHỤ_KIỆN_VAN</t>
        </is>
      </c>
      <c r="E1367" t="inlineStr">
        <is>
          <t>MAT-DAMPER-BANH-RANG-VAN-NHOM</t>
        </is>
      </c>
      <c r="F1367" t="inlineStr">
        <is>
          <t>Bộ</t>
        </is>
      </c>
      <c r="G1367" s="4" t="n">
        <v>1</v>
      </c>
      <c r="H1367" s="2">
        <f>XLOOKUP(B1367, '00_TONG_HOP_BAO_GIA'!B:B, '00_TONG_HOP_BAO_GIA'!G:G, 1)</f>
        <v/>
      </c>
      <c r="I1367" s="5">
        <f>G1367*H1367</f>
        <v/>
      </c>
      <c r="J1367" s="2">
        <f>XLOOKUP(E1367, '06_BANG_GIA_VAT_TU_AP_DUNG'!B:B, '06_BANG_GIA_VAT_TU_AP_DUNG'!C:C, "LỖI_MÃ_VT")</f>
        <v/>
      </c>
      <c r="K1367" s="2">
        <f>I1367*J1367</f>
        <v/>
      </c>
      <c r="L1367" t="inlineStr">
        <is>
          <t>Cơ cấu liên động bánh răng van</t>
        </is>
      </c>
    </row>
    <row r="1368">
      <c r="A1368" t="inlineStr">
        <is>
          <t>SW-DAMPER-333-HANDLE</t>
        </is>
      </c>
      <c r="B1368" t="inlineStr">
        <is>
          <t>SW-DAMPER-333</t>
        </is>
      </c>
      <c r="C1368" t="inlineStr">
        <is>
          <t>Tay gạt nhỏ</t>
        </is>
      </c>
      <c r="D1368" t="inlineStr">
        <is>
          <t>PHỤ_KIỆN_VAN</t>
        </is>
      </c>
      <c r="E1368" t="inlineStr">
        <is>
          <t>MAT-DAMPER-TAY-GAT-NHO</t>
        </is>
      </c>
      <c r="F1368" t="inlineStr">
        <is>
          <t>Bộ</t>
        </is>
      </c>
      <c r="G1368" s="4" t="n">
        <v>1</v>
      </c>
      <c r="H1368" s="2">
        <f>XLOOKUP(B1368, '00_TONG_HOP_BAO_GIA'!B:B, '00_TONG_HOP_BAO_GIA'!G:G, 1)</f>
        <v/>
      </c>
      <c r="I1368" s="5">
        <f>G1368*H1368</f>
        <v/>
      </c>
      <c r="J1368" s="2">
        <f>XLOOKUP(E1368, '06_BANG_GIA_VAT_TU_AP_DUNG'!B:B, '06_BANG_GIA_VAT_TU_AP_DUNG'!C:C, "LỖI_MÃ_VT")</f>
        <v/>
      </c>
      <c r="K1368" s="2">
        <f>I1368*J1368</f>
        <v/>
      </c>
      <c r="L1368" t="inlineStr">
        <is>
          <t>Tay gạt khóa vị trí nan (S=0.45m2)</t>
        </is>
      </c>
    </row>
    <row r="1369">
      <c r="A1369" t="inlineStr">
        <is>
          <t>SW-DAMPER-334-BODY</t>
        </is>
      </c>
      <c r="B1369" t="inlineStr">
        <is>
          <t>SW-DAMPER-334</t>
        </is>
      </c>
      <c r="C1369" t="inlineStr">
        <is>
          <t>Thân vỏ van VCD bích TDF (0.95mm)</t>
        </is>
      </c>
      <c r="D1369" t="inlineStr">
        <is>
          <t>TÔN_CUỘN_MẠ_KẼM</t>
        </is>
      </c>
      <c r="E1369" t="inlineStr">
        <is>
          <t>MAT-STEEL-PN-0.95</t>
        </is>
      </c>
      <c r="F1369" t="inlineStr">
        <is>
          <t>kg</t>
        </is>
      </c>
      <c r="G1369" s="4" t="n">
        <v>7.980718200000001</v>
      </c>
      <c r="H1369" s="2">
        <f>XLOOKUP(B1369, '00_TONG_HOP_BAO_GIA'!B:B, '00_TONG_HOP_BAO_GIA'!G:G, 1)</f>
        <v/>
      </c>
      <c r="I1369" s="5">
        <f>G1369*H1369</f>
        <v/>
      </c>
      <c r="J1369" s="2">
        <f>XLOOKUP(E1369, '06_BANG_GIA_VAT_TU_AP_DUNG'!B:B, '06_BANG_GIA_VAT_TU_AP_DUNG'!C:C, "LỖI_MÃ_VT")</f>
        <v/>
      </c>
      <c r="K1369" s="2">
        <f>I1369*J1369</f>
        <v/>
      </c>
      <c r="L1369" t="inlineStr">
        <is>
          <t>Kích thước vỏ 900.0x900.0x210mm</t>
        </is>
      </c>
    </row>
    <row r="1370">
      <c r="A1370" t="inlineStr">
        <is>
          <t>SW-DAMPER-334-BLADE</t>
        </is>
      </c>
      <c r="B1370" t="inlineStr">
        <is>
          <t>SW-DAMPER-334</t>
        </is>
      </c>
      <c r="C1370" t="inlineStr">
        <is>
          <t>Lá cánh van (5 cánh overlap)</t>
        </is>
      </c>
      <c r="D1370" t="inlineStr">
        <is>
          <t>TÔN_CUỘN_MẠ_KẼM</t>
        </is>
      </c>
      <c r="E1370" t="inlineStr">
        <is>
          <t>MAT-STEEL-PN-0.75</t>
        </is>
      </c>
      <c r="F1370" t="inlineStr">
        <is>
          <t>kg</t>
        </is>
      </c>
      <c r="G1370" s="4" t="n">
        <v>5.72265</v>
      </c>
      <c r="H1370" s="2">
        <f>XLOOKUP(B1370, '00_TONG_HOP_BAO_GIA'!B:B, '00_TONG_HOP_BAO_GIA'!G:G, 1)</f>
        <v/>
      </c>
      <c r="I1370" s="5">
        <f>G1370*H1370</f>
        <v/>
      </c>
      <c r="J1370" s="2">
        <f>XLOOKUP(E1370, '06_BANG_GIA_VAT_TU_AP_DUNG'!B:B, '06_BANG_GIA_VAT_TU_AP_DUNG'!C:C, "LỖI_MÃ_VT")</f>
        <v/>
      </c>
      <c r="K1370" s="2">
        <f>I1370*J1370</f>
        <v/>
      </c>
      <c r="L1370" t="inlineStr">
        <is>
          <t>5 cánh cao 200mm</t>
        </is>
      </c>
    </row>
    <row r="1371">
      <c r="A1371" t="inlineStr">
        <is>
          <t>SW-DAMPER-334-AXLE</t>
        </is>
      </c>
      <c r="B1371" t="inlineStr">
        <is>
          <t>SW-DAMPER-334</t>
        </is>
      </c>
      <c r="C1371" t="inlineStr">
        <is>
          <t>Trục Sus 201 D10</t>
        </is>
      </c>
      <c r="D1371" t="inlineStr">
        <is>
          <t>PHỤ_KIỆN_VAN</t>
        </is>
      </c>
      <c r="E1371" t="inlineStr">
        <is>
          <t>MAT-DAMPER-TRUC-SUS-201-D10</t>
        </is>
      </c>
      <c r="F1371" t="inlineStr">
        <is>
          <t>m</t>
        </is>
      </c>
      <c r="G1371" s="4" t="n">
        <v>4.8</v>
      </c>
      <c r="H1371" s="2">
        <f>XLOOKUP(B1371, '00_TONG_HOP_BAO_GIA'!B:B, '00_TONG_HOP_BAO_GIA'!G:G, 1)</f>
        <v/>
      </c>
      <c r="I1371" s="5">
        <f>G1371*H1371</f>
        <v/>
      </c>
      <c r="J1371" s="2">
        <f>XLOOKUP(E1371, '06_BANG_GIA_VAT_TU_AP_DUNG'!B:B, '06_BANG_GIA_VAT_TU_AP_DUNG'!C:C, "LỖI_MÃ_VT")</f>
        <v/>
      </c>
      <c r="K1371" s="2">
        <f>I1371*J1371</f>
        <v/>
      </c>
      <c r="L1371" t="inlineStr">
        <is>
          <t>5 trục dài 960mm</t>
        </is>
      </c>
    </row>
    <row r="1372">
      <c r="A1372" t="inlineStr">
        <is>
          <t>SW-DAMPER-334-BEARING</t>
        </is>
      </c>
      <c r="B1372" t="inlineStr">
        <is>
          <t>SW-DAMPER-334</t>
        </is>
      </c>
      <c r="C1372" t="inlineStr">
        <is>
          <t>Bạc đồng D10</t>
        </is>
      </c>
      <c r="D1372" t="inlineStr">
        <is>
          <t>PHỤ_KIỆN_VAN</t>
        </is>
      </c>
      <c r="E1372" t="inlineStr">
        <is>
          <t>MAT-DAMPER-BAC-DONG-D10</t>
        </is>
      </c>
      <c r="F1372" t="inlineStr">
        <is>
          <t>Đôi</t>
        </is>
      </c>
      <c r="G1372" s="4" t="n">
        <v>5</v>
      </c>
      <c r="H1372" s="2">
        <f>XLOOKUP(B1372, '00_TONG_HOP_BAO_GIA'!B:B, '00_TONG_HOP_BAO_GIA'!G:G, 1)</f>
        <v/>
      </c>
      <c r="I1372" s="5">
        <f>G1372*H1372</f>
        <v/>
      </c>
      <c r="J1372" s="2">
        <f>XLOOKUP(E1372, '06_BANG_GIA_VAT_TU_AP_DUNG'!B:B, '06_BANG_GIA_VAT_TU_AP_DUNG'!C:C, "LỖI_MÃ_VT")</f>
        <v/>
      </c>
      <c r="K1372" s="2">
        <f>I1372*J1372</f>
        <v/>
      </c>
      <c r="L1372" t="inlineStr">
        <is>
          <t>5 đôi bạc đỡ 2 bên thân</t>
        </is>
      </c>
    </row>
    <row r="1373">
      <c r="A1373" t="inlineStr">
        <is>
          <t>SW-DAMPER-334-GEAR</t>
        </is>
      </c>
      <c r="B1373" t="inlineStr">
        <is>
          <t>SW-DAMPER-334</t>
        </is>
      </c>
      <c r="C1373" t="inlineStr">
        <is>
          <t>Bánh răng van nhôm</t>
        </is>
      </c>
      <c r="D1373" t="inlineStr">
        <is>
          <t>PHỤ_KIỆN_VAN</t>
        </is>
      </c>
      <c r="E1373" t="inlineStr">
        <is>
          <t>MAT-DAMPER-BANH-RANG-VAN-NHOM</t>
        </is>
      </c>
      <c r="F1373" t="inlineStr">
        <is>
          <t>Bộ</t>
        </is>
      </c>
      <c r="G1373" s="4" t="n">
        <v>1</v>
      </c>
      <c r="H1373" s="2">
        <f>XLOOKUP(B1373, '00_TONG_HOP_BAO_GIA'!B:B, '00_TONG_HOP_BAO_GIA'!G:G, 1)</f>
        <v/>
      </c>
      <c r="I1373" s="5">
        <f>G1373*H1373</f>
        <v/>
      </c>
      <c r="J1373" s="2">
        <f>XLOOKUP(E1373, '06_BANG_GIA_VAT_TU_AP_DUNG'!B:B, '06_BANG_GIA_VAT_TU_AP_DUNG'!C:C, "LỖI_MÃ_VT")</f>
        <v/>
      </c>
      <c r="K1373" s="2">
        <f>I1373*J1373</f>
        <v/>
      </c>
      <c r="L1373" t="inlineStr">
        <is>
          <t>Cơ cấu liên động bánh răng van</t>
        </is>
      </c>
    </row>
    <row r="1374">
      <c r="A1374" t="inlineStr">
        <is>
          <t>SW-DAMPER-334-HANDLE</t>
        </is>
      </c>
      <c r="B1374" t="inlineStr">
        <is>
          <t>SW-DAMPER-334</t>
        </is>
      </c>
      <c r="C1374" t="inlineStr">
        <is>
          <t>Tay gạt trung bình</t>
        </is>
      </c>
      <c r="D1374" t="inlineStr">
        <is>
          <t>PHỤ_KIỆN_VAN</t>
        </is>
      </c>
      <c r="E1374" t="inlineStr">
        <is>
          <t>MAT-DAMPER-TAY-GAT-TRUNG-BINH</t>
        </is>
      </c>
      <c r="F1374" t="inlineStr">
        <is>
          <t>Bộ</t>
        </is>
      </c>
      <c r="G1374" s="4" t="n">
        <v>1</v>
      </c>
      <c r="H1374" s="2">
        <f>XLOOKUP(B1374, '00_TONG_HOP_BAO_GIA'!B:B, '00_TONG_HOP_BAO_GIA'!G:G, 1)</f>
        <v/>
      </c>
      <c r="I1374" s="5">
        <f>G1374*H1374</f>
        <v/>
      </c>
      <c r="J1374" s="2">
        <f>XLOOKUP(E1374, '06_BANG_GIA_VAT_TU_AP_DUNG'!B:B, '06_BANG_GIA_VAT_TU_AP_DUNG'!C:C, "LỖI_MÃ_VT")</f>
        <v/>
      </c>
      <c r="K1374" s="2">
        <f>I1374*J1374</f>
        <v/>
      </c>
      <c r="L1374" t="inlineStr">
        <is>
          <t>Tay gạt khóa vị trí nan (S=0.81m2)</t>
        </is>
      </c>
    </row>
    <row r="1375">
      <c r="A1375" t="inlineStr">
        <is>
          <t>SW-DAMPER-335-BODY</t>
        </is>
      </c>
      <c r="B1375" t="inlineStr">
        <is>
          <t>SW-DAMPER-335</t>
        </is>
      </c>
      <c r="C1375" t="inlineStr">
        <is>
          <t>Thân vỏ van VCD bích TDF (0.95mm)</t>
        </is>
      </c>
      <c r="D1375" t="inlineStr">
        <is>
          <t>TÔN_CUỘN_MẠ_KẼM</t>
        </is>
      </c>
      <c r="E1375" t="inlineStr">
        <is>
          <t>MAT-STEEL-PN-0.95</t>
        </is>
      </c>
      <c r="F1375" t="inlineStr">
        <is>
          <t>kg</t>
        </is>
      </c>
      <c r="G1375" s="4" t="n">
        <v>6.4459647</v>
      </c>
      <c r="H1375" s="2">
        <f>XLOOKUP(B1375, '00_TONG_HOP_BAO_GIA'!B:B, '00_TONG_HOP_BAO_GIA'!G:G, 1)</f>
        <v/>
      </c>
      <c r="I1375" s="5">
        <f>G1375*H1375</f>
        <v/>
      </c>
      <c r="J1375" s="2">
        <f>XLOOKUP(E1375, '06_BANG_GIA_VAT_TU_AP_DUNG'!B:B, '06_BANG_GIA_VAT_TU_AP_DUNG'!C:C, "LỖI_MÃ_VT")</f>
        <v/>
      </c>
      <c r="K1375" s="2">
        <f>I1375*J1375</f>
        <v/>
      </c>
      <c r="L1375" t="inlineStr">
        <is>
          <t>Kích thước vỏ 950.0x500.0x210mm</t>
        </is>
      </c>
    </row>
    <row r="1376">
      <c r="A1376" t="inlineStr">
        <is>
          <t>SW-DAMPER-335-BLADE</t>
        </is>
      </c>
      <c r="B1376" t="inlineStr">
        <is>
          <t>SW-DAMPER-335</t>
        </is>
      </c>
      <c r="C1376" t="inlineStr">
        <is>
          <t>Lá cánh van (3 cánh overlap)</t>
        </is>
      </c>
      <c r="D1376" t="inlineStr">
        <is>
          <t>TÔN_CUỘN_MẠ_KẼM</t>
        </is>
      </c>
      <c r="E1376" t="inlineStr">
        <is>
          <t>MAT-STEEL-PN-0.75</t>
        </is>
      </c>
      <c r="F1376" t="inlineStr">
        <is>
          <t>kg</t>
        </is>
      </c>
      <c r="G1376" s="4" t="n">
        <v>3.382721999999999</v>
      </c>
      <c r="H1376" s="2">
        <f>XLOOKUP(B1376, '00_TONG_HOP_BAO_GIA'!B:B, '00_TONG_HOP_BAO_GIA'!G:G, 1)</f>
        <v/>
      </c>
      <c r="I1376" s="5">
        <f>G1376*H1376</f>
        <v/>
      </c>
      <c r="J1376" s="2">
        <f>XLOOKUP(E1376, '06_BANG_GIA_VAT_TU_AP_DUNG'!B:B, '06_BANG_GIA_VAT_TU_AP_DUNG'!C:C, "LỖI_MÃ_VT")</f>
        <v/>
      </c>
      <c r="K1376" s="2">
        <f>I1376*J1376</f>
        <v/>
      </c>
      <c r="L1376" t="inlineStr">
        <is>
          <t>3 cánh cao 187mm</t>
        </is>
      </c>
    </row>
    <row r="1377">
      <c r="A1377" t="inlineStr">
        <is>
          <t>SW-DAMPER-335-AXLE</t>
        </is>
      </c>
      <c r="B1377" t="inlineStr">
        <is>
          <t>SW-DAMPER-335</t>
        </is>
      </c>
      <c r="C1377" t="inlineStr">
        <is>
          <t>Trục Sus 201 D10</t>
        </is>
      </c>
      <c r="D1377" t="inlineStr">
        <is>
          <t>PHỤ_KIỆN_VAN</t>
        </is>
      </c>
      <c r="E1377" t="inlineStr">
        <is>
          <t>MAT-DAMPER-TRUC-SUS-201-D10</t>
        </is>
      </c>
      <c r="F1377" t="inlineStr">
        <is>
          <t>m</t>
        </is>
      </c>
      <c r="G1377" s="4" t="n">
        <v>3.03</v>
      </c>
      <c r="H1377" s="2">
        <f>XLOOKUP(B1377, '00_TONG_HOP_BAO_GIA'!B:B, '00_TONG_HOP_BAO_GIA'!G:G, 1)</f>
        <v/>
      </c>
      <c r="I1377" s="5">
        <f>G1377*H1377</f>
        <v/>
      </c>
      <c r="J1377" s="2">
        <f>XLOOKUP(E1377, '06_BANG_GIA_VAT_TU_AP_DUNG'!B:B, '06_BANG_GIA_VAT_TU_AP_DUNG'!C:C, "LỖI_MÃ_VT")</f>
        <v/>
      </c>
      <c r="K1377" s="2">
        <f>I1377*J1377</f>
        <v/>
      </c>
      <c r="L1377" t="inlineStr">
        <is>
          <t>3 trục dài 1010mm</t>
        </is>
      </c>
    </row>
    <row r="1378">
      <c r="A1378" t="inlineStr">
        <is>
          <t>SW-DAMPER-335-BEARING</t>
        </is>
      </c>
      <c r="B1378" t="inlineStr">
        <is>
          <t>SW-DAMPER-335</t>
        </is>
      </c>
      <c r="C1378" t="inlineStr">
        <is>
          <t>Bạc đồng D10</t>
        </is>
      </c>
      <c r="D1378" t="inlineStr">
        <is>
          <t>PHỤ_KIỆN_VAN</t>
        </is>
      </c>
      <c r="E1378" t="inlineStr">
        <is>
          <t>MAT-DAMPER-BAC-DONG-D10</t>
        </is>
      </c>
      <c r="F1378" t="inlineStr">
        <is>
          <t>Đôi</t>
        </is>
      </c>
      <c r="G1378" s="4" t="n">
        <v>3</v>
      </c>
      <c r="H1378" s="2">
        <f>XLOOKUP(B1378, '00_TONG_HOP_BAO_GIA'!B:B, '00_TONG_HOP_BAO_GIA'!G:G, 1)</f>
        <v/>
      </c>
      <c r="I1378" s="5">
        <f>G1378*H1378</f>
        <v/>
      </c>
      <c r="J1378" s="2">
        <f>XLOOKUP(E1378, '06_BANG_GIA_VAT_TU_AP_DUNG'!B:B, '06_BANG_GIA_VAT_TU_AP_DUNG'!C:C, "LỖI_MÃ_VT")</f>
        <v/>
      </c>
      <c r="K1378" s="2">
        <f>I1378*J1378</f>
        <v/>
      </c>
      <c r="L1378" t="inlineStr">
        <is>
          <t>3 đôi bạc đỡ 2 bên thân</t>
        </is>
      </c>
    </row>
    <row r="1379">
      <c r="A1379" t="inlineStr">
        <is>
          <t>SW-DAMPER-335-GEAR</t>
        </is>
      </c>
      <c r="B1379" t="inlineStr">
        <is>
          <t>SW-DAMPER-335</t>
        </is>
      </c>
      <c r="C1379" t="inlineStr">
        <is>
          <t>Bánh răng van nhôm</t>
        </is>
      </c>
      <c r="D1379" t="inlineStr">
        <is>
          <t>PHỤ_KIỆN_VAN</t>
        </is>
      </c>
      <c r="E1379" t="inlineStr">
        <is>
          <t>MAT-DAMPER-BANH-RANG-VAN-NHOM</t>
        </is>
      </c>
      <c r="F1379" t="inlineStr">
        <is>
          <t>Bộ</t>
        </is>
      </c>
      <c r="G1379" s="4" t="n">
        <v>1</v>
      </c>
      <c r="H1379" s="2">
        <f>XLOOKUP(B1379, '00_TONG_HOP_BAO_GIA'!B:B, '00_TONG_HOP_BAO_GIA'!G:G, 1)</f>
        <v/>
      </c>
      <c r="I1379" s="5">
        <f>G1379*H1379</f>
        <v/>
      </c>
      <c r="J1379" s="2">
        <f>XLOOKUP(E1379, '06_BANG_GIA_VAT_TU_AP_DUNG'!B:B, '06_BANG_GIA_VAT_TU_AP_DUNG'!C:C, "LỖI_MÃ_VT")</f>
        <v/>
      </c>
      <c r="K1379" s="2">
        <f>I1379*J1379</f>
        <v/>
      </c>
      <c r="L1379" t="inlineStr">
        <is>
          <t>Cơ cấu liên động bánh răng van</t>
        </is>
      </c>
    </row>
    <row r="1380">
      <c r="A1380" t="inlineStr">
        <is>
          <t>SW-DAMPER-335-HANDLE</t>
        </is>
      </c>
      <c r="B1380" t="inlineStr">
        <is>
          <t>SW-DAMPER-335</t>
        </is>
      </c>
      <c r="C1380" t="inlineStr">
        <is>
          <t>Tay gạt nhỏ</t>
        </is>
      </c>
      <c r="D1380" t="inlineStr">
        <is>
          <t>PHỤ_KIỆN_VAN</t>
        </is>
      </c>
      <c r="E1380" t="inlineStr">
        <is>
          <t>MAT-DAMPER-TAY-GAT-NHO</t>
        </is>
      </c>
      <c r="F1380" t="inlineStr">
        <is>
          <t>Bộ</t>
        </is>
      </c>
      <c r="G1380" s="4" t="n">
        <v>1</v>
      </c>
      <c r="H1380" s="2">
        <f>XLOOKUP(B1380, '00_TONG_HOP_BAO_GIA'!B:B, '00_TONG_HOP_BAO_GIA'!G:G, 1)</f>
        <v/>
      </c>
      <c r="I1380" s="5">
        <f>G1380*H1380</f>
        <v/>
      </c>
      <c r="J1380" s="2">
        <f>XLOOKUP(E1380, '06_BANG_GIA_VAT_TU_AP_DUNG'!B:B, '06_BANG_GIA_VAT_TU_AP_DUNG'!C:C, "LỖI_MÃ_VT")</f>
        <v/>
      </c>
      <c r="K1380" s="2">
        <f>I1380*J1380</f>
        <v/>
      </c>
      <c r="L1380" t="inlineStr">
        <is>
          <t>Tay gạt khóa vị trí nan (S=0.47m2)</t>
        </is>
      </c>
    </row>
    <row r="1381">
      <c r="A1381" t="inlineStr">
        <is>
          <t>SW-DAMPER-336-BODY</t>
        </is>
      </c>
      <c r="B1381" t="inlineStr">
        <is>
          <t>SW-DAMPER-336</t>
        </is>
      </c>
      <c r="C1381" t="inlineStr">
        <is>
          <t>Thân vỏ van VCD bích TDF (0.95mm)</t>
        </is>
      </c>
      <c r="D1381" t="inlineStr">
        <is>
          <t>TÔN_CUỘN_MẠ_KẼM</t>
        </is>
      </c>
      <c r="E1381" t="inlineStr">
        <is>
          <t>MAT-STEEL-PN-0.95</t>
        </is>
      </c>
      <c r="F1381" t="inlineStr">
        <is>
          <t>kg</t>
        </is>
      </c>
      <c r="G1381" s="4" t="n">
        <v>8.857720200000003</v>
      </c>
      <c r="H1381" s="2">
        <f>XLOOKUP(B1381, '00_TONG_HOP_BAO_GIA'!B:B, '00_TONG_HOP_BAO_GIA'!G:G, 1)</f>
        <v/>
      </c>
      <c r="I1381" s="5">
        <f>G1381*H1381</f>
        <v/>
      </c>
      <c r="J1381" s="2">
        <f>XLOOKUP(E1381, '06_BANG_GIA_VAT_TU_AP_DUNG'!B:B, '06_BANG_GIA_VAT_TU_AP_DUNG'!C:C, "LỖI_MÃ_VT")</f>
        <v/>
      </c>
      <c r="K1381" s="2">
        <f>I1381*J1381</f>
        <v/>
      </c>
      <c r="L1381" t="inlineStr">
        <is>
          <t>Kích thước vỏ 1000.0x1000.0x210mm</t>
        </is>
      </c>
    </row>
    <row r="1382">
      <c r="A1382" t="inlineStr">
        <is>
          <t>SW-DAMPER-336-BLADE</t>
        </is>
      </c>
      <c r="B1382" t="inlineStr">
        <is>
          <t>SW-DAMPER-336</t>
        </is>
      </c>
      <c r="C1382" t="inlineStr">
        <is>
          <t>Lá cánh van (6 cánh overlap)</t>
        </is>
      </c>
      <c r="D1382" t="inlineStr">
        <is>
          <t>TÔN_CUỘN_MẠ_KẼM</t>
        </is>
      </c>
      <c r="E1382" t="inlineStr">
        <is>
          <t>MAT-STEEL-PN-0.75</t>
        </is>
      </c>
      <c r="F1382" t="inlineStr">
        <is>
          <t>kg</t>
        </is>
      </c>
      <c r="G1382" s="4" t="n">
        <v>7.121519999999999</v>
      </c>
      <c r="H1382" s="2">
        <f>XLOOKUP(B1382, '00_TONG_HOP_BAO_GIA'!B:B, '00_TONG_HOP_BAO_GIA'!G:G, 1)</f>
        <v/>
      </c>
      <c r="I1382" s="5">
        <f>G1382*H1382</f>
        <v/>
      </c>
      <c r="J1382" s="2">
        <f>XLOOKUP(E1382, '06_BANG_GIA_VAT_TU_AP_DUNG'!B:B, '06_BANG_GIA_VAT_TU_AP_DUNG'!C:C, "LỖI_MÃ_VT")</f>
        <v/>
      </c>
      <c r="K1382" s="2">
        <f>I1382*J1382</f>
        <v/>
      </c>
      <c r="L1382" t="inlineStr">
        <is>
          <t>6 cánh cao 187mm</t>
        </is>
      </c>
    </row>
    <row r="1383">
      <c r="A1383" t="inlineStr">
        <is>
          <t>SW-DAMPER-336-AXLE</t>
        </is>
      </c>
      <c r="B1383" t="inlineStr">
        <is>
          <t>SW-DAMPER-336</t>
        </is>
      </c>
      <c r="C1383" t="inlineStr">
        <is>
          <t>Trục Sus 201 D10</t>
        </is>
      </c>
      <c r="D1383" t="inlineStr">
        <is>
          <t>PHỤ_KIỆN_VAN</t>
        </is>
      </c>
      <c r="E1383" t="inlineStr">
        <is>
          <t>MAT-DAMPER-TRUC-SUS-201-D10</t>
        </is>
      </c>
      <c r="F1383" t="inlineStr">
        <is>
          <t>m</t>
        </is>
      </c>
      <c r="G1383" s="4" t="n">
        <v>6.36</v>
      </c>
      <c r="H1383" s="2">
        <f>XLOOKUP(B1383, '00_TONG_HOP_BAO_GIA'!B:B, '00_TONG_HOP_BAO_GIA'!G:G, 1)</f>
        <v/>
      </c>
      <c r="I1383" s="5">
        <f>G1383*H1383</f>
        <v/>
      </c>
      <c r="J1383" s="2">
        <f>XLOOKUP(E1383, '06_BANG_GIA_VAT_TU_AP_DUNG'!B:B, '06_BANG_GIA_VAT_TU_AP_DUNG'!C:C, "LỖI_MÃ_VT")</f>
        <v/>
      </c>
      <c r="K1383" s="2">
        <f>I1383*J1383</f>
        <v/>
      </c>
      <c r="L1383" t="inlineStr">
        <is>
          <t>6 trục dài 1060mm</t>
        </is>
      </c>
    </row>
    <row r="1384">
      <c r="A1384" t="inlineStr">
        <is>
          <t>SW-DAMPER-336-BEARING</t>
        </is>
      </c>
      <c r="B1384" t="inlineStr">
        <is>
          <t>SW-DAMPER-336</t>
        </is>
      </c>
      <c r="C1384" t="inlineStr">
        <is>
          <t>Bạc đồng D10</t>
        </is>
      </c>
      <c r="D1384" t="inlineStr">
        <is>
          <t>PHỤ_KIỆN_VAN</t>
        </is>
      </c>
      <c r="E1384" t="inlineStr">
        <is>
          <t>MAT-DAMPER-BAC-DONG-D10</t>
        </is>
      </c>
      <c r="F1384" t="inlineStr">
        <is>
          <t>Đôi</t>
        </is>
      </c>
      <c r="G1384" s="4" t="n">
        <v>6</v>
      </c>
      <c r="H1384" s="2">
        <f>XLOOKUP(B1384, '00_TONG_HOP_BAO_GIA'!B:B, '00_TONG_HOP_BAO_GIA'!G:G, 1)</f>
        <v/>
      </c>
      <c r="I1384" s="5">
        <f>G1384*H1384</f>
        <v/>
      </c>
      <c r="J1384" s="2">
        <f>XLOOKUP(E1384, '06_BANG_GIA_VAT_TU_AP_DUNG'!B:B, '06_BANG_GIA_VAT_TU_AP_DUNG'!C:C, "LỖI_MÃ_VT")</f>
        <v/>
      </c>
      <c r="K1384" s="2">
        <f>I1384*J1384</f>
        <v/>
      </c>
      <c r="L1384" t="inlineStr">
        <is>
          <t>6 đôi bạc đỡ 2 bên thân</t>
        </is>
      </c>
    </row>
    <row r="1385">
      <c r="A1385" t="inlineStr">
        <is>
          <t>SW-DAMPER-336-GEAR</t>
        </is>
      </c>
      <c r="B1385" t="inlineStr">
        <is>
          <t>SW-DAMPER-336</t>
        </is>
      </c>
      <c r="C1385" t="inlineStr">
        <is>
          <t>Bánh răng van nhôm</t>
        </is>
      </c>
      <c r="D1385" t="inlineStr">
        <is>
          <t>PHỤ_KIỆN_VAN</t>
        </is>
      </c>
      <c r="E1385" t="inlineStr">
        <is>
          <t>MAT-DAMPER-BANH-RANG-VAN-NHOM</t>
        </is>
      </c>
      <c r="F1385" t="inlineStr">
        <is>
          <t>Bộ</t>
        </is>
      </c>
      <c r="G1385" s="4" t="n">
        <v>1</v>
      </c>
      <c r="H1385" s="2">
        <f>XLOOKUP(B1385, '00_TONG_HOP_BAO_GIA'!B:B, '00_TONG_HOP_BAO_GIA'!G:G, 1)</f>
        <v/>
      </c>
      <c r="I1385" s="5">
        <f>G1385*H1385</f>
        <v/>
      </c>
      <c r="J1385" s="2">
        <f>XLOOKUP(E1385, '06_BANG_GIA_VAT_TU_AP_DUNG'!B:B, '06_BANG_GIA_VAT_TU_AP_DUNG'!C:C, "LỖI_MÃ_VT")</f>
        <v/>
      </c>
      <c r="K1385" s="2">
        <f>I1385*J1385</f>
        <v/>
      </c>
      <c r="L1385" t="inlineStr">
        <is>
          <t>Cơ cấu liên động bánh răng van</t>
        </is>
      </c>
    </row>
    <row r="1386">
      <c r="A1386" t="inlineStr">
        <is>
          <t>SW-DAMPER-336-HANDLE</t>
        </is>
      </c>
      <c r="B1386" t="inlineStr">
        <is>
          <t>SW-DAMPER-336</t>
        </is>
      </c>
      <c r="C1386" t="inlineStr">
        <is>
          <t>Tay gạt trung bình</t>
        </is>
      </c>
      <c r="D1386" t="inlineStr">
        <is>
          <t>PHỤ_KIỆN_VAN</t>
        </is>
      </c>
      <c r="E1386" t="inlineStr">
        <is>
          <t>MAT-DAMPER-TAY-GAT-TRUNG-BINH</t>
        </is>
      </c>
      <c r="F1386" t="inlineStr">
        <is>
          <t>Bộ</t>
        </is>
      </c>
      <c r="G1386" s="4" t="n">
        <v>1</v>
      </c>
      <c r="H1386" s="2">
        <f>XLOOKUP(B1386, '00_TONG_HOP_BAO_GIA'!B:B, '00_TONG_HOP_BAO_GIA'!G:G, 1)</f>
        <v/>
      </c>
      <c r="I1386" s="5">
        <f>G1386*H1386</f>
        <v/>
      </c>
      <c r="J1386" s="2">
        <f>XLOOKUP(E1386, '06_BANG_GIA_VAT_TU_AP_DUNG'!B:B, '06_BANG_GIA_VAT_TU_AP_DUNG'!C:C, "LỖI_MÃ_VT")</f>
        <v/>
      </c>
      <c r="K1386" s="2">
        <f>I1386*J1386</f>
        <v/>
      </c>
      <c r="L1386" t="inlineStr">
        <is>
          <t>Tay gạt khóa vị trí nan (S=1.00m2)</t>
        </is>
      </c>
    </row>
    <row r="1387">
      <c r="A1387" t="inlineStr">
        <is>
          <t>SW-DAMPER-337-BODY</t>
        </is>
      </c>
      <c r="B1387" t="inlineStr">
        <is>
          <t>SW-DAMPER-337</t>
        </is>
      </c>
      <c r="C1387" t="inlineStr">
        <is>
          <t>Thân vỏ van FD bích TDF (0.75mm)</t>
        </is>
      </c>
      <c r="D1387" t="inlineStr">
        <is>
          <t>TÔN_CUỘN_MẠ_KẼM</t>
        </is>
      </c>
      <c r="E1387" t="inlineStr">
        <is>
          <t>MAT-STEEL-PN-0.75</t>
        </is>
      </c>
      <c r="F1387" t="inlineStr">
        <is>
          <t>kg</t>
        </is>
      </c>
      <c r="G1387" s="4" t="n">
        <v>1.266048</v>
      </c>
      <c r="H1387" s="2">
        <f>XLOOKUP(B1387, '00_TONG_HOP_BAO_GIA'!B:B, '00_TONG_HOP_BAO_GIA'!G:G, 1)</f>
        <v/>
      </c>
      <c r="I1387" s="5">
        <f>G1387*H1387</f>
        <v/>
      </c>
      <c r="J1387" s="2">
        <f>XLOOKUP(E1387, '06_BANG_GIA_VAT_TU_AP_DUNG'!B:B, '06_BANG_GIA_VAT_TU_AP_DUNG'!C:C, "LỖI_MÃ_VT")</f>
        <v/>
      </c>
      <c r="K1387" s="2">
        <f>I1387*J1387</f>
        <v/>
      </c>
      <c r="L1387" t="inlineStr">
        <is>
          <t>Kích thước vỏ 150.0x150.0x250mm</t>
        </is>
      </c>
    </row>
    <row r="1388">
      <c r="A1388" t="inlineStr">
        <is>
          <t>SW-DAMPER-337-BLADE</t>
        </is>
      </c>
      <c r="B1388" t="inlineStr">
        <is>
          <t>SW-DAMPER-337</t>
        </is>
      </c>
      <c r="C1388" t="inlineStr">
        <is>
          <t>Lá cánh van (1 cánh overlap)</t>
        </is>
      </c>
      <c r="D1388" t="inlineStr">
        <is>
          <t>TÔN_CUỘN_MẠ_KẼM</t>
        </is>
      </c>
      <c r="E1388" t="inlineStr">
        <is>
          <t>MAT-STEEL-PN-0.75</t>
        </is>
      </c>
      <c r="F1388" t="inlineStr">
        <is>
          <t>kg</t>
        </is>
      </c>
      <c r="G1388" s="4" t="n">
        <v>0.16214175</v>
      </c>
      <c r="H1388" s="2">
        <f>XLOOKUP(B1388, '00_TONG_HOP_BAO_GIA'!B:B, '00_TONG_HOP_BAO_GIA'!G:G, 1)</f>
        <v/>
      </c>
      <c r="I1388" s="5">
        <f>G1388*H1388</f>
        <v/>
      </c>
      <c r="J1388" s="2">
        <f>XLOOKUP(E1388, '06_BANG_GIA_VAT_TU_AP_DUNG'!B:B, '06_BANG_GIA_VAT_TU_AP_DUNG'!C:C, "LỖI_MÃ_VT")</f>
        <v/>
      </c>
      <c r="K1388" s="2">
        <f>I1388*J1388</f>
        <v/>
      </c>
      <c r="L1388" t="inlineStr">
        <is>
          <t>1 cánh cao 170mm</t>
        </is>
      </c>
    </row>
    <row r="1389">
      <c r="A1389" t="inlineStr">
        <is>
          <t>SW-DAMPER-337-AXLE</t>
        </is>
      </c>
      <c r="B1389" t="inlineStr">
        <is>
          <t>SW-DAMPER-337</t>
        </is>
      </c>
      <c r="C1389" t="inlineStr">
        <is>
          <t>Trục Sus 201 D10</t>
        </is>
      </c>
      <c r="D1389" t="inlineStr">
        <is>
          <t>PHỤ_KIỆN_VAN</t>
        </is>
      </c>
      <c r="E1389" t="inlineStr">
        <is>
          <t>MAT-DAMPER-TRUC-SUS-201-D10</t>
        </is>
      </c>
      <c r="F1389" t="inlineStr">
        <is>
          <t>m</t>
        </is>
      </c>
      <c r="G1389" s="4" t="n">
        <v>0.21</v>
      </c>
      <c r="H1389" s="2">
        <f>XLOOKUP(B1389, '00_TONG_HOP_BAO_GIA'!B:B, '00_TONG_HOP_BAO_GIA'!G:G, 1)</f>
        <v/>
      </c>
      <c r="I1389" s="5">
        <f>G1389*H1389</f>
        <v/>
      </c>
      <c r="J1389" s="2">
        <f>XLOOKUP(E1389, '06_BANG_GIA_VAT_TU_AP_DUNG'!B:B, '06_BANG_GIA_VAT_TU_AP_DUNG'!C:C, "LỖI_MÃ_VT")</f>
        <v/>
      </c>
      <c r="K1389" s="2">
        <f>I1389*J1389</f>
        <v/>
      </c>
      <c r="L1389" t="inlineStr">
        <is>
          <t>1 trục dài 210mm</t>
        </is>
      </c>
    </row>
    <row r="1390">
      <c r="A1390" t="inlineStr">
        <is>
          <t>SW-DAMPER-337-BEARING</t>
        </is>
      </c>
      <c r="B1390" t="inlineStr">
        <is>
          <t>SW-DAMPER-337</t>
        </is>
      </c>
      <c r="C1390" t="inlineStr">
        <is>
          <t>Bạc đồng D10</t>
        </is>
      </c>
      <c r="D1390" t="inlineStr">
        <is>
          <t>PHỤ_KIỆN_VAN</t>
        </is>
      </c>
      <c r="E1390" t="inlineStr">
        <is>
          <t>MAT-DAMPER-BAC-DONG-D10</t>
        </is>
      </c>
      <c r="F1390" t="inlineStr">
        <is>
          <t>Đôi</t>
        </is>
      </c>
      <c r="G1390" s="4" t="n">
        <v>1</v>
      </c>
      <c r="H1390" s="2">
        <f>XLOOKUP(B1390, '00_TONG_HOP_BAO_GIA'!B:B, '00_TONG_HOP_BAO_GIA'!G:G, 1)</f>
        <v/>
      </c>
      <c r="I1390" s="5">
        <f>G1390*H1390</f>
        <v/>
      </c>
      <c r="J1390" s="2">
        <f>XLOOKUP(E1390, '06_BANG_GIA_VAT_TU_AP_DUNG'!B:B, '06_BANG_GIA_VAT_TU_AP_DUNG'!C:C, "LỖI_MÃ_VT")</f>
        <v/>
      </c>
      <c r="K1390" s="2">
        <f>I1390*J1390</f>
        <v/>
      </c>
      <c r="L1390" t="inlineStr">
        <is>
          <t>1 đôi bạc đỡ 2 bên thân</t>
        </is>
      </c>
    </row>
    <row r="1391">
      <c r="A1391" t="inlineStr">
        <is>
          <t>SW-DAMPER-337-FUSE</t>
        </is>
      </c>
      <c r="B1391" t="inlineStr">
        <is>
          <t>SW-DAMPER-337</t>
        </is>
      </c>
      <c r="C1391" t="inlineStr">
        <is>
          <t>Cầu chì nhiệt nóng chảy 70°C (Elsie/USA)</t>
        </is>
      </c>
      <c r="D1391" t="inlineStr">
        <is>
          <t>PHỤ_KIỆN_VAN</t>
        </is>
      </c>
      <c r="E1391" t="inlineStr">
        <is>
          <t>MAT-DAMPER-CAU-CHI-USA-1-400X400</t>
        </is>
      </c>
      <c r="F1391" t="inlineStr">
        <is>
          <t>Cái</t>
        </is>
      </c>
      <c r="G1391" s="4" t="n">
        <v>1</v>
      </c>
      <c r="H1391" s="2">
        <f>XLOOKUP(B1391, '00_TONG_HOP_BAO_GIA'!B:B, '00_TONG_HOP_BAO_GIA'!G:G, 1)</f>
        <v/>
      </c>
      <c r="I1391" s="5">
        <f>G1391*H1391</f>
        <v/>
      </c>
      <c r="J1391" s="2">
        <f>XLOOKUP(E1391, '06_BANG_GIA_VAT_TU_AP_DUNG'!B:B, '06_BANG_GIA_VAT_TU_AP_DUNG'!C:C, "LỖI_MÃ_VT")</f>
        <v/>
      </c>
      <c r="K1391" s="2">
        <f>I1391*J1391</f>
        <v/>
      </c>
      <c r="L1391" t="inlineStr">
        <is>
          <t>Cầu chì kiểm định PCCC</t>
        </is>
      </c>
    </row>
    <row r="1392">
      <c r="A1392" t="inlineStr">
        <is>
          <t>SW-DAMPER-338-BODY</t>
        </is>
      </c>
      <c r="B1392" t="inlineStr">
        <is>
          <t>SW-DAMPER-338</t>
        </is>
      </c>
      <c r="C1392" t="inlineStr">
        <is>
          <t>Thân vỏ van FD bích TDF (0.75mm)</t>
        </is>
      </c>
      <c r="D1392" t="inlineStr">
        <is>
          <t>TÔN_CUỘN_MẠ_KẼM</t>
        </is>
      </c>
      <c r="E1392" t="inlineStr">
        <is>
          <t>MAT-STEEL-PN-0.75</t>
        </is>
      </c>
      <c r="F1392" t="inlineStr">
        <is>
          <t>kg</t>
        </is>
      </c>
      <c r="G1392" s="4" t="n">
        <v>1.266048</v>
      </c>
      <c r="H1392" s="2">
        <f>XLOOKUP(B1392, '00_TONG_HOP_BAO_GIA'!B:B, '00_TONG_HOP_BAO_GIA'!G:G, 1)</f>
        <v/>
      </c>
      <c r="I1392" s="5">
        <f>G1392*H1392</f>
        <v/>
      </c>
      <c r="J1392" s="2">
        <f>XLOOKUP(E1392, '06_BANG_GIA_VAT_TU_AP_DUNG'!B:B, '06_BANG_GIA_VAT_TU_AP_DUNG'!C:C, "LỖI_MÃ_VT")</f>
        <v/>
      </c>
      <c r="K1392" s="2">
        <f>I1392*J1392</f>
        <v/>
      </c>
      <c r="L1392" t="inlineStr">
        <is>
          <t>Kích thước vỏ 150.0x150.0x250mm</t>
        </is>
      </c>
    </row>
    <row r="1393">
      <c r="A1393" t="inlineStr">
        <is>
          <t>SW-DAMPER-338-BLADE</t>
        </is>
      </c>
      <c r="B1393" t="inlineStr">
        <is>
          <t>SW-DAMPER-338</t>
        </is>
      </c>
      <c r="C1393" t="inlineStr">
        <is>
          <t>Lá cánh van (1 cánh overlap)</t>
        </is>
      </c>
      <c r="D1393" t="inlineStr">
        <is>
          <t>TÔN_CUỘN_MẠ_KẼM</t>
        </is>
      </c>
      <c r="E1393" t="inlineStr">
        <is>
          <t>MAT-STEEL-PN-0.75</t>
        </is>
      </c>
      <c r="F1393" t="inlineStr">
        <is>
          <t>kg</t>
        </is>
      </c>
      <c r="G1393" s="4" t="n">
        <v>0.16214175</v>
      </c>
      <c r="H1393" s="2">
        <f>XLOOKUP(B1393, '00_TONG_HOP_BAO_GIA'!B:B, '00_TONG_HOP_BAO_GIA'!G:G, 1)</f>
        <v/>
      </c>
      <c r="I1393" s="5">
        <f>G1393*H1393</f>
        <v/>
      </c>
      <c r="J1393" s="2">
        <f>XLOOKUP(E1393, '06_BANG_GIA_VAT_TU_AP_DUNG'!B:B, '06_BANG_GIA_VAT_TU_AP_DUNG'!C:C, "LỖI_MÃ_VT")</f>
        <v/>
      </c>
      <c r="K1393" s="2">
        <f>I1393*J1393</f>
        <v/>
      </c>
      <c r="L1393" t="inlineStr">
        <is>
          <t>1 cánh cao 170mm</t>
        </is>
      </c>
    </row>
    <row r="1394">
      <c r="A1394" t="inlineStr">
        <is>
          <t>SW-DAMPER-338-AXLE</t>
        </is>
      </c>
      <c r="B1394" t="inlineStr">
        <is>
          <t>SW-DAMPER-338</t>
        </is>
      </c>
      <c r="C1394" t="inlineStr">
        <is>
          <t>Trục Sus 201 D10</t>
        </is>
      </c>
      <c r="D1394" t="inlineStr">
        <is>
          <t>PHỤ_KIỆN_VAN</t>
        </is>
      </c>
      <c r="E1394" t="inlineStr">
        <is>
          <t>MAT-DAMPER-TRUC-SUS-201-D10</t>
        </is>
      </c>
      <c r="F1394" t="inlineStr">
        <is>
          <t>m</t>
        </is>
      </c>
      <c r="G1394" s="4" t="n">
        <v>0.21</v>
      </c>
      <c r="H1394" s="2">
        <f>XLOOKUP(B1394, '00_TONG_HOP_BAO_GIA'!B:B, '00_TONG_HOP_BAO_GIA'!G:G, 1)</f>
        <v/>
      </c>
      <c r="I1394" s="5">
        <f>G1394*H1394</f>
        <v/>
      </c>
      <c r="J1394" s="2">
        <f>XLOOKUP(E1394, '06_BANG_GIA_VAT_TU_AP_DUNG'!B:B, '06_BANG_GIA_VAT_TU_AP_DUNG'!C:C, "LỖI_MÃ_VT")</f>
        <v/>
      </c>
      <c r="K1394" s="2">
        <f>I1394*J1394</f>
        <v/>
      </c>
      <c r="L1394" t="inlineStr">
        <is>
          <t>1 trục dài 210mm</t>
        </is>
      </c>
    </row>
    <row r="1395">
      <c r="A1395" t="inlineStr">
        <is>
          <t>SW-DAMPER-338-BEARING</t>
        </is>
      </c>
      <c r="B1395" t="inlineStr">
        <is>
          <t>SW-DAMPER-338</t>
        </is>
      </c>
      <c r="C1395" t="inlineStr">
        <is>
          <t>Bạc đồng D10</t>
        </is>
      </c>
      <c r="D1395" t="inlineStr">
        <is>
          <t>PHỤ_KIỆN_VAN</t>
        </is>
      </c>
      <c r="E1395" t="inlineStr">
        <is>
          <t>MAT-DAMPER-BAC-DONG-D10</t>
        </is>
      </c>
      <c r="F1395" t="inlineStr">
        <is>
          <t>Đôi</t>
        </is>
      </c>
      <c r="G1395" s="4" t="n">
        <v>1</v>
      </c>
      <c r="H1395" s="2">
        <f>XLOOKUP(B1395, '00_TONG_HOP_BAO_GIA'!B:B, '00_TONG_HOP_BAO_GIA'!G:G, 1)</f>
        <v/>
      </c>
      <c r="I1395" s="5">
        <f>G1395*H1395</f>
        <v/>
      </c>
      <c r="J1395" s="2">
        <f>XLOOKUP(E1395, '06_BANG_GIA_VAT_TU_AP_DUNG'!B:B, '06_BANG_GIA_VAT_TU_AP_DUNG'!C:C, "LỖI_MÃ_VT")</f>
        <v/>
      </c>
      <c r="K1395" s="2">
        <f>I1395*J1395</f>
        <v/>
      </c>
      <c r="L1395" t="inlineStr">
        <is>
          <t>1 đôi bạc đỡ 2 bên thân</t>
        </is>
      </c>
    </row>
    <row r="1396">
      <c r="A1396" t="inlineStr">
        <is>
          <t>SW-DAMPER-338-FUSE</t>
        </is>
      </c>
      <c r="B1396" t="inlineStr">
        <is>
          <t>SW-DAMPER-338</t>
        </is>
      </c>
      <c r="C1396" t="inlineStr">
        <is>
          <t>Cầu chì nhiệt nóng chảy 70°C (Elsie/USA)</t>
        </is>
      </c>
      <c r="D1396" t="inlineStr">
        <is>
          <t>PHỤ_KIỆN_VAN</t>
        </is>
      </c>
      <c r="E1396" t="inlineStr">
        <is>
          <t>MAT-DAMPER-CAU-CHI-USA-1-400X400</t>
        </is>
      </c>
      <c r="F1396" t="inlineStr">
        <is>
          <t>Cái</t>
        </is>
      </c>
      <c r="G1396" s="4" t="n">
        <v>1</v>
      </c>
      <c r="H1396" s="2">
        <f>XLOOKUP(B1396, '00_TONG_HOP_BAO_GIA'!B:B, '00_TONG_HOP_BAO_GIA'!G:G, 1)</f>
        <v/>
      </c>
      <c r="I1396" s="5">
        <f>G1396*H1396</f>
        <v/>
      </c>
      <c r="J1396" s="2">
        <f>XLOOKUP(E1396, '06_BANG_GIA_VAT_TU_AP_DUNG'!B:B, '06_BANG_GIA_VAT_TU_AP_DUNG'!C:C, "LỖI_MÃ_VT")</f>
        <v/>
      </c>
      <c r="K1396" s="2">
        <f>I1396*J1396</f>
        <v/>
      </c>
      <c r="L1396" t="inlineStr">
        <is>
          <t>Cầu chì kiểm định PCCC</t>
        </is>
      </c>
    </row>
    <row r="1397">
      <c r="A1397" t="inlineStr">
        <is>
          <t>SW-DAMPER-339-BODY</t>
        </is>
      </c>
      <c r="B1397" t="inlineStr">
        <is>
          <t>SW-DAMPER-339</t>
        </is>
      </c>
      <c r="C1397" t="inlineStr">
        <is>
          <t>Thân vỏ van FD bích TDF (0.75mm)</t>
        </is>
      </c>
      <c r="D1397" t="inlineStr">
        <is>
          <t>TÔN_CUỘN_MẠ_KẼM</t>
        </is>
      </c>
      <c r="E1397" t="inlineStr">
        <is>
          <t>MAT-STEEL-PN-0.75</t>
        </is>
      </c>
      <c r="F1397" t="inlineStr">
        <is>
          <t>kg</t>
        </is>
      </c>
      <c r="G1397" s="4" t="n">
        <v>1.266048</v>
      </c>
      <c r="H1397" s="2">
        <f>XLOOKUP(B1397, '00_TONG_HOP_BAO_GIA'!B:B, '00_TONG_HOP_BAO_GIA'!G:G, 1)</f>
        <v/>
      </c>
      <c r="I1397" s="5">
        <f>G1397*H1397</f>
        <v/>
      </c>
      <c r="J1397" s="2">
        <f>XLOOKUP(E1397, '06_BANG_GIA_VAT_TU_AP_DUNG'!B:B, '06_BANG_GIA_VAT_TU_AP_DUNG'!C:C, "LỖI_MÃ_VT")</f>
        <v/>
      </c>
      <c r="K1397" s="2">
        <f>I1397*J1397</f>
        <v/>
      </c>
      <c r="L1397" t="inlineStr">
        <is>
          <t>Kích thước vỏ 150.0x150.0x250mm</t>
        </is>
      </c>
    </row>
    <row r="1398">
      <c r="A1398" t="inlineStr">
        <is>
          <t>SW-DAMPER-339-BLADE</t>
        </is>
      </c>
      <c r="B1398" t="inlineStr">
        <is>
          <t>SW-DAMPER-339</t>
        </is>
      </c>
      <c r="C1398" t="inlineStr">
        <is>
          <t>Lá cánh van (1 cánh overlap)</t>
        </is>
      </c>
      <c r="D1398" t="inlineStr">
        <is>
          <t>TÔN_CUỘN_MẠ_KẼM</t>
        </is>
      </c>
      <c r="E1398" t="inlineStr">
        <is>
          <t>MAT-STEEL-PN-0.75</t>
        </is>
      </c>
      <c r="F1398" t="inlineStr">
        <is>
          <t>kg</t>
        </is>
      </c>
      <c r="G1398" s="4" t="n">
        <v>0.16214175</v>
      </c>
      <c r="H1398" s="2">
        <f>XLOOKUP(B1398, '00_TONG_HOP_BAO_GIA'!B:B, '00_TONG_HOP_BAO_GIA'!G:G, 1)</f>
        <v/>
      </c>
      <c r="I1398" s="5">
        <f>G1398*H1398</f>
        <v/>
      </c>
      <c r="J1398" s="2">
        <f>XLOOKUP(E1398, '06_BANG_GIA_VAT_TU_AP_DUNG'!B:B, '06_BANG_GIA_VAT_TU_AP_DUNG'!C:C, "LỖI_MÃ_VT")</f>
        <v/>
      </c>
      <c r="K1398" s="2">
        <f>I1398*J1398</f>
        <v/>
      </c>
      <c r="L1398" t="inlineStr">
        <is>
          <t>1 cánh cao 170mm</t>
        </is>
      </c>
    </row>
    <row r="1399">
      <c r="A1399" t="inlineStr">
        <is>
          <t>SW-DAMPER-339-AXLE</t>
        </is>
      </c>
      <c r="B1399" t="inlineStr">
        <is>
          <t>SW-DAMPER-339</t>
        </is>
      </c>
      <c r="C1399" t="inlineStr">
        <is>
          <t>Trục Sus 201 D10</t>
        </is>
      </c>
      <c r="D1399" t="inlineStr">
        <is>
          <t>PHỤ_KIỆN_VAN</t>
        </is>
      </c>
      <c r="E1399" t="inlineStr">
        <is>
          <t>MAT-DAMPER-TRUC-SUS-201-D10</t>
        </is>
      </c>
      <c r="F1399" t="inlineStr">
        <is>
          <t>m</t>
        </is>
      </c>
      <c r="G1399" s="4" t="n">
        <v>0.21</v>
      </c>
      <c r="H1399" s="2">
        <f>XLOOKUP(B1399, '00_TONG_HOP_BAO_GIA'!B:B, '00_TONG_HOP_BAO_GIA'!G:G, 1)</f>
        <v/>
      </c>
      <c r="I1399" s="5">
        <f>G1399*H1399</f>
        <v/>
      </c>
      <c r="J1399" s="2">
        <f>XLOOKUP(E1399, '06_BANG_GIA_VAT_TU_AP_DUNG'!B:B, '06_BANG_GIA_VAT_TU_AP_DUNG'!C:C, "LỖI_MÃ_VT")</f>
        <v/>
      </c>
      <c r="K1399" s="2">
        <f>I1399*J1399</f>
        <v/>
      </c>
      <c r="L1399" t="inlineStr">
        <is>
          <t>1 trục dài 210mm</t>
        </is>
      </c>
    </row>
    <row r="1400">
      <c r="A1400" t="inlineStr">
        <is>
          <t>SW-DAMPER-339-BEARING</t>
        </is>
      </c>
      <c r="B1400" t="inlineStr">
        <is>
          <t>SW-DAMPER-339</t>
        </is>
      </c>
      <c r="C1400" t="inlineStr">
        <is>
          <t>Bạc đồng D10</t>
        </is>
      </c>
      <c r="D1400" t="inlineStr">
        <is>
          <t>PHỤ_KIỆN_VAN</t>
        </is>
      </c>
      <c r="E1400" t="inlineStr">
        <is>
          <t>MAT-DAMPER-BAC-DONG-D10</t>
        </is>
      </c>
      <c r="F1400" t="inlineStr">
        <is>
          <t>Đôi</t>
        </is>
      </c>
      <c r="G1400" s="4" t="n">
        <v>1</v>
      </c>
      <c r="H1400" s="2">
        <f>XLOOKUP(B1400, '00_TONG_HOP_BAO_GIA'!B:B, '00_TONG_HOP_BAO_GIA'!G:G, 1)</f>
        <v/>
      </c>
      <c r="I1400" s="5">
        <f>G1400*H1400</f>
        <v/>
      </c>
      <c r="J1400" s="2">
        <f>XLOOKUP(E1400, '06_BANG_GIA_VAT_TU_AP_DUNG'!B:B, '06_BANG_GIA_VAT_TU_AP_DUNG'!C:C, "LỖI_MÃ_VT")</f>
        <v/>
      </c>
      <c r="K1400" s="2">
        <f>I1400*J1400</f>
        <v/>
      </c>
      <c r="L1400" t="inlineStr">
        <is>
          <t>1 đôi bạc đỡ 2 bên thân</t>
        </is>
      </c>
    </row>
    <row r="1401">
      <c r="A1401" t="inlineStr">
        <is>
          <t>SW-DAMPER-339-FUSE</t>
        </is>
      </c>
      <c r="B1401" t="inlineStr">
        <is>
          <t>SW-DAMPER-339</t>
        </is>
      </c>
      <c r="C1401" t="inlineStr">
        <is>
          <t>Cầu chì nhiệt nóng chảy 70°C (Elsie/USA)</t>
        </is>
      </c>
      <c r="D1401" t="inlineStr">
        <is>
          <t>PHỤ_KIỆN_VAN</t>
        </is>
      </c>
      <c r="E1401" t="inlineStr">
        <is>
          <t>MAT-DAMPER-CAU-CHI-USA-1-400X400</t>
        </is>
      </c>
      <c r="F1401" t="inlineStr">
        <is>
          <t>Cái</t>
        </is>
      </c>
      <c r="G1401" s="4" t="n">
        <v>1</v>
      </c>
      <c r="H1401" s="2">
        <f>XLOOKUP(B1401, '00_TONG_HOP_BAO_GIA'!B:B, '00_TONG_HOP_BAO_GIA'!G:G, 1)</f>
        <v/>
      </c>
      <c r="I1401" s="5">
        <f>G1401*H1401</f>
        <v/>
      </c>
      <c r="J1401" s="2">
        <f>XLOOKUP(E1401, '06_BANG_GIA_VAT_TU_AP_DUNG'!B:B, '06_BANG_GIA_VAT_TU_AP_DUNG'!C:C, "LỖI_MÃ_VT")</f>
        <v/>
      </c>
      <c r="K1401" s="2">
        <f>I1401*J1401</f>
        <v/>
      </c>
      <c r="L1401" t="inlineStr">
        <is>
          <t>Cầu chì kiểm định PCCC</t>
        </is>
      </c>
    </row>
    <row r="1402">
      <c r="A1402" t="inlineStr">
        <is>
          <t>SW-DAMPER-340-BODY</t>
        </is>
      </c>
      <c r="B1402" t="inlineStr">
        <is>
          <t>SW-DAMPER-340</t>
        </is>
      </c>
      <c r="C1402" t="inlineStr">
        <is>
          <t>Thân vỏ van FD bích TDF (0.75mm)</t>
        </is>
      </c>
      <c r="D1402" t="inlineStr">
        <is>
          <t>TÔN_CUỘN_MẠ_KẼM</t>
        </is>
      </c>
      <c r="E1402" t="inlineStr">
        <is>
          <t>MAT-STEEL-PN-0.75</t>
        </is>
      </c>
      <c r="F1402" t="inlineStr">
        <is>
          <t>kg</t>
        </is>
      </c>
      <c r="G1402" s="4" t="n">
        <v>2.255148</v>
      </c>
      <c r="H1402" s="2">
        <f>XLOOKUP(B1402, '00_TONG_HOP_BAO_GIA'!B:B, '00_TONG_HOP_BAO_GIA'!G:G, 1)</f>
        <v/>
      </c>
      <c r="I1402" s="5">
        <f>G1402*H1402</f>
        <v/>
      </c>
      <c r="J1402" s="2">
        <f>XLOOKUP(E1402, '06_BANG_GIA_VAT_TU_AP_DUNG'!B:B, '06_BANG_GIA_VAT_TU_AP_DUNG'!C:C, "LỖI_MÃ_VT")</f>
        <v/>
      </c>
      <c r="K1402" s="2">
        <f>I1402*J1402</f>
        <v/>
      </c>
      <c r="L1402" t="inlineStr">
        <is>
          <t>Kích thước vỏ 300.0x250.0x250mm</t>
        </is>
      </c>
    </row>
    <row r="1403">
      <c r="A1403" t="inlineStr">
        <is>
          <t>SW-DAMPER-340-BLADE</t>
        </is>
      </c>
      <c r="B1403" t="inlineStr">
        <is>
          <t>SW-DAMPER-340</t>
        </is>
      </c>
      <c r="C1403" t="inlineStr">
        <is>
          <t>Lá cánh van (2 cánh overlap)</t>
        </is>
      </c>
      <c r="D1403" t="inlineStr">
        <is>
          <t>TÔN_CUỘN_MẠ_KẼM</t>
        </is>
      </c>
      <c r="E1403" t="inlineStr">
        <is>
          <t>MAT-STEEL-PN-0.75</t>
        </is>
      </c>
      <c r="F1403" t="inlineStr">
        <is>
          <t>kg</t>
        </is>
      </c>
      <c r="G1403" s="4" t="n">
        <v>0.5531894999999999</v>
      </c>
      <c r="H1403" s="2">
        <f>XLOOKUP(B1403, '00_TONG_HOP_BAO_GIA'!B:B, '00_TONG_HOP_BAO_GIA'!G:G, 1)</f>
        <v/>
      </c>
      <c r="I1403" s="5">
        <f>G1403*H1403</f>
        <v/>
      </c>
      <c r="J1403" s="2">
        <f>XLOOKUP(E1403, '06_BANG_GIA_VAT_TU_AP_DUNG'!B:B, '06_BANG_GIA_VAT_TU_AP_DUNG'!C:C, "LỖI_MÃ_VT")</f>
        <v/>
      </c>
      <c r="K1403" s="2">
        <f>I1403*J1403</f>
        <v/>
      </c>
      <c r="L1403" t="inlineStr">
        <is>
          <t>2 cánh cao 145mm</t>
        </is>
      </c>
    </row>
    <row r="1404">
      <c r="A1404" t="inlineStr">
        <is>
          <t>SW-DAMPER-340-AXLE</t>
        </is>
      </c>
      <c r="B1404" t="inlineStr">
        <is>
          <t>SW-DAMPER-340</t>
        </is>
      </c>
      <c r="C1404" t="inlineStr">
        <is>
          <t>Trục Sus 201 D10</t>
        </is>
      </c>
      <c r="D1404" t="inlineStr">
        <is>
          <t>PHỤ_KIỆN_VAN</t>
        </is>
      </c>
      <c r="E1404" t="inlineStr">
        <is>
          <t>MAT-DAMPER-TRUC-SUS-201-D10</t>
        </is>
      </c>
      <c r="F1404" t="inlineStr">
        <is>
          <t>m</t>
        </is>
      </c>
      <c r="G1404" s="4" t="n">
        <v>0.72</v>
      </c>
      <c r="H1404" s="2">
        <f>XLOOKUP(B1404, '00_TONG_HOP_BAO_GIA'!B:B, '00_TONG_HOP_BAO_GIA'!G:G, 1)</f>
        <v/>
      </c>
      <c r="I1404" s="5">
        <f>G1404*H1404</f>
        <v/>
      </c>
      <c r="J1404" s="2">
        <f>XLOOKUP(E1404, '06_BANG_GIA_VAT_TU_AP_DUNG'!B:B, '06_BANG_GIA_VAT_TU_AP_DUNG'!C:C, "LỖI_MÃ_VT")</f>
        <v/>
      </c>
      <c r="K1404" s="2">
        <f>I1404*J1404</f>
        <v/>
      </c>
      <c r="L1404" t="inlineStr">
        <is>
          <t>2 trục dài 360mm</t>
        </is>
      </c>
    </row>
    <row r="1405">
      <c r="A1405" t="inlineStr">
        <is>
          <t>SW-DAMPER-340-BEARING</t>
        </is>
      </c>
      <c r="B1405" t="inlineStr">
        <is>
          <t>SW-DAMPER-340</t>
        </is>
      </c>
      <c r="C1405" t="inlineStr">
        <is>
          <t>Bạc đồng D10</t>
        </is>
      </c>
      <c r="D1405" t="inlineStr">
        <is>
          <t>PHỤ_KIỆN_VAN</t>
        </is>
      </c>
      <c r="E1405" t="inlineStr">
        <is>
          <t>MAT-DAMPER-BAC-DONG-D10</t>
        </is>
      </c>
      <c r="F1405" t="inlineStr">
        <is>
          <t>Đôi</t>
        </is>
      </c>
      <c r="G1405" s="4" t="n">
        <v>2</v>
      </c>
      <c r="H1405" s="2">
        <f>XLOOKUP(B1405, '00_TONG_HOP_BAO_GIA'!B:B, '00_TONG_HOP_BAO_GIA'!G:G, 1)</f>
        <v/>
      </c>
      <c r="I1405" s="5">
        <f>G1405*H1405</f>
        <v/>
      </c>
      <c r="J1405" s="2">
        <f>XLOOKUP(E1405, '06_BANG_GIA_VAT_TU_AP_DUNG'!B:B, '06_BANG_GIA_VAT_TU_AP_DUNG'!C:C, "LỖI_MÃ_VT")</f>
        <v/>
      </c>
      <c r="K1405" s="2">
        <f>I1405*J1405</f>
        <v/>
      </c>
      <c r="L1405" t="inlineStr">
        <is>
          <t>2 đôi bạc đỡ 2 bên thân</t>
        </is>
      </c>
    </row>
    <row r="1406">
      <c r="A1406" t="inlineStr">
        <is>
          <t>SW-DAMPER-340-GEAR</t>
        </is>
      </c>
      <c r="B1406" t="inlineStr">
        <is>
          <t>SW-DAMPER-340</t>
        </is>
      </c>
      <c r="C1406" t="inlineStr">
        <is>
          <t>Bánh răng van nhôm</t>
        </is>
      </c>
      <c r="D1406" t="inlineStr">
        <is>
          <t>PHỤ_KIỆN_VAN</t>
        </is>
      </c>
      <c r="E1406" t="inlineStr">
        <is>
          <t>MAT-DAMPER-BANH-RANG-VAN-NHOM</t>
        </is>
      </c>
      <c r="F1406" t="inlineStr">
        <is>
          <t>Bộ</t>
        </is>
      </c>
      <c r="G1406" s="4" t="n">
        <v>1</v>
      </c>
      <c r="H1406" s="2">
        <f>XLOOKUP(B1406, '00_TONG_HOP_BAO_GIA'!B:B, '00_TONG_HOP_BAO_GIA'!G:G, 1)</f>
        <v/>
      </c>
      <c r="I1406" s="5">
        <f>G1406*H1406</f>
        <v/>
      </c>
      <c r="J1406" s="2">
        <f>XLOOKUP(E1406, '06_BANG_GIA_VAT_TU_AP_DUNG'!B:B, '06_BANG_GIA_VAT_TU_AP_DUNG'!C:C, "LỖI_MÃ_VT")</f>
        <v/>
      </c>
      <c r="K1406" s="2">
        <f>I1406*J1406</f>
        <v/>
      </c>
      <c r="L1406" t="inlineStr">
        <is>
          <t>Cơ cấu liên động bánh răng van</t>
        </is>
      </c>
    </row>
    <row r="1407">
      <c r="A1407" t="inlineStr">
        <is>
          <t>SW-DAMPER-340-FUSE</t>
        </is>
      </c>
      <c r="B1407" t="inlineStr">
        <is>
          <t>SW-DAMPER-340</t>
        </is>
      </c>
      <c r="C1407" t="inlineStr">
        <is>
          <t>Cầu chì nhiệt nóng chảy 70°C (Elsie/USA)</t>
        </is>
      </c>
      <c r="D1407" t="inlineStr">
        <is>
          <t>PHỤ_KIỆN_VAN</t>
        </is>
      </c>
      <c r="E1407" t="inlineStr">
        <is>
          <t>MAT-DAMPER-CAU-CHI-USA-1-400X400</t>
        </is>
      </c>
      <c r="F1407" t="inlineStr">
        <is>
          <t>Cái</t>
        </is>
      </c>
      <c r="G1407" s="4" t="n">
        <v>1</v>
      </c>
      <c r="H1407" s="2">
        <f>XLOOKUP(B1407, '00_TONG_HOP_BAO_GIA'!B:B, '00_TONG_HOP_BAO_GIA'!G:G, 1)</f>
        <v/>
      </c>
      <c r="I1407" s="5">
        <f>G1407*H1407</f>
        <v/>
      </c>
      <c r="J1407" s="2">
        <f>XLOOKUP(E1407, '06_BANG_GIA_VAT_TU_AP_DUNG'!B:B, '06_BANG_GIA_VAT_TU_AP_DUNG'!C:C, "LỖI_MÃ_VT")</f>
        <v/>
      </c>
      <c r="K1407" s="2">
        <f>I1407*J1407</f>
        <v/>
      </c>
      <c r="L1407" t="inlineStr">
        <is>
          <t>Cầu chì kiểm định PCCC</t>
        </is>
      </c>
    </row>
    <row r="1408">
      <c r="A1408" t="inlineStr">
        <is>
          <t>SW-DAMPER-341-BODY</t>
        </is>
      </c>
      <c r="B1408" t="inlineStr">
        <is>
          <t>SW-DAMPER-341</t>
        </is>
      </c>
      <c r="C1408" t="inlineStr">
        <is>
          <t>Thân vỏ van FD bích TDF (0.75mm)</t>
        </is>
      </c>
      <c r="D1408" t="inlineStr">
        <is>
          <t>TÔN_CUỘN_MẠ_KẼM</t>
        </is>
      </c>
      <c r="E1408" t="inlineStr">
        <is>
          <t>MAT-STEEL-PN-0.75</t>
        </is>
      </c>
      <c r="F1408" t="inlineStr">
        <is>
          <t>kg</t>
        </is>
      </c>
      <c r="G1408" s="4" t="n">
        <v>2.452968</v>
      </c>
      <c r="H1408" s="2">
        <f>XLOOKUP(B1408, '00_TONG_HOP_BAO_GIA'!B:B, '00_TONG_HOP_BAO_GIA'!G:G, 1)</f>
        <v/>
      </c>
      <c r="I1408" s="5">
        <f>G1408*H1408</f>
        <v/>
      </c>
      <c r="J1408" s="2">
        <f>XLOOKUP(E1408, '06_BANG_GIA_VAT_TU_AP_DUNG'!B:B, '06_BANG_GIA_VAT_TU_AP_DUNG'!C:C, "LỖI_MÃ_VT")</f>
        <v/>
      </c>
      <c r="K1408" s="2">
        <f>I1408*J1408</f>
        <v/>
      </c>
      <c r="L1408" t="inlineStr">
        <is>
          <t>Kích thước vỏ 300.0x300.0x250mm</t>
        </is>
      </c>
    </row>
    <row r="1409">
      <c r="A1409" t="inlineStr">
        <is>
          <t>SW-DAMPER-341-BLADE</t>
        </is>
      </c>
      <c r="B1409" t="inlineStr">
        <is>
          <t>SW-DAMPER-341</t>
        </is>
      </c>
      <c r="C1409" t="inlineStr">
        <is>
          <t>Lá cánh van (2 cánh overlap)</t>
        </is>
      </c>
      <c r="D1409" t="inlineStr">
        <is>
          <t>TÔN_CUỘN_MẠ_KẼM</t>
        </is>
      </c>
      <c r="E1409" t="inlineStr">
        <is>
          <t>MAT-STEEL-PN-0.75</t>
        </is>
      </c>
      <c r="F1409" t="inlineStr">
        <is>
          <t>kg</t>
        </is>
      </c>
      <c r="G1409" s="4" t="n">
        <v>0.648567</v>
      </c>
      <c r="H1409" s="2">
        <f>XLOOKUP(B1409, '00_TONG_HOP_BAO_GIA'!B:B, '00_TONG_HOP_BAO_GIA'!G:G, 1)</f>
        <v/>
      </c>
      <c r="I1409" s="5">
        <f>G1409*H1409</f>
        <v/>
      </c>
      <c r="J1409" s="2">
        <f>XLOOKUP(E1409, '06_BANG_GIA_VAT_TU_AP_DUNG'!B:B, '06_BANG_GIA_VAT_TU_AP_DUNG'!C:C, "LỖI_MÃ_VT")</f>
        <v/>
      </c>
      <c r="K1409" s="2">
        <f>I1409*J1409</f>
        <v/>
      </c>
      <c r="L1409" t="inlineStr">
        <is>
          <t>2 cánh cao 170mm</t>
        </is>
      </c>
    </row>
    <row r="1410">
      <c r="A1410" t="inlineStr">
        <is>
          <t>SW-DAMPER-341-AXLE</t>
        </is>
      </c>
      <c r="B1410" t="inlineStr">
        <is>
          <t>SW-DAMPER-341</t>
        </is>
      </c>
      <c r="C1410" t="inlineStr">
        <is>
          <t>Trục Sus 201 D10</t>
        </is>
      </c>
      <c r="D1410" t="inlineStr">
        <is>
          <t>PHỤ_KIỆN_VAN</t>
        </is>
      </c>
      <c r="E1410" t="inlineStr">
        <is>
          <t>MAT-DAMPER-TRUC-SUS-201-D10</t>
        </is>
      </c>
      <c r="F1410" t="inlineStr">
        <is>
          <t>m</t>
        </is>
      </c>
      <c r="G1410" s="4" t="n">
        <v>0.72</v>
      </c>
      <c r="H1410" s="2">
        <f>XLOOKUP(B1410, '00_TONG_HOP_BAO_GIA'!B:B, '00_TONG_HOP_BAO_GIA'!G:G, 1)</f>
        <v/>
      </c>
      <c r="I1410" s="5">
        <f>G1410*H1410</f>
        <v/>
      </c>
      <c r="J1410" s="2">
        <f>XLOOKUP(E1410, '06_BANG_GIA_VAT_TU_AP_DUNG'!B:B, '06_BANG_GIA_VAT_TU_AP_DUNG'!C:C, "LỖI_MÃ_VT")</f>
        <v/>
      </c>
      <c r="K1410" s="2">
        <f>I1410*J1410</f>
        <v/>
      </c>
      <c r="L1410" t="inlineStr">
        <is>
          <t>2 trục dài 360mm</t>
        </is>
      </c>
    </row>
    <row r="1411">
      <c r="A1411" t="inlineStr">
        <is>
          <t>SW-DAMPER-341-BEARING</t>
        </is>
      </c>
      <c r="B1411" t="inlineStr">
        <is>
          <t>SW-DAMPER-341</t>
        </is>
      </c>
      <c r="C1411" t="inlineStr">
        <is>
          <t>Bạc đồng D10</t>
        </is>
      </c>
      <c r="D1411" t="inlineStr">
        <is>
          <t>PHỤ_KIỆN_VAN</t>
        </is>
      </c>
      <c r="E1411" t="inlineStr">
        <is>
          <t>MAT-DAMPER-BAC-DONG-D10</t>
        </is>
      </c>
      <c r="F1411" t="inlineStr">
        <is>
          <t>Đôi</t>
        </is>
      </c>
      <c r="G1411" s="4" t="n">
        <v>2</v>
      </c>
      <c r="H1411" s="2">
        <f>XLOOKUP(B1411, '00_TONG_HOP_BAO_GIA'!B:B, '00_TONG_HOP_BAO_GIA'!G:G, 1)</f>
        <v/>
      </c>
      <c r="I1411" s="5">
        <f>G1411*H1411</f>
        <v/>
      </c>
      <c r="J1411" s="2">
        <f>XLOOKUP(E1411, '06_BANG_GIA_VAT_TU_AP_DUNG'!B:B, '06_BANG_GIA_VAT_TU_AP_DUNG'!C:C, "LỖI_MÃ_VT")</f>
        <v/>
      </c>
      <c r="K1411" s="2">
        <f>I1411*J1411</f>
        <v/>
      </c>
      <c r="L1411" t="inlineStr">
        <is>
          <t>2 đôi bạc đỡ 2 bên thân</t>
        </is>
      </c>
    </row>
    <row r="1412">
      <c r="A1412" t="inlineStr">
        <is>
          <t>SW-DAMPER-341-GEAR</t>
        </is>
      </c>
      <c r="B1412" t="inlineStr">
        <is>
          <t>SW-DAMPER-341</t>
        </is>
      </c>
      <c r="C1412" t="inlineStr">
        <is>
          <t>Bánh răng van nhôm</t>
        </is>
      </c>
      <c r="D1412" t="inlineStr">
        <is>
          <t>PHỤ_KIỆN_VAN</t>
        </is>
      </c>
      <c r="E1412" t="inlineStr">
        <is>
          <t>MAT-DAMPER-BANH-RANG-VAN-NHOM</t>
        </is>
      </c>
      <c r="F1412" t="inlineStr">
        <is>
          <t>Bộ</t>
        </is>
      </c>
      <c r="G1412" s="4" t="n">
        <v>1</v>
      </c>
      <c r="H1412" s="2">
        <f>XLOOKUP(B1412, '00_TONG_HOP_BAO_GIA'!B:B, '00_TONG_HOP_BAO_GIA'!G:G, 1)</f>
        <v/>
      </c>
      <c r="I1412" s="5">
        <f>G1412*H1412</f>
        <v/>
      </c>
      <c r="J1412" s="2">
        <f>XLOOKUP(E1412, '06_BANG_GIA_VAT_TU_AP_DUNG'!B:B, '06_BANG_GIA_VAT_TU_AP_DUNG'!C:C, "LỖI_MÃ_VT")</f>
        <v/>
      </c>
      <c r="K1412" s="2">
        <f>I1412*J1412</f>
        <v/>
      </c>
      <c r="L1412" t="inlineStr">
        <is>
          <t>Cơ cấu liên động bánh răng van</t>
        </is>
      </c>
    </row>
    <row r="1413">
      <c r="A1413" t="inlineStr">
        <is>
          <t>SW-DAMPER-341-FUSE</t>
        </is>
      </c>
      <c r="B1413" t="inlineStr">
        <is>
          <t>SW-DAMPER-341</t>
        </is>
      </c>
      <c r="C1413" t="inlineStr">
        <is>
          <t>Cầu chì nhiệt nóng chảy 70°C (Elsie/USA)</t>
        </is>
      </c>
      <c r="D1413" t="inlineStr">
        <is>
          <t>PHỤ_KIỆN_VAN</t>
        </is>
      </c>
      <c r="E1413" t="inlineStr">
        <is>
          <t>MAT-DAMPER-CAU-CHI-USA-1-400X400</t>
        </is>
      </c>
      <c r="F1413" t="inlineStr">
        <is>
          <t>Cái</t>
        </is>
      </c>
      <c r="G1413" s="4" t="n">
        <v>1</v>
      </c>
      <c r="H1413" s="2">
        <f>XLOOKUP(B1413, '00_TONG_HOP_BAO_GIA'!B:B, '00_TONG_HOP_BAO_GIA'!G:G, 1)</f>
        <v/>
      </c>
      <c r="I1413" s="5">
        <f>G1413*H1413</f>
        <v/>
      </c>
      <c r="J1413" s="2">
        <f>XLOOKUP(E1413, '06_BANG_GIA_VAT_TU_AP_DUNG'!B:B, '06_BANG_GIA_VAT_TU_AP_DUNG'!C:C, "LỖI_MÃ_VT")</f>
        <v/>
      </c>
      <c r="K1413" s="2">
        <f>I1413*J1413</f>
        <v/>
      </c>
      <c r="L1413" t="inlineStr">
        <is>
          <t>Cầu chì kiểm định PCCC</t>
        </is>
      </c>
    </row>
    <row r="1414">
      <c r="A1414" t="inlineStr">
        <is>
          <t>SW-DAMPER-342-BODY</t>
        </is>
      </c>
      <c r="B1414" t="inlineStr">
        <is>
          <t>SW-DAMPER-342</t>
        </is>
      </c>
      <c r="C1414" t="inlineStr">
        <is>
          <t>Thân vỏ van FD bích TDF (0.75mm)</t>
        </is>
      </c>
      <c r="D1414" t="inlineStr">
        <is>
          <t>TÔN_CUỘN_MẠ_KẼM</t>
        </is>
      </c>
      <c r="E1414" t="inlineStr">
        <is>
          <t>MAT-STEEL-PN-0.75</t>
        </is>
      </c>
      <c r="F1414" t="inlineStr">
        <is>
          <t>kg</t>
        </is>
      </c>
      <c r="G1414" s="4" t="n">
        <v>2.452968</v>
      </c>
      <c r="H1414" s="2">
        <f>XLOOKUP(B1414, '00_TONG_HOP_BAO_GIA'!B:B, '00_TONG_HOP_BAO_GIA'!G:G, 1)</f>
        <v/>
      </c>
      <c r="I1414" s="5">
        <f>G1414*H1414</f>
        <v/>
      </c>
      <c r="J1414" s="2">
        <f>XLOOKUP(E1414, '06_BANG_GIA_VAT_TU_AP_DUNG'!B:B, '06_BANG_GIA_VAT_TU_AP_DUNG'!C:C, "LỖI_MÃ_VT")</f>
        <v/>
      </c>
      <c r="K1414" s="2">
        <f>I1414*J1414</f>
        <v/>
      </c>
      <c r="L1414" t="inlineStr">
        <is>
          <t>Kích thước vỏ 350.0x250.0x250mm</t>
        </is>
      </c>
    </row>
    <row r="1415">
      <c r="A1415" t="inlineStr">
        <is>
          <t>SW-DAMPER-342-BLADE</t>
        </is>
      </c>
      <c r="B1415" t="inlineStr">
        <is>
          <t>SW-DAMPER-342</t>
        </is>
      </c>
      <c r="C1415" t="inlineStr">
        <is>
          <t>Lá cánh van (2 cánh overlap)</t>
        </is>
      </c>
      <c r="D1415" t="inlineStr">
        <is>
          <t>TÔN_CUỘN_MẠ_KẼM</t>
        </is>
      </c>
      <c r="E1415" t="inlineStr">
        <is>
          <t>MAT-STEEL-PN-0.75</t>
        </is>
      </c>
      <c r="F1415" t="inlineStr">
        <is>
          <t>kg</t>
        </is>
      </c>
      <c r="G1415" s="4" t="n">
        <v>0.6453877499999999</v>
      </c>
      <c r="H1415" s="2">
        <f>XLOOKUP(B1415, '00_TONG_HOP_BAO_GIA'!B:B, '00_TONG_HOP_BAO_GIA'!G:G, 1)</f>
        <v/>
      </c>
      <c r="I1415" s="5">
        <f>G1415*H1415</f>
        <v/>
      </c>
      <c r="J1415" s="2">
        <f>XLOOKUP(E1415, '06_BANG_GIA_VAT_TU_AP_DUNG'!B:B, '06_BANG_GIA_VAT_TU_AP_DUNG'!C:C, "LỖI_MÃ_VT")</f>
        <v/>
      </c>
      <c r="K1415" s="2">
        <f>I1415*J1415</f>
        <v/>
      </c>
      <c r="L1415" t="inlineStr">
        <is>
          <t>2 cánh cao 145mm</t>
        </is>
      </c>
    </row>
    <row r="1416">
      <c r="A1416" t="inlineStr">
        <is>
          <t>SW-DAMPER-342-AXLE</t>
        </is>
      </c>
      <c r="B1416" t="inlineStr">
        <is>
          <t>SW-DAMPER-342</t>
        </is>
      </c>
      <c r="C1416" t="inlineStr">
        <is>
          <t>Trục Sus 201 D10</t>
        </is>
      </c>
      <c r="D1416" t="inlineStr">
        <is>
          <t>PHỤ_KIỆN_VAN</t>
        </is>
      </c>
      <c r="E1416" t="inlineStr">
        <is>
          <t>MAT-DAMPER-TRUC-SUS-201-D10</t>
        </is>
      </c>
      <c r="F1416" t="inlineStr">
        <is>
          <t>m</t>
        </is>
      </c>
      <c r="G1416" s="4" t="n">
        <v>0.82</v>
      </c>
      <c r="H1416" s="2">
        <f>XLOOKUP(B1416, '00_TONG_HOP_BAO_GIA'!B:B, '00_TONG_HOP_BAO_GIA'!G:G, 1)</f>
        <v/>
      </c>
      <c r="I1416" s="5">
        <f>G1416*H1416</f>
        <v/>
      </c>
      <c r="J1416" s="2">
        <f>XLOOKUP(E1416, '06_BANG_GIA_VAT_TU_AP_DUNG'!B:B, '06_BANG_GIA_VAT_TU_AP_DUNG'!C:C, "LỖI_MÃ_VT")</f>
        <v/>
      </c>
      <c r="K1416" s="2">
        <f>I1416*J1416</f>
        <v/>
      </c>
      <c r="L1416" t="inlineStr">
        <is>
          <t>2 trục dài 410mm</t>
        </is>
      </c>
    </row>
    <row r="1417">
      <c r="A1417" t="inlineStr">
        <is>
          <t>SW-DAMPER-342-BEARING</t>
        </is>
      </c>
      <c r="B1417" t="inlineStr">
        <is>
          <t>SW-DAMPER-342</t>
        </is>
      </c>
      <c r="C1417" t="inlineStr">
        <is>
          <t>Bạc đồng D10</t>
        </is>
      </c>
      <c r="D1417" t="inlineStr">
        <is>
          <t>PHỤ_KIỆN_VAN</t>
        </is>
      </c>
      <c r="E1417" t="inlineStr">
        <is>
          <t>MAT-DAMPER-BAC-DONG-D10</t>
        </is>
      </c>
      <c r="F1417" t="inlineStr">
        <is>
          <t>Đôi</t>
        </is>
      </c>
      <c r="G1417" s="4" t="n">
        <v>2</v>
      </c>
      <c r="H1417" s="2">
        <f>XLOOKUP(B1417, '00_TONG_HOP_BAO_GIA'!B:B, '00_TONG_HOP_BAO_GIA'!G:G, 1)</f>
        <v/>
      </c>
      <c r="I1417" s="5">
        <f>G1417*H1417</f>
        <v/>
      </c>
      <c r="J1417" s="2">
        <f>XLOOKUP(E1417, '06_BANG_GIA_VAT_TU_AP_DUNG'!B:B, '06_BANG_GIA_VAT_TU_AP_DUNG'!C:C, "LỖI_MÃ_VT")</f>
        <v/>
      </c>
      <c r="K1417" s="2">
        <f>I1417*J1417</f>
        <v/>
      </c>
      <c r="L1417" t="inlineStr">
        <is>
          <t>2 đôi bạc đỡ 2 bên thân</t>
        </is>
      </c>
    </row>
    <row r="1418">
      <c r="A1418" t="inlineStr">
        <is>
          <t>SW-DAMPER-342-GEAR</t>
        </is>
      </c>
      <c r="B1418" t="inlineStr">
        <is>
          <t>SW-DAMPER-342</t>
        </is>
      </c>
      <c r="C1418" t="inlineStr">
        <is>
          <t>Bánh răng van nhôm</t>
        </is>
      </c>
      <c r="D1418" t="inlineStr">
        <is>
          <t>PHỤ_KIỆN_VAN</t>
        </is>
      </c>
      <c r="E1418" t="inlineStr">
        <is>
          <t>MAT-DAMPER-BANH-RANG-VAN-NHOM</t>
        </is>
      </c>
      <c r="F1418" t="inlineStr">
        <is>
          <t>Bộ</t>
        </is>
      </c>
      <c r="G1418" s="4" t="n">
        <v>1</v>
      </c>
      <c r="H1418" s="2">
        <f>XLOOKUP(B1418, '00_TONG_HOP_BAO_GIA'!B:B, '00_TONG_HOP_BAO_GIA'!G:G, 1)</f>
        <v/>
      </c>
      <c r="I1418" s="5">
        <f>G1418*H1418</f>
        <v/>
      </c>
      <c r="J1418" s="2">
        <f>XLOOKUP(E1418, '06_BANG_GIA_VAT_TU_AP_DUNG'!B:B, '06_BANG_GIA_VAT_TU_AP_DUNG'!C:C, "LỖI_MÃ_VT")</f>
        <v/>
      </c>
      <c r="K1418" s="2">
        <f>I1418*J1418</f>
        <v/>
      </c>
      <c r="L1418" t="inlineStr">
        <is>
          <t>Cơ cấu liên động bánh răng van</t>
        </is>
      </c>
    </row>
    <row r="1419">
      <c r="A1419" t="inlineStr">
        <is>
          <t>SW-DAMPER-342-FUSE</t>
        </is>
      </c>
      <c r="B1419" t="inlineStr">
        <is>
          <t>SW-DAMPER-342</t>
        </is>
      </c>
      <c r="C1419" t="inlineStr">
        <is>
          <t>Cầu chì nhiệt nóng chảy 70°C (Elsie/USA)</t>
        </is>
      </c>
      <c r="D1419" t="inlineStr">
        <is>
          <t>PHỤ_KIỆN_VAN</t>
        </is>
      </c>
      <c r="E1419" t="inlineStr">
        <is>
          <t>MAT-DAMPER-CAU-CHI-USA-1-400X400</t>
        </is>
      </c>
      <c r="F1419" t="inlineStr">
        <is>
          <t>Cái</t>
        </is>
      </c>
      <c r="G1419" s="4" t="n">
        <v>1</v>
      </c>
      <c r="H1419" s="2">
        <f>XLOOKUP(B1419, '00_TONG_HOP_BAO_GIA'!B:B, '00_TONG_HOP_BAO_GIA'!G:G, 1)</f>
        <v/>
      </c>
      <c r="I1419" s="5">
        <f>G1419*H1419</f>
        <v/>
      </c>
      <c r="J1419" s="2">
        <f>XLOOKUP(E1419, '06_BANG_GIA_VAT_TU_AP_DUNG'!B:B, '06_BANG_GIA_VAT_TU_AP_DUNG'!C:C, "LỖI_MÃ_VT")</f>
        <v/>
      </c>
      <c r="K1419" s="2">
        <f>I1419*J1419</f>
        <v/>
      </c>
      <c r="L1419" t="inlineStr">
        <is>
          <t>Cầu chì kiểm định PCCC</t>
        </is>
      </c>
    </row>
    <row r="1420">
      <c r="A1420" t="inlineStr">
        <is>
          <t>SW-DAMPER-343-BODY</t>
        </is>
      </c>
      <c r="B1420" t="inlineStr">
        <is>
          <t>SW-DAMPER-343</t>
        </is>
      </c>
      <c r="C1420" t="inlineStr">
        <is>
          <t>Thân vỏ van FD bích TDF (0.75mm)</t>
        </is>
      </c>
      <c r="D1420" t="inlineStr">
        <is>
          <t>TÔN_CUỘN_MẠ_KẼM</t>
        </is>
      </c>
      <c r="E1420" t="inlineStr">
        <is>
          <t>MAT-STEEL-PN-0.75</t>
        </is>
      </c>
      <c r="F1420" t="inlineStr">
        <is>
          <t>kg</t>
        </is>
      </c>
      <c r="G1420" s="4" t="n">
        <v>2.452968</v>
      </c>
      <c r="H1420" s="2">
        <f>XLOOKUP(B1420, '00_TONG_HOP_BAO_GIA'!B:B, '00_TONG_HOP_BAO_GIA'!G:G, 1)</f>
        <v/>
      </c>
      <c r="I1420" s="5">
        <f>G1420*H1420</f>
        <v/>
      </c>
      <c r="J1420" s="2">
        <f>XLOOKUP(E1420, '06_BANG_GIA_VAT_TU_AP_DUNG'!B:B, '06_BANG_GIA_VAT_TU_AP_DUNG'!C:C, "LỖI_MÃ_VT")</f>
        <v/>
      </c>
      <c r="K1420" s="2">
        <f>I1420*J1420</f>
        <v/>
      </c>
      <c r="L1420" t="inlineStr">
        <is>
          <t>Kích thước vỏ 400.0x200.0x250mm</t>
        </is>
      </c>
    </row>
    <row r="1421">
      <c r="A1421" t="inlineStr">
        <is>
          <t>SW-DAMPER-343-BLADE</t>
        </is>
      </c>
      <c r="B1421" t="inlineStr">
        <is>
          <t>SW-DAMPER-343</t>
        </is>
      </c>
      <c r="C1421" t="inlineStr">
        <is>
          <t>Lá cánh van (2 cánh overlap)</t>
        </is>
      </c>
      <c r="D1421" t="inlineStr">
        <is>
          <t>TÔN_CUỘN_MẠ_KẼM</t>
        </is>
      </c>
      <c r="E1421" t="inlineStr">
        <is>
          <t>MAT-STEEL-PN-0.75</t>
        </is>
      </c>
      <c r="F1421" t="inlineStr">
        <is>
          <t>kg</t>
        </is>
      </c>
      <c r="G1421" s="4" t="n">
        <v>0.610416</v>
      </c>
      <c r="H1421" s="2">
        <f>XLOOKUP(B1421, '00_TONG_HOP_BAO_GIA'!B:B, '00_TONG_HOP_BAO_GIA'!G:G, 1)</f>
        <v/>
      </c>
      <c r="I1421" s="5">
        <f>G1421*H1421</f>
        <v/>
      </c>
      <c r="J1421" s="2">
        <f>XLOOKUP(E1421, '06_BANG_GIA_VAT_TU_AP_DUNG'!B:B, '06_BANG_GIA_VAT_TU_AP_DUNG'!C:C, "LỖI_MÃ_VT")</f>
        <v/>
      </c>
      <c r="K1421" s="2">
        <f>I1421*J1421</f>
        <v/>
      </c>
      <c r="L1421" t="inlineStr">
        <is>
          <t>2 cánh cao 120mm</t>
        </is>
      </c>
    </row>
    <row r="1422">
      <c r="A1422" t="inlineStr">
        <is>
          <t>SW-DAMPER-343-AXLE</t>
        </is>
      </c>
      <c r="B1422" t="inlineStr">
        <is>
          <t>SW-DAMPER-343</t>
        </is>
      </c>
      <c r="C1422" t="inlineStr">
        <is>
          <t>Trục Sus 201 D10</t>
        </is>
      </c>
      <c r="D1422" t="inlineStr">
        <is>
          <t>PHỤ_KIỆN_VAN</t>
        </is>
      </c>
      <c r="E1422" t="inlineStr">
        <is>
          <t>MAT-DAMPER-TRUC-SUS-201-D10</t>
        </is>
      </c>
      <c r="F1422" t="inlineStr">
        <is>
          <t>m</t>
        </is>
      </c>
      <c r="G1422" s="4" t="n">
        <v>0.92</v>
      </c>
      <c r="H1422" s="2">
        <f>XLOOKUP(B1422, '00_TONG_HOP_BAO_GIA'!B:B, '00_TONG_HOP_BAO_GIA'!G:G, 1)</f>
        <v/>
      </c>
      <c r="I1422" s="5">
        <f>G1422*H1422</f>
        <v/>
      </c>
      <c r="J1422" s="2">
        <f>XLOOKUP(E1422, '06_BANG_GIA_VAT_TU_AP_DUNG'!B:B, '06_BANG_GIA_VAT_TU_AP_DUNG'!C:C, "LỖI_MÃ_VT")</f>
        <v/>
      </c>
      <c r="K1422" s="2">
        <f>I1422*J1422</f>
        <v/>
      </c>
      <c r="L1422" t="inlineStr">
        <is>
          <t>2 trục dài 460mm</t>
        </is>
      </c>
    </row>
    <row r="1423">
      <c r="A1423" t="inlineStr">
        <is>
          <t>SW-DAMPER-343-BEARING</t>
        </is>
      </c>
      <c r="B1423" t="inlineStr">
        <is>
          <t>SW-DAMPER-343</t>
        </is>
      </c>
      <c r="C1423" t="inlineStr">
        <is>
          <t>Bạc đồng D10</t>
        </is>
      </c>
      <c r="D1423" t="inlineStr">
        <is>
          <t>PHỤ_KIỆN_VAN</t>
        </is>
      </c>
      <c r="E1423" t="inlineStr">
        <is>
          <t>MAT-DAMPER-BAC-DONG-D10</t>
        </is>
      </c>
      <c r="F1423" t="inlineStr">
        <is>
          <t>Đôi</t>
        </is>
      </c>
      <c r="G1423" s="4" t="n">
        <v>2</v>
      </c>
      <c r="H1423" s="2">
        <f>XLOOKUP(B1423, '00_TONG_HOP_BAO_GIA'!B:B, '00_TONG_HOP_BAO_GIA'!G:G, 1)</f>
        <v/>
      </c>
      <c r="I1423" s="5">
        <f>G1423*H1423</f>
        <v/>
      </c>
      <c r="J1423" s="2">
        <f>XLOOKUP(E1423, '06_BANG_GIA_VAT_TU_AP_DUNG'!B:B, '06_BANG_GIA_VAT_TU_AP_DUNG'!C:C, "LỖI_MÃ_VT")</f>
        <v/>
      </c>
      <c r="K1423" s="2">
        <f>I1423*J1423</f>
        <v/>
      </c>
      <c r="L1423" t="inlineStr">
        <is>
          <t>2 đôi bạc đỡ 2 bên thân</t>
        </is>
      </c>
    </row>
    <row r="1424">
      <c r="A1424" t="inlineStr">
        <is>
          <t>SW-DAMPER-343-GEAR</t>
        </is>
      </c>
      <c r="B1424" t="inlineStr">
        <is>
          <t>SW-DAMPER-343</t>
        </is>
      </c>
      <c r="C1424" t="inlineStr">
        <is>
          <t>Bánh răng van nhôm</t>
        </is>
      </c>
      <c r="D1424" t="inlineStr">
        <is>
          <t>PHỤ_KIỆN_VAN</t>
        </is>
      </c>
      <c r="E1424" t="inlineStr">
        <is>
          <t>MAT-DAMPER-BANH-RANG-VAN-NHOM</t>
        </is>
      </c>
      <c r="F1424" t="inlineStr">
        <is>
          <t>Bộ</t>
        </is>
      </c>
      <c r="G1424" s="4" t="n">
        <v>1</v>
      </c>
      <c r="H1424" s="2">
        <f>XLOOKUP(B1424, '00_TONG_HOP_BAO_GIA'!B:B, '00_TONG_HOP_BAO_GIA'!G:G, 1)</f>
        <v/>
      </c>
      <c r="I1424" s="5">
        <f>G1424*H1424</f>
        <v/>
      </c>
      <c r="J1424" s="2">
        <f>XLOOKUP(E1424, '06_BANG_GIA_VAT_TU_AP_DUNG'!B:B, '06_BANG_GIA_VAT_TU_AP_DUNG'!C:C, "LỖI_MÃ_VT")</f>
        <v/>
      </c>
      <c r="K1424" s="2">
        <f>I1424*J1424</f>
        <v/>
      </c>
      <c r="L1424" t="inlineStr">
        <is>
          <t>Cơ cấu liên động bánh răng van</t>
        </is>
      </c>
    </row>
    <row r="1425">
      <c r="A1425" t="inlineStr">
        <is>
          <t>SW-DAMPER-343-FUSE</t>
        </is>
      </c>
      <c r="B1425" t="inlineStr">
        <is>
          <t>SW-DAMPER-343</t>
        </is>
      </c>
      <c r="C1425" t="inlineStr">
        <is>
          <t>Cầu chì nhiệt nóng chảy 70°C (Elsie/USA)</t>
        </is>
      </c>
      <c r="D1425" t="inlineStr">
        <is>
          <t>PHỤ_KIỆN_VAN</t>
        </is>
      </c>
      <c r="E1425" t="inlineStr">
        <is>
          <t>MAT-DAMPER-CAU-CHI-USA-2-400X400</t>
        </is>
      </c>
      <c r="F1425" t="inlineStr">
        <is>
          <t>Cái</t>
        </is>
      </c>
      <c r="G1425" s="4" t="n">
        <v>1</v>
      </c>
      <c r="H1425" s="2">
        <f>XLOOKUP(B1425, '00_TONG_HOP_BAO_GIA'!B:B, '00_TONG_HOP_BAO_GIA'!G:G, 1)</f>
        <v/>
      </c>
      <c r="I1425" s="5">
        <f>G1425*H1425</f>
        <v/>
      </c>
      <c r="J1425" s="2">
        <f>XLOOKUP(E1425, '06_BANG_GIA_VAT_TU_AP_DUNG'!B:B, '06_BANG_GIA_VAT_TU_AP_DUNG'!C:C, "LỖI_MÃ_VT")</f>
        <v/>
      </c>
      <c r="K1425" s="2">
        <f>I1425*J1425</f>
        <v/>
      </c>
      <c r="L1425" t="inlineStr">
        <is>
          <t>Cầu chì kiểm định PCCC</t>
        </is>
      </c>
    </row>
    <row r="1426">
      <c r="A1426" t="inlineStr">
        <is>
          <t>SW-DAMPER-344-BODY</t>
        </is>
      </c>
      <c r="B1426" t="inlineStr">
        <is>
          <t>SW-DAMPER-344</t>
        </is>
      </c>
      <c r="C1426" t="inlineStr">
        <is>
          <t>Thân vỏ van FD bích TDF (0.75mm)</t>
        </is>
      </c>
      <c r="D1426" t="inlineStr">
        <is>
          <t>TÔN_CUỘN_MẠ_KẼM</t>
        </is>
      </c>
      <c r="E1426" t="inlineStr">
        <is>
          <t>MAT-STEEL-PN-0.75</t>
        </is>
      </c>
      <c r="F1426" t="inlineStr">
        <is>
          <t>kg</t>
        </is>
      </c>
      <c r="G1426" s="4" t="n">
        <v>2.848608</v>
      </c>
      <c r="H1426" s="2">
        <f>XLOOKUP(B1426, '00_TONG_HOP_BAO_GIA'!B:B, '00_TONG_HOP_BAO_GIA'!G:G, 1)</f>
        <v/>
      </c>
      <c r="I1426" s="5">
        <f>G1426*H1426</f>
        <v/>
      </c>
      <c r="J1426" s="2">
        <f>XLOOKUP(E1426, '06_BANG_GIA_VAT_TU_AP_DUNG'!B:B, '06_BANG_GIA_VAT_TU_AP_DUNG'!C:C, "LỖI_MÃ_VT")</f>
        <v/>
      </c>
      <c r="K1426" s="2">
        <f>I1426*J1426</f>
        <v/>
      </c>
      <c r="L1426" t="inlineStr">
        <is>
          <t>Kích thước vỏ 400.0x300.0x250mm</t>
        </is>
      </c>
    </row>
    <row r="1427">
      <c r="A1427" t="inlineStr">
        <is>
          <t>SW-DAMPER-344-BLADE</t>
        </is>
      </c>
      <c r="B1427" t="inlineStr">
        <is>
          <t>SW-DAMPER-344</t>
        </is>
      </c>
      <c r="C1427" t="inlineStr">
        <is>
          <t>Lá cánh van (2 cánh overlap)</t>
        </is>
      </c>
      <c r="D1427" t="inlineStr">
        <is>
          <t>TÔN_CUỘN_MẠ_KẼM</t>
        </is>
      </c>
      <c r="E1427" t="inlineStr">
        <is>
          <t>MAT-STEEL-PN-0.75</t>
        </is>
      </c>
      <c r="F1427" t="inlineStr">
        <is>
          <t>kg</t>
        </is>
      </c>
      <c r="G1427" s="4" t="n">
        <v>0.864756</v>
      </c>
      <c r="H1427" s="2">
        <f>XLOOKUP(B1427, '00_TONG_HOP_BAO_GIA'!B:B, '00_TONG_HOP_BAO_GIA'!G:G, 1)</f>
        <v/>
      </c>
      <c r="I1427" s="5">
        <f>G1427*H1427</f>
        <v/>
      </c>
      <c r="J1427" s="2">
        <f>XLOOKUP(E1427, '06_BANG_GIA_VAT_TU_AP_DUNG'!B:B, '06_BANG_GIA_VAT_TU_AP_DUNG'!C:C, "LỖI_MÃ_VT")</f>
        <v/>
      </c>
      <c r="K1427" s="2">
        <f>I1427*J1427</f>
        <v/>
      </c>
      <c r="L1427" t="inlineStr">
        <is>
          <t>2 cánh cao 170mm</t>
        </is>
      </c>
    </row>
    <row r="1428">
      <c r="A1428" t="inlineStr">
        <is>
          <t>SW-DAMPER-344-AXLE</t>
        </is>
      </c>
      <c r="B1428" t="inlineStr">
        <is>
          <t>SW-DAMPER-344</t>
        </is>
      </c>
      <c r="C1428" t="inlineStr">
        <is>
          <t>Trục Sus 201 D10</t>
        </is>
      </c>
      <c r="D1428" t="inlineStr">
        <is>
          <t>PHỤ_KIỆN_VAN</t>
        </is>
      </c>
      <c r="E1428" t="inlineStr">
        <is>
          <t>MAT-DAMPER-TRUC-SUS-201-D10</t>
        </is>
      </c>
      <c r="F1428" t="inlineStr">
        <is>
          <t>m</t>
        </is>
      </c>
      <c r="G1428" s="4" t="n">
        <v>0.92</v>
      </c>
      <c r="H1428" s="2">
        <f>XLOOKUP(B1428, '00_TONG_HOP_BAO_GIA'!B:B, '00_TONG_HOP_BAO_GIA'!G:G, 1)</f>
        <v/>
      </c>
      <c r="I1428" s="5">
        <f>G1428*H1428</f>
        <v/>
      </c>
      <c r="J1428" s="2">
        <f>XLOOKUP(E1428, '06_BANG_GIA_VAT_TU_AP_DUNG'!B:B, '06_BANG_GIA_VAT_TU_AP_DUNG'!C:C, "LỖI_MÃ_VT")</f>
        <v/>
      </c>
      <c r="K1428" s="2">
        <f>I1428*J1428</f>
        <v/>
      </c>
      <c r="L1428" t="inlineStr">
        <is>
          <t>2 trục dài 460mm</t>
        </is>
      </c>
    </row>
    <row r="1429">
      <c r="A1429" t="inlineStr">
        <is>
          <t>SW-DAMPER-344-BEARING</t>
        </is>
      </c>
      <c r="B1429" t="inlineStr">
        <is>
          <t>SW-DAMPER-344</t>
        </is>
      </c>
      <c r="C1429" t="inlineStr">
        <is>
          <t>Bạc đồng D10</t>
        </is>
      </c>
      <c r="D1429" t="inlineStr">
        <is>
          <t>PHỤ_KIỆN_VAN</t>
        </is>
      </c>
      <c r="E1429" t="inlineStr">
        <is>
          <t>MAT-DAMPER-BAC-DONG-D10</t>
        </is>
      </c>
      <c r="F1429" t="inlineStr">
        <is>
          <t>Đôi</t>
        </is>
      </c>
      <c r="G1429" s="4" t="n">
        <v>2</v>
      </c>
      <c r="H1429" s="2">
        <f>XLOOKUP(B1429, '00_TONG_HOP_BAO_GIA'!B:B, '00_TONG_HOP_BAO_GIA'!G:G, 1)</f>
        <v/>
      </c>
      <c r="I1429" s="5">
        <f>G1429*H1429</f>
        <v/>
      </c>
      <c r="J1429" s="2">
        <f>XLOOKUP(E1429, '06_BANG_GIA_VAT_TU_AP_DUNG'!B:B, '06_BANG_GIA_VAT_TU_AP_DUNG'!C:C, "LỖI_MÃ_VT")</f>
        <v/>
      </c>
      <c r="K1429" s="2">
        <f>I1429*J1429</f>
        <v/>
      </c>
      <c r="L1429" t="inlineStr">
        <is>
          <t>2 đôi bạc đỡ 2 bên thân</t>
        </is>
      </c>
    </row>
    <row r="1430">
      <c r="A1430" t="inlineStr">
        <is>
          <t>SW-DAMPER-344-GEAR</t>
        </is>
      </c>
      <c r="B1430" t="inlineStr">
        <is>
          <t>SW-DAMPER-344</t>
        </is>
      </c>
      <c r="C1430" t="inlineStr">
        <is>
          <t>Bánh răng van nhôm</t>
        </is>
      </c>
      <c r="D1430" t="inlineStr">
        <is>
          <t>PHỤ_KIỆN_VAN</t>
        </is>
      </c>
      <c r="E1430" t="inlineStr">
        <is>
          <t>MAT-DAMPER-BANH-RANG-VAN-NHOM</t>
        </is>
      </c>
      <c r="F1430" t="inlineStr">
        <is>
          <t>Bộ</t>
        </is>
      </c>
      <c r="G1430" s="4" t="n">
        <v>1</v>
      </c>
      <c r="H1430" s="2">
        <f>XLOOKUP(B1430, '00_TONG_HOP_BAO_GIA'!B:B, '00_TONG_HOP_BAO_GIA'!G:G, 1)</f>
        <v/>
      </c>
      <c r="I1430" s="5">
        <f>G1430*H1430</f>
        <v/>
      </c>
      <c r="J1430" s="2">
        <f>XLOOKUP(E1430, '06_BANG_GIA_VAT_TU_AP_DUNG'!B:B, '06_BANG_GIA_VAT_TU_AP_DUNG'!C:C, "LỖI_MÃ_VT")</f>
        <v/>
      </c>
      <c r="K1430" s="2">
        <f>I1430*J1430</f>
        <v/>
      </c>
      <c r="L1430" t="inlineStr">
        <is>
          <t>Cơ cấu liên động bánh răng van</t>
        </is>
      </c>
    </row>
    <row r="1431">
      <c r="A1431" t="inlineStr">
        <is>
          <t>SW-DAMPER-344-FUSE</t>
        </is>
      </c>
      <c r="B1431" t="inlineStr">
        <is>
          <t>SW-DAMPER-344</t>
        </is>
      </c>
      <c r="C1431" t="inlineStr">
        <is>
          <t>Cầu chì nhiệt nóng chảy 70°C (Elsie/USA)</t>
        </is>
      </c>
      <c r="D1431" t="inlineStr">
        <is>
          <t>PHỤ_KIỆN_VAN</t>
        </is>
      </c>
      <c r="E1431" t="inlineStr">
        <is>
          <t>MAT-DAMPER-CAU-CHI-USA-2-400X400</t>
        </is>
      </c>
      <c r="F1431" t="inlineStr">
        <is>
          <t>Cái</t>
        </is>
      </c>
      <c r="G1431" s="4" t="n">
        <v>1</v>
      </c>
      <c r="H1431" s="2">
        <f>XLOOKUP(B1431, '00_TONG_HOP_BAO_GIA'!B:B, '00_TONG_HOP_BAO_GIA'!G:G, 1)</f>
        <v/>
      </c>
      <c r="I1431" s="5">
        <f>G1431*H1431</f>
        <v/>
      </c>
      <c r="J1431" s="2">
        <f>XLOOKUP(E1431, '06_BANG_GIA_VAT_TU_AP_DUNG'!B:B, '06_BANG_GIA_VAT_TU_AP_DUNG'!C:C, "LỖI_MÃ_VT")</f>
        <v/>
      </c>
      <c r="K1431" s="2">
        <f>I1431*J1431</f>
        <v/>
      </c>
      <c r="L1431" t="inlineStr">
        <is>
          <t>Cầu chì kiểm định PCCC</t>
        </is>
      </c>
    </row>
    <row r="1432">
      <c r="A1432" t="inlineStr">
        <is>
          <t>SW-DAMPER-345-BODY</t>
        </is>
      </c>
      <c r="B1432" t="inlineStr">
        <is>
          <t>SW-DAMPER-345</t>
        </is>
      </c>
      <c r="C1432" t="inlineStr">
        <is>
          <t>Thân vỏ van FD bích TDF (0.75mm)</t>
        </is>
      </c>
      <c r="D1432" t="inlineStr">
        <is>
          <t>TÔN_CUỘN_MẠ_KẼM</t>
        </is>
      </c>
      <c r="E1432" t="inlineStr">
        <is>
          <t>MAT-STEEL-PN-0.75</t>
        </is>
      </c>
      <c r="F1432" t="inlineStr">
        <is>
          <t>kg</t>
        </is>
      </c>
      <c r="G1432" s="4" t="n">
        <v>3.046428</v>
      </c>
      <c r="H1432" s="2">
        <f>XLOOKUP(B1432, '00_TONG_HOP_BAO_GIA'!B:B, '00_TONG_HOP_BAO_GIA'!G:G, 1)</f>
        <v/>
      </c>
      <c r="I1432" s="5">
        <f>G1432*H1432</f>
        <v/>
      </c>
      <c r="J1432" s="2">
        <f>XLOOKUP(E1432, '06_BANG_GIA_VAT_TU_AP_DUNG'!B:B, '06_BANG_GIA_VAT_TU_AP_DUNG'!C:C, "LỖI_MÃ_VT")</f>
        <v/>
      </c>
      <c r="K1432" s="2">
        <f>I1432*J1432</f>
        <v/>
      </c>
      <c r="L1432" t="inlineStr">
        <is>
          <t>Kích thước vỏ 400.0x350.0x250mm</t>
        </is>
      </c>
    </row>
    <row r="1433">
      <c r="A1433" t="inlineStr">
        <is>
          <t>SW-DAMPER-345-BLADE</t>
        </is>
      </c>
      <c r="B1433" t="inlineStr">
        <is>
          <t>SW-DAMPER-345</t>
        </is>
      </c>
      <c r="C1433" t="inlineStr">
        <is>
          <t>Lá cánh van (2 cánh overlap)</t>
        </is>
      </c>
      <c r="D1433" t="inlineStr">
        <is>
          <t>TÔN_CUỘN_MẠ_KẼM</t>
        </is>
      </c>
      <c r="E1433" t="inlineStr">
        <is>
          <t>MAT-STEEL-PN-0.75</t>
        </is>
      </c>
      <c r="F1433" t="inlineStr">
        <is>
          <t>kg</t>
        </is>
      </c>
      <c r="G1433" s="4" t="n">
        <v>0.9919260000000002</v>
      </c>
      <c r="H1433" s="2">
        <f>XLOOKUP(B1433, '00_TONG_HOP_BAO_GIA'!B:B, '00_TONG_HOP_BAO_GIA'!G:G, 1)</f>
        <v/>
      </c>
      <c r="I1433" s="5">
        <f>G1433*H1433</f>
        <v/>
      </c>
      <c r="J1433" s="2">
        <f>XLOOKUP(E1433, '06_BANG_GIA_VAT_TU_AP_DUNG'!B:B, '06_BANG_GIA_VAT_TU_AP_DUNG'!C:C, "LỖI_MÃ_VT")</f>
        <v/>
      </c>
      <c r="K1433" s="2">
        <f>I1433*J1433</f>
        <v/>
      </c>
      <c r="L1433" t="inlineStr">
        <is>
          <t>2 cánh cao 195mm</t>
        </is>
      </c>
    </row>
    <row r="1434">
      <c r="A1434" t="inlineStr">
        <is>
          <t>SW-DAMPER-345-AXLE</t>
        </is>
      </c>
      <c r="B1434" t="inlineStr">
        <is>
          <t>SW-DAMPER-345</t>
        </is>
      </c>
      <c r="C1434" t="inlineStr">
        <is>
          <t>Trục Sus 201 D10</t>
        </is>
      </c>
      <c r="D1434" t="inlineStr">
        <is>
          <t>PHỤ_KIỆN_VAN</t>
        </is>
      </c>
      <c r="E1434" t="inlineStr">
        <is>
          <t>MAT-DAMPER-TRUC-SUS-201-D10</t>
        </is>
      </c>
      <c r="F1434" t="inlineStr">
        <is>
          <t>m</t>
        </is>
      </c>
      <c r="G1434" s="4" t="n">
        <v>0.92</v>
      </c>
      <c r="H1434" s="2">
        <f>XLOOKUP(B1434, '00_TONG_HOP_BAO_GIA'!B:B, '00_TONG_HOP_BAO_GIA'!G:G, 1)</f>
        <v/>
      </c>
      <c r="I1434" s="5">
        <f>G1434*H1434</f>
        <v/>
      </c>
      <c r="J1434" s="2">
        <f>XLOOKUP(E1434, '06_BANG_GIA_VAT_TU_AP_DUNG'!B:B, '06_BANG_GIA_VAT_TU_AP_DUNG'!C:C, "LỖI_MÃ_VT")</f>
        <v/>
      </c>
      <c r="K1434" s="2">
        <f>I1434*J1434</f>
        <v/>
      </c>
      <c r="L1434" t="inlineStr">
        <is>
          <t>2 trục dài 460mm</t>
        </is>
      </c>
    </row>
    <row r="1435">
      <c r="A1435" t="inlineStr">
        <is>
          <t>SW-DAMPER-345-BEARING</t>
        </is>
      </c>
      <c r="B1435" t="inlineStr">
        <is>
          <t>SW-DAMPER-345</t>
        </is>
      </c>
      <c r="C1435" t="inlineStr">
        <is>
          <t>Bạc đồng D10</t>
        </is>
      </c>
      <c r="D1435" t="inlineStr">
        <is>
          <t>PHỤ_KIỆN_VAN</t>
        </is>
      </c>
      <c r="E1435" t="inlineStr">
        <is>
          <t>MAT-DAMPER-BAC-DONG-D10</t>
        </is>
      </c>
      <c r="F1435" t="inlineStr">
        <is>
          <t>Đôi</t>
        </is>
      </c>
      <c r="G1435" s="4" t="n">
        <v>2</v>
      </c>
      <c r="H1435" s="2">
        <f>XLOOKUP(B1435, '00_TONG_HOP_BAO_GIA'!B:B, '00_TONG_HOP_BAO_GIA'!G:G, 1)</f>
        <v/>
      </c>
      <c r="I1435" s="5">
        <f>G1435*H1435</f>
        <v/>
      </c>
      <c r="J1435" s="2">
        <f>XLOOKUP(E1435, '06_BANG_GIA_VAT_TU_AP_DUNG'!B:B, '06_BANG_GIA_VAT_TU_AP_DUNG'!C:C, "LỖI_MÃ_VT")</f>
        <v/>
      </c>
      <c r="K1435" s="2">
        <f>I1435*J1435</f>
        <v/>
      </c>
      <c r="L1435" t="inlineStr">
        <is>
          <t>2 đôi bạc đỡ 2 bên thân</t>
        </is>
      </c>
    </row>
    <row r="1436">
      <c r="A1436" t="inlineStr">
        <is>
          <t>SW-DAMPER-345-GEAR</t>
        </is>
      </c>
      <c r="B1436" t="inlineStr">
        <is>
          <t>SW-DAMPER-345</t>
        </is>
      </c>
      <c r="C1436" t="inlineStr">
        <is>
          <t>Bánh răng van nhôm</t>
        </is>
      </c>
      <c r="D1436" t="inlineStr">
        <is>
          <t>PHỤ_KIỆN_VAN</t>
        </is>
      </c>
      <c r="E1436" t="inlineStr">
        <is>
          <t>MAT-DAMPER-BANH-RANG-VAN-NHOM</t>
        </is>
      </c>
      <c r="F1436" t="inlineStr">
        <is>
          <t>Bộ</t>
        </is>
      </c>
      <c r="G1436" s="4" t="n">
        <v>1</v>
      </c>
      <c r="H1436" s="2">
        <f>XLOOKUP(B1436, '00_TONG_HOP_BAO_GIA'!B:B, '00_TONG_HOP_BAO_GIA'!G:G, 1)</f>
        <v/>
      </c>
      <c r="I1436" s="5">
        <f>G1436*H1436</f>
        <v/>
      </c>
      <c r="J1436" s="2">
        <f>XLOOKUP(E1436, '06_BANG_GIA_VAT_TU_AP_DUNG'!B:B, '06_BANG_GIA_VAT_TU_AP_DUNG'!C:C, "LỖI_MÃ_VT")</f>
        <v/>
      </c>
      <c r="K1436" s="2">
        <f>I1436*J1436</f>
        <v/>
      </c>
      <c r="L1436" t="inlineStr">
        <is>
          <t>Cơ cấu liên động bánh răng van</t>
        </is>
      </c>
    </row>
    <row r="1437">
      <c r="A1437" t="inlineStr">
        <is>
          <t>SW-DAMPER-345-FUSE</t>
        </is>
      </c>
      <c r="B1437" t="inlineStr">
        <is>
          <t>SW-DAMPER-345</t>
        </is>
      </c>
      <c r="C1437" t="inlineStr">
        <is>
          <t>Cầu chì nhiệt nóng chảy 70°C (Elsie/USA)</t>
        </is>
      </c>
      <c r="D1437" t="inlineStr">
        <is>
          <t>PHỤ_KIỆN_VAN</t>
        </is>
      </c>
      <c r="E1437" t="inlineStr">
        <is>
          <t>MAT-DAMPER-CAU-CHI-USA-2-400X400</t>
        </is>
      </c>
      <c r="F1437" t="inlineStr">
        <is>
          <t>Cái</t>
        </is>
      </c>
      <c r="G1437" s="4" t="n">
        <v>1</v>
      </c>
      <c r="H1437" s="2">
        <f>XLOOKUP(B1437, '00_TONG_HOP_BAO_GIA'!B:B, '00_TONG_HOP_BAO_GIA'!G:G, 1)</f>
        <v/>
      </c>
      <c r="I1437" s="5">
        <f>G1437*H1437</f>
        <v/>
      </c>
      <c r="J1437" s="2">
        <f>XLOOKUP(E1437, '06_BANG_GIA_VAT_TU_AP_DUNG'!B:B, '06_BANG_GIA_VAT_TU_AP_DUNG'!C:C, "LỖI_MÃ_VT")</f>
        <v/>
      </c>
      <c r="K1437" s="2">
        <f>I1437*J1437</f>
        <v/>
      </c>
      <c r="L1437" t="inlineStr">
        <is>
          <t>Cầu chì kiểm định PCCC</t>
        </is>
      </c>
    </row>
    <row r="1438">
      <c r="A1438" t="inlineStr">
        <is>
          <t>SW-DAMPER-346-BODY</t>
        </is>
      </c>
      <c r="B1438" t="inlineStr">
        <is>
          <t>SW-DAMPER-346</t>
        </is>
      </c>
      <c r="C1438" t="inlineStr">
        <is>
          <t>Thân vỏ van FD bích TDF (0.75mm)</t>
        </is>
      </c>
      <c r="D1438" t="inlineStr">
        <is>
          <t>TÔN_CUỘN_MẠ_KẼM</t>
        </is>
      </c>
      <c r="E1438" t="inlineStr">
        <is>
          <t>MAT-STEEL-PN-0.75</t>
        </is>
      </c>
      <c r="F1438" t="inlineStr">
        <is>
          <t>kg</t>
        </is>
      </c>
      <c r="G1438" s="4" t="n">
        <v>2.848608</v>
      </c>
      <c r="H1438" s="2">
        <f>XLOOKUP(B1438, '00_TONG_HOP_BAO_GIA'!B:B, '00_TONG_HOP_BAO_GIA'!G:G, 1)</f>
        <v/>
      </c>
      <c r="I1438" s="5">
        <f>G1438*H1438</f>
        <v/>
      </c>
      <c r="J1438" s="2">
        <f>XLOOKUP(E1438, '06_BANG_GIA_VAT_TU_AP_DUNG'!B:B, '06_BANG_GIA_VAT_TU_AP_DUNG'!C:C, "LỖI_MÃ_VT")</f>
        <v/>
      </c>
      <c r="K1438" s="2">
        <f>I1438*J1438</f>
        <v/>
      </c>
      <c r="L1438" t="inlineStr">
        <is>
          <t>Kích thước vỏ 450.0x250.0x250mm</t>
        </is>
      </c>
    </row>
    <row r="1439">
      <c r="A1439" t="inlineStr">
        <is>
          <t>SW-DAMPER-346-BLADE</t>
        </is>
      </c>
      <c r="B1439" t="inlineStr">
        <is>
          <t>SW-DAMPER-346</t>
        </is>
      </c>
      <c r="C1439" t="inlineStr">
        <is>
          <t>Lá cánh van (2 cánh overlap)</t>
        </is>
      </c>
      <c r="D1439" t="inlineStr">
        <is>
          <t>TÔN_CUỘN_MẠ_KẼM</t>
        </is>
      </c>
      <c r="E1439" t="inlineStr">
        <is>
          <t>MAT-STEEL-PN-0.75</t>
        </is>
      </c>
      <c r="F1439" t="inlineStr">
        <is>
          <t>kg</t>
        </is>
      </c>
      <c r="G1439" s="4" t="n">
        <v>0.82978425</v>
      </c>
      <c r="H1439" s="2">
        <f>XLOOKUP(B1439, '00_TONG_HOP_BAO_GIA'!B:B, '00_TONG_HOP_BAO_GIA'!G:G, 1)</f>
        <v/>
      </c>
      <c r="I1439" s="5">
        <f>G1439*H1439</f>
        <v/>
      </c>
      <c r="J1439" s="2">
        <f>XLOOKUP(E1439, '06_BANG_GIA_VAT_TU_AP_DUNG'!B:B, '06_BANG_GIA_VAT_TU_AP_DUNG'!C:C, "LỖI_MÃ_VT")</f>
        <v/>
      </c>
      <c r="K1439" s="2">
        <f>I1439*J1439</f>
        <v/>
      </c>
      <c r="L1439" t="inlineStr">
        <is>
          <t>2 cánh cao 145mm</t>
        </is>
      </c>
    </row>
    <row r="1440">
      <c r="A1440" t="inlineStr">
        <is>
          <t>SW-DAMPER-346-AXLE</t>
        </is>
      </c>
      <c r="B1440" t="inlineStr">
        <is>
          <t>SW-DAMPER-346</t>
        </is>
      </c>
      <c r="C1440" t="inlineStr">
        <is>
          <t>Trục Sus 201 D10</t>
        </is>
      </c>
      <c r="D1440" t="inlineStr">
        <is>
          <t>PHỤ_KIỆN_VAN</t>
        </is>
      </c>
      <c r="E1440" t="inlineStr">
        <is>
          <t>MAT-DAMPER-TRUC-SUS-201-D10</t>
        </is>
      </c>
      <c r="F1440" t="inlineStr">
        <is>
          <t>m</t>
        </is>
      </c>
      <c r="G1440" s="4" t="n">
        <v>1.02</v>
      </c>
      <c r="H1440" s="2">
        <f>XLOOKUP(B1440, '00_TONG_HOP_BAO_GIA'!B:B, '00_TONG_HOP_BAO_GIA'!G:G, 1)</f>
        <v/>
      </c>
      <c r="I1440" s="5">
        <f>G1440*H1440</f>
        <v/>
      </c>
      <c r="J1440" s="2">
        <f>XLOOKUP(E1440, '06_BANG_GIA_VAT_TU_AP_DUNG'!B:B, '06_BANG_GIA_VAT_TU_AP_DUNG'!C:C, "LỖI_MÃ_VT")</f>
        <v/>
      </c>
      <c r="K1440" s="2">
        <f>I1440*J1440</f>
        <v/>
      </c>
      <c r="L1440" t="inlineStr">
        <is>
          <t>2 trục dài 510mm</t>
        </is>
      </c>
    </row>
    <row r="1441">
      <c r="A1441" t="inlineStr">
        <is>
          <t>SW-DAMPER-346-BEARING</t>
        </is>
      </c>
      <c r="B1441" t="inlineStr">
        <is>
          <t>SW-DAMPER-346</t>
        </is>
      </c>
      <c r="C1441" t="inlineStr">
        <is>
          <t>Bạc đồng D10</t>
        </is>
      </c>
      <c r="D1441" t="inlineStr">
        <is>
          <t>PHỤ_KIỆN_VAN</t>
        </is>
      </c>
      <c r="E1441" t="inlineStr">
        <is>
          <t>MAT-DAMPER-BAC-DONG-D10</t>
        </is>
      </c>
      <c r="F1441" t="inlineStr">
        <is>
          <t>Đôi</t>
        </is>
      </c>
      <c r="G1441" s="4" t="n">
        <v>2</v>
      </c>
      <c r="H1441" s="2">
        <f>XLOOKUP(B1441, '00_TONG_HOP_BAO_GIA'!B:B, '00_TONG_HOP_BAO_GIA'!G:G, 1)</f>
        <v/>
      </c>
      <c r="I1441" s="5">
        <f>G1441*H1441</f>
        <v/>
      </c>
      <c r="J1441" s="2">
        <f>XLOOKUP(E1441, '06_BANG_GIA_VAT_TU_AP_DUNG'!B:B, '06_BANG_GIA_VAT_TU_AP_DUNG'!C:C, "LỖI_MÃ_VT")</f>
        <v/>
      </c>
      <c r="K1441" s="2">
        <f>I1441*J1441</f>
        <v/>
      </c>
      <c r="L1441" t="inlineStr">
        <is>
          <t>2 đôi bạc đỡ 2 bên thân</t>
        </is>
      </c>
    </row>
    <row r="1442">
      <c r="A1442" t="inlineStr">
        <is>
          <t>SW-DAMPER-346-GEAR</t>
        </is>
      </c>
      <c r="B1442" t="inlineStr">
        <is>
          <t>SW-DAMPER-346</t>
        </is>
      </c>
      <c r="C1442" t="inlineStr">
        <is>
          <t>Bánh răng van nhôm</t>
        </is>
      </c>
      <c r="D1442" t="inlineStr">
        <is>
          <t>PHỤ_KIỆN_VAN</t>
        </is>
      </c>
      <c r="E1442" t="inlineStr">
        <is>
          <t>MAT-DAMPER-BANH-RANG-VAN-NHOM</t>
        </is>
      </c>
      <c r="F1442" t="inlineStr">
        <is>
          <t>Bộ</t>
        </is>
      </c>
      <c r="G1442" s="4" t="n">
        <v>1</v>
      </c>
      <c r="H1442" s="2">
        <f>XLOOKUP(B1442, '00_TONG_HOP_BAO_GIA'!B:B, '00_TONG_HOP_BAO_GIA'!G:G, 1)</f>
        <v/>
      </c>
      <c r="I1442" s="5">
        <f>G1442*H1442</f>
        <v/>
      </c>
      <c r="J1442" s="2">
        <f>XLOOKUP(E1442, '06_BANG_GIA_VAT_TU_AP_DUNG'!B:B, '06_BANG_GIA_VAT_TU_AP_DUNG'!C:C, "LỖI_MÃ_VT")</f>
        <v/>
      </c>
      <c r="K1442" s="2">
        <f>I1442*J1442</f>
        <v/>
      </c>
      <c r="L1442" t="inlineStr">
        <is>
          <t>Cơ cấu liên động bánh răng van</t>
        </is>
      </c>
    </row>
    <row r="1443">
      <c r="A1443" t="inlineStr">
        <is>
          <t>SW-DAMPER-346-FUSE</t>
        </is>
      </c>
      <c r="B1443" t="inlineStr">
        <is>
          <t>SW-DAMPER-346</t>
        </is>
      </c>
      <c r="C1443" t="inlineStr">
        <is>
          <t>Cầu chì nhiệt nóng chảy 70°C (Elsie/USA)</t>
        </is>
      </c>
      <c r="D1443" t="inlineStr">
        <is>
          <t>PHỤ_KIỆN_VAN</t>
        </is>
      </c>
      <c r="E1443" t="inlineStr">
        <is>
          <t>MAT-DAMPER-CAU-CHI-USA-2-400X400</t>
        </is>
      </c>
      <c r="F1443" t="inlineStr">
        <is>
          <t>Cái</t>
        </is>
      </c>
      <c r="G1443" s="4" t="n">
        <v>1</v>
      </c>
      <c r="H1443" s="2">
        <f>XLOOKUP(B1443, '00_TONG_HOP_BAO_GIA'!B:B, '00_TONG_HOP_BAO_GIA'!G:G, 1)</f>
        <v/>
      </c>
      <c r="I1443" s="5">
        <f>G1443*H1443</f>
        <v/>
      </c>
      <c r="J1443" s="2">
        <f>XLOOKUP(E1443, '06_BANG_GIA_VAT_TU_AP_DUNG'!B:B, '06_BANG_GIA_VAT_TU_AP_DUNG'!C:C, "LỖI_MÃ_VT")</f>
        <v/>
      </c>
      <c r="K1443" s="2">
        <f>I1443*J1443</f>
        <v/>
      </c>
      <c r="L1443" t="inlineStr">
        <is>
          <t>Cầu chì kiểm định PCCC</t>
        </is>
      </c>
    </row>
    <row r="1444">
      <c r="A1444" t="inlineStr">
        <is>
          <t>SW-DAMPER-347-BODY</t>
        </is>
      </c>
      <c r="B1444" t="inlineStr">
        <is>
          <t>SW-DAMPER-347</t>
        </is>
      </c>
      <c r="C1444" t="inlineStr">
        <is>
          <t>Thân vỏ van FD bích TDF (0.75mm)</t>
        </is>
      </c>
      <c r="D1444" t="inlineStr">
        <is>
          <t>TÔN_CUỘN_MẠ_KẼM</t>
        </is>
      </c>
      <c r="E1444" t="inlineStr">
        <is>
          <t>MAT-STEEL-PN-0.75</t>
        </is>
      </c>
      <c r="F1444" t="inlineStr">
        <is>
          <t>kg</t>
        </is>
      </c>
      <c r="G1444" s="4" t="n">
        <v>3.244247999999999</v>
      </c>
      <c r="H1444" s="2">
        <f>XLOOKUP(B1444, '00_TONG_HOP_BAO_GIA'!B:B, '00_TONG_HOP_BAO_GIA'!G:G, 1)</f>
        <v/>
      </c>
      <c r="I1444" s="5">
        <f>G1444*H1444</f>
        <v/>
      </c>
      <c r="J1444" s="2">
        <f>XLOOKUP(E1444, '06_BANG_GIA_VAT_TU_AP_DUNG'!B:B, '06_BANG_GIA_VAT_TU_AP_DUNG'!C:C, "LỖI_MÃ_VT")</f>
        <v/>
      </c>
      <c r="K1444" s="2">
        <f>I1444*J1444</f>
        <v/>
      </c>
      <c r="L1444" t="inlineStr">
        <is>
          <t>Kích thước vỏ 550.0x250.0x250mm</t>
        </is>
      </c>
    </row>
    <row r="1445">
      <c r="A1445" t="inlineStr">
        <is>
          <t>SW-DAMPER-347-BLADE</t>
        </is>
      </c>
      <c r="B1445" t="inlineStr">
        <is>
          <t>SW-DAMPER-347</t>
        </is>
      </c>
      <c r="C1445" t="inlineStr">
        <is>
          <t>Lá cánh van (2 cánh overlap)</t>
        </is>
      </c>
      <c r="D1445" t="inlineStr">
        <is>
          <t>TÔN_CUỘN_MẠ_KẼM</t>
        </is>
      </c>
      <c r="E1445" t="inlineStr">
        <is>
          <t>MAT-STEEL-PN-0.75</t>
        </is>
      </c>
      <c r="F1445" t="inlineStr">
        <is>
          <t>kg</t>
        </is>
      </c>
      <c r="G1445" s="4" t="n">
        <v>1.01418075</v>
      </c>
      <c r="H1445" s="2">
        <f>XLOOKUP(B1445, '00_TONG_HOP_BAO_GIA'!B:B, '00_TONG_HOP_BAO_GIA'!G:G, 1)</f>
        <v/>
      </c>
      <c r="I1445" s="5">
        <f>G1445*H1445</f>
        <v/>
      </c>
      <c r="J1445" s="2">
        <f>XLOOKUP(E1445, '06_BANG_GIA_VAT_TU_AP_DUNG'!B:B, '06_BANG_GIA_VAT_TU_AP_DUNG'!C:C, "LỖI_MÃ_VT")</f>
        <v/>
      </c>
      <c r="K1445" s="2">
        <f>I1445*J1445</f>
        <v/>
      </c>
      <c r="L1445" t="inlineStr">
        <is>
          <t>2 cánh cao 145mm</t>
        </is>
      </c>
    </row>
    <row r="1446">
      <c r="A1446" t="inlineStr">
        <is>
          <t>SW-DAMPER-347-AXLE</t>
        </is>
      </c>
      <c r="B1446" t="inlineStr">
        <is>
          <t>SW-DAMPER-347</t>
        </is>
      </c>
      <c r="C1446" t="inlineStr">
        <is>
          <t>Trục Sus 201 D10</t>
        </is>
      </c>
      <c r="D1446" t="inlineStr">
        <is>
          <t>PHỤ_KIỆN_VAN</t>
        </is>
      </c>
      <c r="E1446" t="inlineStr">
        <is>
          <t>MAT-DAMPER-TRUC-SUS-201-D10</t>
        </is>
      </c>
      <c r="F1446" t="inlineStr">
        <is>
          <t>m</t>
        </is>
      </c>
      <c r="G1446" s="4" t="n">
        <v>1.22</v>
      </c>
      <c r="H1446" s="2">
        <f>XLOOKUP(B1446, '00_TONG_HOP_BAO_GIA'!B:B, '00_TONG_HOP_BAO_GIA'!G:G, 1)</f>
        <v/>
      </c>
      <c r="I1446" s="5">
        <f>G1446*H1446</f>
        <v/>
      </c>
      <c r="J1446" s="2">
        <f>XLOOKUP(E1446, '06_BANG_GIA_VAT_TU_AP_DUNG'!B:B, '06_BANG_GIA_VAT_TU_AP_DUNG'!C:C, "LỖI_MÃ_VT")</f>
        <v/>
      </c>
      <c r="K1446" s="2">
        <f>I1446*J1446</f>
        <v/>
      </c>
      <c r="L1446" t="inlineStr">
        <is>
          <t>2 trục dài 610mm</t>
        </is>
      </c>
    </row>
    <row r="1447">
      <c r="A1447" t="inlineStr">
        <is>
          <t>SW-DAMPER-347-BEARING</t>
        </is>
      </c>
      <c r="B1447" t="inlineStr">
        <is>
          <t>SW-DAMPER-347</t>
        </is>
      </c>
      <c r="C1447" t="inlineStr">
        <is>
          <t>Bạc đồng D10</t>
        </is>
      </c>
      <c r="D1447" t="inlineStr">
        <is>
          <t>PHỤ_KIỆN_VAN</t>
        </is>
      </c>
      <c r="E1447" t="inlineStr">
        <is>
          <t>MAT-DAMPER-BAC-DONG-D10</t>
        </is>
      </c>
      <c r="F1447" t="inlineStr">
        <is>
          <t>Đôi</t>
        </is>
      </c>
      <c r="G1447" s="4" t="n">
        <v>2</v>
      </c>
      <c r="H1447" s="2">
        <f>XLOOKUP(B1447, '00_TONG_HOP_BAO_GIA'!B:B, '00_TONG_HOP_BAO_GIA'!G:G, 1)</f>
        <v/>
      </c>
      <c r="I1447" s="5">
        <f>G1447*H1447</f>
        <v/>
      </c>
      <c r="J1447" s="2">
        <f>XLOOKUP(E1447, '06_BANG_GIA_VAT_TU_AP_DUNG'!B:B, '06_BANG_GIA_VAT_TU_AP_DUNG'!C:C, "LỖI_MÃ_VT")</f>
        <v/>
      </c>
      <c r="K1447" s="2">
        <f>I1447*J1447</f>
        <v/>
      </c>
      <c r="L1447" t="inlineStr">
        <is>
          <t>2 đôi bạc đỡ 2 bên thân</t>
        </is>
      </c>
    </row>
    <row r="1448">
      <c r="A1448" t="inlineStr">
        <is>
          <t>SW-DAMPER-347-GEAR</t>
        </is>
      </c>
      <c r="B1448" t="inlineStr">
        <is>
          <t>SW-DAMPER-347</t>
        </is>
      </c>
      <c r="C1448" t="inlineStr">
        <is>
          <t>Bánh răng van nhôm</t>
        </is>
      </c>
      <c r="D1448" t="inlineStr">
        <is>
          <t>PHỤ_KIỆN_VAN</t>
        </is>
      </c>
      <c r="E1448" t="inlineStr">
        <is>
          <t>MAT-DAMPER-BANH-RANG-VAN-NHOM</t>
        </is>
      </c>
      <c r="F1448" t="inlineStr">
        <is>
          <t>Bộ</t>
        </is>
      </c>
      <c r="G1448" s="4" t="n">
        <v>1</v>
      </c>
      <c r="H1448" s="2">
        <f>XLOOKUP(B1448, '00_TONG_HOP_BAO_GIA'!B:B, '00_TONG_HOP_BAO_GIA'!G:G, 1)</f>
        <v/>
      </c>
      <c r="I1448" s="5">
        <f>G1448*H1448</f>
        <v/>
      </c>
      <c r="J1448" s="2">
        <f>XLOOKUP(E1448, '06_BANG_GIA_VAT_TU_AP_DUNG'!B:B, '06_BANG_GIA_VAT_TU_AP_DUNG'!C:C, "LỖI_MÃ_VT")</f>
        <v/>
      </c>
      <c r="K1448" s="2">
        <f>I1448*J1448</f>
        <v/>
      </c>
      <c r="L1448" t="inlineStr">
        <is>
          <t>Cơ cấu liên động bánh răng van</t>
        </is>
      </c>
    </row>
    <row r="1449">
      <c r="A1449" t="inlineStr">
        <is>
          <t>SW-DAMPER-347-FUSE</t>
        </is>
      </c>
      <c r="B1449" t="inlineStr">
        <is>
          <t>SW-DAMPER-347</t>
        </is>
      </c>
      <c r="C1449" t="inlineStr">
        <is>
          <t>Cầu chì nhiệt nóng chảy 70°C (Elsie/USA)</t>
        </is>
      </c>
      <c r="D1449" t="inlineStr">
        <is>
          <t>PHỤ_KIỆN_VAN</t>
        </is>
      </c>
      <c r="E1449" t="inlineStr">
        <is>
          <t>MAT-DAMPER-CAU-CHI-USA-2-400X400</t>
        </is>
      </c>
      <c r="F1449" t="inlineStr">
        <is>
          <t>Cái</t>
        </is>
      </c>
      <c r="G1449" s="4" t="n">
        <v>1</v>
      </c>
      <c r="H1449" s="2">
        <f>XLOOKUP(B1449, '00_TONG_HOP_BAO_GIA'!B:B, '00_TONG_HOP_BAO_GIA'!G:G, 1)</f>
        <v/>
      </c>
      <c r="I1449" s="5">
        <f>G1449*H1449</f>
        <v/>
      </c>
      <c r="J1449" s="2">
        <f>XLOOKUP(E1449, '06_BANG_GIA_VAT_TU_AP_DUNG'!B:B, '06_BANG_GIA_VAT_TU_AP_DUNG'!C:C, "LỖI_MÃ_VT")</f>
        <v/>
      </c>
      <c r="K1449" s="2">
        <f>I1449*J1449</f>
        <v/>
      </c>
      <c r="L1449" t="inlineStr">
        <is>
          <t>Cầu chì kiểm định PCCC</t>
        </is>
      </c>
    </row>
    <row r="1450">
      <c r="A1450" t="inlineStr">
        <is>
          <t>SW-DAMPER-348-BODY</t>
        </is>
      </c>
      <c r="B1450" t="inlineStr">
        <is>
          <t>SW-DAMPER-348</t>
        </is>
      </c>
      <c r="C1450" t="inlineStr">
        <is>
          <t>Thân vỏ van FD bích TDF (0.75mm)</t>
        </is>
      </c>
      <c r="D1450" t="inlineStr">
        <is>
          <t>TÔN_CUỘN_MẠ_KẼM</t>
        </is>
      </c>
      <c r="E1450" t="inlineStr">
        <is>
          <t>MAT-STEEL-PN-0.75</t>
        </is>
      </c>
      <c r="F1450" t="inlineStr">
        <is>
          <t>kg</t>
        </is>
      </c>
      <c r="G1450" s="4" t="n">
        <v>3.639888</v>
      </c>
      <c r="H1450" s="2">
        <f>XLOOKUP(B1450, '00_TONG_HOP_BAO_GIA'!B:B, '00_TONG_HOP_BAO_GIA'!G:G, 1)</f>
        <v/>
      </c>
      <c r="I1450" s="5">
        <f>G1450*H1450</f>
        <v/>
      </c>
      <c r="J1450" s="2">
        <f>XLOOKUP(E1450, '06_BANG_GIA_VAT_TU_AP_DUNG'!B:B, '06_BANG_GIA_VAT_TU_AP_DUNG'!C:C, "LỖI_MÃ_VT")</f>
        <v/>
      </c>
      <c r="K1450" s="2">
        <f>I1450*J1450</f>
        <v/>
      </c>
      <c r="L1450" t="inlineStr">
        <is>
          <t>Kích thước vỏ 550.0x350.0x250mm</t>
        </is>
      </c>
    </row>
    <row r="1451">
      <c r="A1451" t="inlineStr">
        <is>
          <t>SW-DAMPER-348-BLADE</t>
        </is>
      </c>
      <c r="B1451" t="inlineStr">
        <is>
          <t>SW-DAMPER-348</t>
        </is>
      </c>
      <c r="C1451" t="inlineStr">
        <is>
          <t>Lá cánh van (2 cánh overlap)</t>
        </is>
      </c>
      <c r="D1451" t="inlineStr">
        <is>
          <t>TÔN_CUỘN_MẠ_KẼM</t>
        </is>
      </c>
      <c r="E1451" t="inlineStr">
        <is>
          <t>MAT-STEEL-PN-0.75</t>
        </is>
      </c>
      <c r="F1451" t="inlineStr">
        <is>
          <t>kg</t>
        </is>
      </c>
      <c r="G1451" s="4" t="n">
        <v>1.36389825</v>
      </c>
      <c r="H1451" s="2">
        <f>XLOOKUP(B1451, '00_TONG_HOP_BAO_GIA'!B:B, '00_TONG_HOP_BAO_GIA'!G:G, 1)</f>
        <v/>
      </c>
      <c r="I1451" s="5">
        <f>G1451*H1451</f>
        <v/>
      </c>
      <c r="J1451" s="2">
        <f>XLOOKUP(E1451, '06_BANG_GIA_VAT_TU_AP_DUNG'!B:B, '06_BANG_GIA_VAT_TU_AP_DUNG'!C:C, "LỖI_MÃ_VT")</f>
        <v/>
      </c>
      <c r="K1451" s="2">
        <f>I1451*J1451</f>
        <v/>
      </c>
      <c r="L1451" t="inlineStr">
        <is>
          <t>2 cánh cao 195mm</t>
        </is>
      </c>
    </row>
    <row r="1452">
      <c r="A1452" t="inlineStr">
        <is>
          <t>SW-DAMPER-348-AXLE</t>
        </is>
      </c>
      <c r="B1452" t="inlineStr">
        <is>
          <t>SW-DAMPER-348</t>
        </is>
      </c>
      <c r="C1452" t="inlineStr">
        <is>
          <t>Trục Sus 201 D10</t>
        </is>
      </c>
      <c r="D1452" t="inlineStr">
        <is>
          <t>PHỤ_KIỆN_VAN</t>
        </is>
      </c>
      <c r="E1452" t="inlineStr">
        <is>
          <t>MAT-DAMPER-TRUC-SUS-201-D10</t>
        </is>
      </c>
      <c r="F1452" t="inlineStr">
        <is>
          <t>m</t>
        </is>
      </c>
      <c r="G1452" s="4" t="n">
        <v>1.22</v>
      </c>
      <c r="H1452" s="2">
        <f>XLOOKUP(B1452, '00_TONG_HOP_BAO_GIA'!B:B, '00_TONG_HOP_BAO_GIA'!G:G, 1)</f>
        <v/>
      </c>
      <c r="I1452" s="5">
        <f>G1452*H1452</f>
        <v/>
      </c>
      <c r="J1452" s="2">
        <f>XLOOKUP(E1452, '06_BANG_GIA_VAT_TU_AP_DUNG'!B:B, '06_BANG_GIA_VAT_TU_AP_DUNG'!C:C, "LỖI_MÃ_VT")</f>
        <v/>
      </c>
      <c r="K1452" s="2">
        <f>I1452*J1452</f>
        <v/>
      </c>
      <c r="L1452" t="inlineStr">
        <is>
          <t>2 trục dài 610mm</t>
        </is>
      </c>
    </row>
    <row r="1453">
      <c r="A1453" t="inlineStr">
        <is>
          <t>SW-DAMPER-348-BEARING</t>
        </is>
      </c>
      <c r="B1453" t="inlineStr">
        <is>
          <t>SW-DAMPER-348</t>
        </is>
      </c>
      <c r="C1453" t="inlineStr">
        <is>
          <t>Bạc đồng D10</t>
        </is>
      </c>
      <c r="D1453" t="inlineStr">
        <is>
          <t>PHỤ_KIỆN_VAN</t>
        </is>
      </c>
      <c r="E1453" t="inlineStr">
        <is>
          <t>MAT-DAMPER-BAC-DONG-D10</t>
        </is>
      </c>
      <c r="F1453" t="inlineStr">
        <is>
          <t>Đôi</t>
        </is>
      </c>
      <c r="G1453" s="4" t="n">
        <v>2</v>
      </c>
      <c r="H1453" s="2">
        <f>XLOOKUP(B1453, '00_TONG_HOP_BAO_GIA'!B:B, '00_TONG_HOP_BAO_GIA'!G:G, 1)</f>
        <v/>
      </c>
      <c r="I1453" s="5">
        <f>G1453*H1453</f>
        <v/>
      </c>
      <c r="J1453" s="2">
        <f>XLOOKUP(E1453, '06_BANG_GIA_VAT_TU_AP_DUNG'!B:B, '06_BANG_GIA_VAT_TU_AP_DUNG'!C:C, "LỖI_MÃ_VT")</f>
        <v/>
      </c>
      <c r="K1453" s="2">
        <f>I1453*J1453</f>
        <v/>
      </c>
      <c r="L1453" t="inlineStr">
        <is>
          <t>2 đôi bạc đỡ 2 bên thân</t>
        </is>
      </c>
    </row>
    <row r="1454">
      <c r="A1454" t="inlineStr">
        <is>
          <t>SW-DAMPER-348-GEAR</t>
        </is>
      </c>
      <c r="B1454" t="inlineStr">
        <is>
          <t>SW-DAMPER-348</t>
        </is>
      </c>
      <c r="C1454" t="inlineStr">
        <is>
          <t>Bánh răng van nhôm</t>
        </is>
      </c>
      <c r="D1454" t="inlineStr">
        <is>
          <t>PHỤ_KIỆN_VAN</t>
        </is>
      </c>
      <c r="E1454" t="inlineStr">
        <is>
          <t>MAT-DAMPER-BANH-RANG-VAN-NHOM</t>
        </is>
      </c>
      <c r="F1454" t="inlineStr">
        <is>
          <t>Bộ</t>
        </is>
      </c>
      <c r="G1454" s="4" t="n">
        <v>1</v>
      </c>
      <c r="H1454" s="2">
        <f>XLOOKUP(B1454, '00_TONG_HOP_BAO_GIA'!B:B, '00_TONG_HOP_BAO_GIA'!G:G, 1)</f>
        <v/>
      </c>
      <c r="I1454" s="5">
        <f>G1454*H1454</f>
        <v/>
      </c>
      <c r="J1454" s="2">
        <f>XLOOKUP(E1454, '06_BANG_GIA_VAT_TU_AP_DUNG'!B:B, '06_BANG_GIA_VAT_TU_AP_DUNG'!C:C, "LỖI_MÃ_VT")</f>
        <v/>
      </c>
      <c r="K1454" s="2">
        <f>I1454*J1454</f>
        <v/>
      </c>
      <c r="L1454" t="inlineStr">
        <is>
          <t>Cơ cấu liên động bánh răng van</t>
        </is>
      </c>
    </row>
    <row r="1455">
      <c r="A1455" t="inlineStr">
        <is>
          <t>SW-DAMPER-348-FUSE</t>
        </is>
      </c>
      <c r="B1455" t="inlineStr">
        <is>
          <t>SW-DAMPER-348</t>
        </is>
      </c>
      <c r="C1455" t="inlineStr">
        <is>
          <t>Cầu chì nhiệt nóng chảy 70°C (Elsie/USA)</t>
        </is>
      </c>
      <c r="D1455" t="inlineStr">
        <is>
          <t>PHỤ_KIỆN_VAN</t>
        </is>
      </c>
      <c r="E1455" t="inlineStr">
        <is>
          <t>MAT-DAMPER-CAU-CHI-USA-2-400X400</t>
        </is>
      </c>
      <c r="F1455" t="inlineStr">
        <is>
          <t>Cái</t>
        </is>
      </c>
      <c r="G1455" s="4" t="n">
        <v>1</v>
      </c>
      <c r="H1455" s="2">
        <f>XLOOKUP(B1455, '00_TONG_HOP_BAO_GIA'!B:B, '00_TONG_HOP_BAO_GIA'!G:G, 1)</f>
        <v/>
      </c>
      <c r="I1455" s="5">
        <f>G1455*H1455</f>
        <v/>
      </c>
      <c r="J1455" s="2">
        <f>XLOOKUP(E1455, '06_BANG_GIA_VAT_TU_AP_DUNG'!B:B, '06_BANG_GIA_VAT_TU_AP_DUNG'!C:C, "LỖI_MÃ_VT")</f>
        <v/>
      </c>
      <c r="K1455" s="2">
        <f>I1455*J1455</f>
        <v/>
      </c>
      <c r="L1455" t="inlineStr">
        <is>
          <t>Cầu chì kiểm định PCCC</t>
        </is>
      </c>
    </row>
    <row r="1456">
      <c r="A1456" t="inlineStr">
        <is>
          <t>SW-DAMPER-349-BODY</t>
        </is>
      </c>
      <c r="B1456" t="inlineStr">
        <is>
          <t>SW-DAMPER-349</t>
        </is>
      </c>
      <c r="C1456" t="inlineStr">
        <is>
          <t>Thân vỏ van FD bích TDF (0.75mm)</t>
        </is>
      </c>
      <c r="D1456" t="inlineStr">
        <is>
          <t>TÔN_CUỘN_MẠ_KẼM</t>
        </is>
      </c>
      <c r="E1456" t="inlineStr">
        <is>
          <t>MAT-STEEL-PN-0.75</t>
        </is>
      </c>
      <c r="F1456" t="inlineStr">
        <is>
          <t>kg</t>
        </is>
      </c>
      <c r="G1456" s="4" t="n">
        <v>3.639888</v>
      </c>
      <c r="H1456" s="2">
        <f>XLOOKUP(B1456, '00_TONG_HOP_BAO_GIA'!B:B, '00_TONG_HOP_BAO_GIA'!G:G, 1)</f>
        <v/>
      </c>
      <c r="I1456" s="5">
        <f>G1456*H1456</f>
        <v/>
      </c>
      <c r="J1456" s="2">
        <f>XLOOKUP(E1456, '06_BANG_GIA_VAT_TU_AP_DUNG'!B:B, '06_BANG_GIA_VAT_TU_AP_DUNG'!C:C, "LỖI_MÃ_VT")</f>
        <v/>
      </c>
      <c r="K1456" s="2">
        <f>I1456*J1456</f>
        <v/>
      </c>
      <c r="L1456" t="inlineStr">
        <is>
          <t>Kích thước vỏ 600.0x300.0x250mm</t>
        </is>
      </c>
    </row>
    <row r="1457">
      <c r="A1457" t="inlineStr">
        <is>
          <t>SW-DAMPER-349-BLADE</t>
        </is>
      </c>
      <c r="B1457" t="inlineStr">
        <is>
          <t>SW-DAMPER-349</t>
        </is>
      </c>
      <c r="C1457" t="inlineStr">
        <is>
          <t>Lá cánh van (2 cánh overlap)</t>
        </is>
      </c>
      <c r="D1457" t="inlineStr">
        <is>
          <t>TÔN_CUỘN_MẠ_KẼM</t>
        </is>
      </c>
      <c r="E1457" t="inlineStr">
        <is>
          <t>MAT-STEEL-PN-0.75</t>
        </is>
      </c>
      <c r="F1457" t="inlineStr">
        <is>
          <t>kg</t>
        </is>
      </c>
      <c r="G1457" s="4" t="n">
        <v>1.297134</v>
      </c>
      <c r="H1457" s="2">
        <f>XLOOKUP(B1457, '00_TONG_HOP_BAO_GIA'!B:B, '00_TONG_HOP_BAO_GIA'!G:G, 1)</f>
        <v/>
      </c>
      <c r="I1457" s="5">
        <f>G1457*H1457</f>
        <v/>
      </c>
      <c r="J1457" s="2">
        <f>XLOOKUP(E1457, '06_BANG_GIA_VAT_TU_AP_DUNG'!B:B, '06_BANG_GIA_VAT_TU_AP_DUNG'!C:C, "LỖI_MÃ_VT")</f>
        <v/>
      </c>
      <c r="K1457" s="2">
        <f>I1457*J1457</f>
        <v/>
      </c>
      <c r="L1457" t="inlineStr">
        <is>
          <t>2 cánh cao 170mm</t>
        </is>
      </c>
    </row>
    <row r="1458">
      <c r="A1458" t="inlineStr">
        <is>
          <t>SW-DAMPER-349-AXLE</t>
        </is>
      </c>
      <c r="B1458" t="inlineStr">
        <is>
          <t>SW-DAMPER-349</t>
        </is>
      </c>
      <c r="C1458" t="inlineStr">
        <is>
          <t>Trục Sus 201 D10</t>
        </is>
      </c>
      <c r="D1458" t="inlineStr">
        <is>
          <t>PHỤ_KIỆN_VAN</t>
        </is>
      </c>
      <c r="E1458" t="inlineStr">
        <is>
          <t>MAT-DAMPER-TRUC-SUS-201-D10</t>
        </is>
      </c>
      <c r="F1458" t="inlineStr">
        <is>
          <t>m</t>
        </is>
      </c>
      <c r="G1458" s="4" t="n">
        <v>1.32</v>
      </c>
      <c r="H1458" s="2">
        <f>XLOOKUP(B1458, '00_TONG_HOP_BAO_GIA'!B:B, '00_TONG_HOP_BAO_GIA'!G:G, 1)</f>
        <v/>
      </c>
      <c r="I1458" s="5">
        <f>G1458*H1458</f>
        <v/>
      </c>
      <c r="J1458" s="2">
        <f>XLOOKUP(E1458, '06_BANG_GIA_VAT_TU_AP_DUNG'!B:B, '06_BANG_GIA_VAT_TU_AP_DUNG'!C:C, "LỖI_MÃ_VT")</f>
        <v/>
      </c>
      <c r="K1458" s="2">
        <f>I1458*J1458</f>
        <v/>
      </c>
      <c r="L1458" t="inlineStr">
        <is>
          <t>2 trục dài 660mm</t>
        </is>
      </c>
    </row>
    <row r="1459">
      <c r="A1459" t="inlineStr">
        <is>
          <t>SW-DAMPER-349-BEARING</t>
        </is>
      </c>
      <c r="B1459" t="inlineStr">
        <is>
          <t>SW-DAMPER-349</t>
        </is>
      </c>
      <c r="C1459" t="inlineStr">
        <is>
          <t>Bạc đồng D10</t>
        </is>
      </c>
      <c r="D1459" t="inlineStr">
        <is>
          <t>PHỤ_KIỆN_VAN</t>
        </is>
      </c>
      <c r="E1459" t="inlineStr">
        <is>
          <t>MAT-DAMPER-BAC-DONG-D10</t>
        </is>
      </c>
      <c r="F1459" t="inlineStr">
        <is>
          <t>Đôi</t>
        </is>
      </c>
      <c r="G1459" s="4" t="n">
        <v>2</v>
      </c>
      <c r="H1459" s="2">
        <f>XLOOKUP(B1459, '00_TONG_HOP_BAO_GIA'!B:B, '00_TONG_HOP_BAO_GIA'!G:G, 1)</f>
        <v/>
      </c>
      <c r="I1459" s="5">
        <f>G1459*H1459</f>
        <v/>
      </c>
      <c r="J1459" s="2">
        <f>XLOOKUP(E1459, '06_BANG_GIA_VAT_TU_AP_DUNG'!B:B, '06_BANG_GIA_VAT_TU_AP_DUNG'!C:C, "LỖI_MÃ_VT")</f>
        <v/>
      </c>
      <c r="K1459" s="2">
        <f>I1459*J1459</f>
        <v/>
      </c>
      <c r="L1459" t="inlineStr">
        <is>
          <t>2 đôi bạc đỡ 2 bên thân</t>
        </is>
      </c>
    </row>
    <row r="1460">
      <c r="A1460" t="inlineStr">
        <is>
          <t>SW-DAMPER-349-GEAR</t>
        </is>
      </c>
      <c r="B1460" t="inlineStr">
        <is>
          <t>SW-DAMPER-349</t>
        </is>
      </c>
      <c r="C1460" t="inlineStr">
        <is>
          <t>Bánh răng van nhôm</t>
        </is>
      </c>
      <c r="D1460" t="inlineStr">
        <is>
          <t>PHỤ_KIỆN_VAN</t>
        </is>
      </c>
      <c r="E1460" t="inlineStr">
        <is>
          <t>MAT-DAMPER-BANH-RANG-VAN-NHOM</t>
        </is>
      </c>
      <c r="F1460" t="inlineStr">
        <is>
          <t>Bộ</t>
        </is>
      </c>
      <c r="G1460" s="4" t="n">
        <v>1</v>
      </c>
      <c r="H1460" s="2">
        <f>XLOOKUP(B1460, '00_TONG_HOP_BAO_GIA'!B:B, '00_TONG_HOP_BAO_GIA'!G:G, 1)</f>
        <v/>
      </c>
      <c r="I1460" s="5">
        <f>G1460*H1460</f>
        <v/>
      </c>
      <c r="J1460" s="2">
        <f>XLOOKUP(E1460, '06_BANG_GIA_VAT_TU_AP_DUNG'!B:B, '06_BANG_GIA_VAT_TU_AP_DUNG'!C:C, "LỖI_MÃ_VT")</f>
        <v/>
      </c>
      <c r="K1460" s="2">
        <f>I1460*J1460</f>
        <v/>
      </c>
      <c r="L1460" t="inlineStr">
        <is>
          <t>Cơ cấu liên động bánh răng van</t>
        </is>
      </c>
    </row>
    <row r="1461">
      <c r="A1461" t="inlineStr">
        <is>
          <t>SW-DAMPER-349-FUSE</t>
        </is>
      </c>
      <c r="B1461" t="inlineStr">
        <is>
          <t>SW-DAMPER-349</t>
        </is>
      </c>
      <c r="C1461" t="inlineStr">
        <is>
          <t>Cầu chì nhiệt nóng chảy 70°C (Elsie/USA)</t>
        </is>
      </c>
      <c r="D1461" t="inlineStr">
        <is>
          <t>PHỤ_KIỆN_VAN</t>
        </is>
      </c>
      <c r="E1461" t="inlineStr">
        <is>
          <t>MAT-DAMPER-CAU-CHI-USA-2-400X400</t>
        </is>
      </c>
      <c r="F1461" t="inlineStr">
        <is>
          <t>Cái</t>
        </is>
      </c>
      <c r="G1461" s="4" t="n">
        <v>1</v>
      </c>
      <c r="H1461" s="2">
        <f>XLOOKUP(B1461, '00_TONG_HOP_BAO_GIA'!B:B, '00_TONG_HOP_BAO_GIA'!G:G, 1)</f>
        <v/>
      </c>
      <c r="I1461" s="5">
        <f>G1461*H1461</f>
        <v/>
      </c>
      <c r="J1461" s="2">
        <f>XLOOKUP(E1461, '06_BANG_GIA_VAT_TU_AP_DUNG'!B:B, '06_BANG_GIA_VAT_TU_AP_DUNG'!C:C, "LỖI_MÃ_VT")</f>
        <v/>
      </c>
      <c r="K1461" s="2">
        <f>I1461*J1461</f>
        <v/>
      </c>
      <c r="L1461" t="inlineStr">
        <is>
          <t>Cầu chì kiểm định PCCC</t>
        </is>
      </c>
    </row>
    <row r="1462">
      <c r="A1462" t="inlineStr">
        <is>
          <t>SW-DAMPER-350-BODY</t>
        </is>
      </c>
      <c r="B1462" t="inlineStr">
        <is>
          <t>SW-DAMPER-350</t>
        </is>
      </c>
      <c r="C1462" t="inlineStr">
        <is>
          <t>Thân vỏ van FD bích TDF (0.75mm)</t>
        </is>
      </c>
      <c r="D1462" t="inlineStr">
        <is>
          <t>TÔN_CUỘN_MẠ_KẼM</t>
        </is>
      </c>
      <c r="E1462" t="inlineStr">
        <is>
          <t>MAT-STEEL-PN-0.75</t>
        </is>
      </c>
      <c r="F1462" t="inlineStr">
        <is>
          <t>kg</t>
        </is>
      </c>
      <c r="G1462" s="4" t="n">
        <v>4.233348</v>
      </c>
      <c r="H1462" s="2">
        <f>XLOOKUP(B1462, '00_TONG_HOP_BAO_GIA'!B:B, '00_TONG_HOP_BAO_GIA'!G:G, 1)</f>
        <v/>
      </c>
      <c r="I1462" s="5">
        <f>G1462*H1462</f>
        <v/>
      </c>
      <c r="J1462" s="2">
        <f>XLOOKUP(E1462, '06_BANG_GIA_VAT_TU_AP_DUNG'!B:B, '06_BANG_GIA_VAT_TU_AP_DUNG'!C:C, "LỖI_MÃ_VT")</f>
        <v/>
      </c>
      <c r="K1462" s="2">
        <f>I1462*J1462</f>
        <v/>
      </c>
      <c r="L1462" t="inlineStr">
        <is>
          <t>Kích thước vỏ 600.0x450.0x250mm</t>
        </is>
      </c>
    </row>
    <row r="1463">
      <c r="A1463" t="inlineStr">
        <is>
          <t>SW-DAMPER-350-BLADE</t>
        </is>
      </c>
      <c r="B1463" t="inlineStr">
        <is>
          <t>SW-DAMPER-350</t>
        </is>
      </c>
      <c r="C1463" t="inlineStr">
        <is>
          <t>Lá cánh van (3 cánh overlap)</t>
        </is>
      </c>
      <c r="D1463" t="inlineStr">
        <is>
          <t>TÔN_CUỘN_MẠ_KẼM</t>
        </is>
      </c>
      <c r="E1463" t="inlineStr">
        <is>
          <t>MAT-STEEL-PN-0.75</t>
        </is>
      </c>
      <c r="F1463" t="inlineStr">
        <is>
          <t>kg</t>
        </is>
      </c>
      <c r="G1463" s="4" t="n">
        <v>1.945701</v>
      </c>
      <c r="H1463" s="2">
        <f>XLOOKUP(B1463, '00_TONG_HOP_BAO_GIA'!B:B, '00_TONG_HOP_BAO_GIA'!G:G, 1)</f>
        <v/>
      </c>
      <c r="I1463" s="5">
        <f>G1463*H1463</f>
        <v/>
      </c>
      <c r="J1463" s="2">
        <f>XLOOKUP(E1463, '06_BANG_GIA_VAT_TU_AP_DUNG'!B:B, '06_BANG_GIA_VAT_TU_AP_DUNG'!C:C, "LỖI_MÃ_VT")</f>
        <v/>
      </c>
      <c r="K1463" s="2">
        <f>I1463*J1463</f>
        <v/>
      </c>
      <c r="L1463" t="inlineStr">
        <is>
          <t>3 cánh cao 170mm</t>
        </is>
      </c>
    </row>
    <row r="1464">
      <c r="A1464" t="inlineStr">
        <is>
          <t>SW-DAMPER-350-AXLE</t>
        </is>
      </c>
      <c r="B1464" t="inlineStr">
        <is>
          <t>SW-DAMPER-350</t>
        </is>
      </c>
      <c r="C1464" t="inlineStr">
        <is>
          <t>Trục Sus 201 D10</t>
        </is>
      </c>
      <c r="D1464" t="inlineStr">
        <is>
          <t>PHỤ_KIỆN_VAN</t>
        </is>
      </c>
      <c r="E1464" t="inlineStr">
        <is>
          <t>MAT-DAMPER-TRUC-SUS-201-D10</t>
        </is>
      </c>
      <c r="F1464" t="inlineStr">
        <is>
          <t>m</t>
        </is>
      </c>
      <c r="G1464" s="4" t="n">
        <v>1.98</v>
      </c>
      <c r="H1464" s="2">
        <f>XLOOKUP(B1464, '00_TONG_HOP_BAO_GIA'!B:B, '00_TONG_HOP_BAO_GIA'!G:G, 1)</f>
        <v/>
      </c>
      <c r="I1464" s="5">
        <f>G1464*H1464</f>
        <v/>
      </c>
      <c r="J1464" s="2">
        <f>XLOOKUP(E1464, '06_BANG_GIA_VAT_TU_AP_DUNG'!B:B, '06_BANG_GIA_VAT_TU_AP_DUNG'!C:C, "LỖI_MÃ_VT")</f>
        <v/>
      </c>
      <c r="K1464" s="2">
        <f>I1464*J1464</f>
        <v/>
      </c>
      <c r="L1464" t="inlineStr">
        <is>
          <t>3 trục dài 660mm</t>
        </is>
      </c>
    </row>
    <row r="1465">
      <c r="A1465" t="inlineStr">
        <is>
          <t>SW-DAMPER-350-BEARING</t>
        </is>
      </c>
      <c r="B1465" t="inlineStr">
        <is>
          <t>SW-DAMPER-350</t>
        </is>
      </c>
      <c r="C1465" t="inlineStr">
        <is>
          <t>Bạc đồng D10</t>
        </is>
      </c>
      <c r="D1465" t="inlineStr">
        <is>
          <t>PHỤ_KIỆN_VAN</t>
        </is>
      </c>
      <c r="E1465" t="inlineStr">
        <is>
          <t>MAT-DAMPER-BAC-DONG-D10</t>
        </is>
      </c>
      <c r="F1465" t="inlineStr">
        <is>
          <t>Đôi</t>
        </is>
      </c>
      <c r="G1465" s="4" t="n">
        <v>3</v>
      </c>
      <c r="H1465" s="2">
        <f>XLOOKUP(B1465, '00_TONG_HOP_BAO_GIA'!B:B, '00_TONG_HOP_BAO_GIA'!G:G, 1)</f>
        <v/>
      </c>
      <c r="I1465" s="5">
        <f>G1465*H1465</f>
        <v/>
      </c>
      <c r="J1465" s="2">
        <f>XLOOKUP(E1465, '06_BANG_GIA_VAT_TU_AP_DUNG'!B:B, '06_BANG_GIA_VAT_TU_AP_DUNG'!C:C, "LỖI_MÃ_VT")</f>
        <v/>
      </c>
      <c r="K1465" s="2">
        <f>I1465*J1465</f>
        <v/>
      </c>
      <c r="L1465" t="inlineStr">
        <is>
          <t>3 đôi bạc đỡ 2 bên thân</t>
        </is>
      </c>
    </row>
    <row r="1466">
      <c r="A1466" t="inlineStr">
        <is>
          <t>SW-DAMPER-350-GEAR</t>
        </is>
      </c>
      <c r="B1466" t="inlineStr">
        <is>
          <t>SW-DAMPER-350</t>
        </is>
      </c>
      <c r="C1466" t="inlineStr">
        <is>
          <t>Bánh răng van nhôm</t>
        </is>
      </c>
      <c r="D1466" t="inlineStr">
        <is>
          <t>PHỤ_KIỆN_VAN</t>
        </is>
      </c>
      <c r="E1466" t="inlineStr">
        <is>
          <t>MAT-DAMPER-BANH-RANG-VAN-NHOM</t>
        </is>
      </c>
      <c r="F1466" t="inlineStr">
        <is>
          <t>Bộ</t>
        </is>
      </c>
      <c r="G1466" s="4" t="n">
        <v>1</v>
      </c>
      <c r="H1466" s="2">
        <f>XLOOKUP(B1466, '00_TONG_HOP_BAO_GIA'!B:B, '00_TONG_HOP_BAO_GIA'!G:G, 1)</f>
        <v/>
      </c>
      <c r="I1466" s="5">
        <f>G1466*H1466</f>
        <v/>
      </c>
      <c r="J1466" s="2">
        <f>XLOOKUP(E1466, '06_BANG_GIA_VAT_TU_AP_DUNG'!B:B, '06_BANG_GIA_VAT_TU_AP_DUNG'!C:C, "LỖI_MÃ_VT")</f>
        <v/>
      </c>
      <c r="K1466" s="2">
        <f>I1466*J1466</f>
        <v/>
      </c>
      <c r="L1466" t="inlineStr">
        <is>
          <t>Cơ cấu liên động bánh răng van</t>
        </is>
      </c>
    </row>
    <row r="1467">
      <c r="A1467" t="inlineStr">
        <is>
          <t>SW-DAMPER-350-FUSE</t>
        </is>
      </c>
      <c r="B1467" t="inlineStr">
        <is>
          <t>SW-DAMPER-350</t>
        </is>
      </c>
      <c r="C1467" t="inlineStr">
        <is>
          <t>Cầu chì nhiệt nóng chảy 70°C (Elsie/USA)</t>
        </is>
      </c>
      <c r="D1467" t="inlineStr">
        <is>
          <t>PHỤ_KIỆN_VAN</t>
        </is>
      </c>
      <c r="E1467" t="inlineStr">
        <is>
          <t>MAT-DAMPER-CAU-CHI-USA-2-400X400</t>
        </is>
      </c>
      <c r="F1467" t="inlineStr">
        <is>
          <t>Cái</t>
        </is>
      </c>
      <c r="G1467" s="4" t="n">
        <v>1</v>
      </c>
      <c r="H1467" s="2">
        <f>XLOOKUP(B1467, '00_TONG_HOP_BAO_GIA'!B:B, '00_TONG_HOP_BAO_GIA'!G:G, 1)</f>
        <v/>
      </c>
      <c r="I1467" s="5">
        <f>G1467*H1467</f>
        <v/>
      </c>
      <c r="J1467" s="2">
        <f>XLOOKUP(E1467, '06_BANG_GIA_VAT_TU_AP_DUNG'!B:B, '06_BANG_GIA_VAT_TU_AP_DUNG'!C:C, "LỖI_MÃ_VT")</f>
        <v/>
      </c>
      <c r="K1467" s="2">
        <f>I1467*J1467</f>
        <v/>
      </c>
      <c r="L1467" t="inlineStr">
        <is>
          <t>Cầu chì kiểm định PCCC</t>
        </is>
      </c>
    </row>
    <row r="1468">
      <c r="A1468" t="inlineStr">
        <is>
          <t>SW-DAMPER-351-BODY</t>
        </is>
      </c>
      <c r="B1468" t="inlineStr">
        <is>
          <t>SW-DAMPER-351</t>
        </is>
      </c>
      <c r="C1468" t="inlineStr">
        <is>
          <t>Thân vỏ van FD bích TDF (0.75mm)</t>
        </is>
      </c>
      <c r="D1468" t="inlineStr">
        <is>
          <t>TÔN_CUỘN_MẠ_KẼM</t>
        </is>
      </c>
      <c r="E1468" t="inlineStr">
        <is>
          <t>MAT-STEEL-PN-0.75</t>
        </is>
      </c>
      <c r="F1468" t="inlineStr">
        <is>
          <t>kg</t>
        </is>
      </c>
      <c r="G1468" s="4" t="n">
        <v>3.639888</v>
      </c>
      <c r="H1468" s="2">
        <f>XLOOKUP(B1468, '00_TONG_HOP_BAO_GIA'!B:B, '00_TONG_HOP_BAO_GIA'!G:G, 1)</f>
        <v/>
      </c>
      <c r="I1468" s="5">
        <f>G1468*H1468</f>
        <v/>
      </c>
      <c r="J1468" s="2">
        <f>XLOOKUP(E1468, '06_BANG_GIA_VAT_TU_AP_DUNG'!B:B, '06_BANG_GIA_VAT_TU_AP_DUNG'!C:C, "LỖI_MÃ_VT")</f>
        <v/>
      </c>
      <c r="K1468" s="2">
        <f>I1468*J1468</f>
        <v/>
      </c>
      <c r="L1468" t="inlineStr">
        <is>
          <t>Kích thước vỏ 650.0x250.0x250mm</t>
        </is>
      </c>
    </row>
    <row r="1469">
      <c r="A1469" t="inlineStr">
        <is>
          <t>SW-DAMPER-351-BLADE</t>
        </is>
      </c>
      <c r="B1469" t="inlineStr">
        <is>
          <t>SW-DAMPER-351</t>
        </is>
      </c>
      <c r="C1469" t="inlineStr">
        <is>
          <t>Lá cánh van (2 cánh overlap)</t>
        </is>
      </c>
      <c r="D1469" t="inlineStr">
        <is>
          <t>TÔN_CUỘN_MẠ_KẼM</t>
        </is>
      </c>
      <c r="E1469" t="inlineStr">
        <is>
          <t>MAT-STEEL-PN-0.75</t>
        </is>
      </c>
      <c r="F1469" t="inlineStr">
        <is>
          <t>kg</t>
        </is>
      </c>
      <c r="G1469" s="4" t="n">
        <v>1.19857725</v>
      </c>
      <c r="H1469" s="2">
        <f>XLOOKUP(B1469, '00_TONG_HOP_BAO_GIA'!B:B, '00_TONG_HOP_BAO_GIA'!G:G, 1)</f>
        <v/>
      </c>
      <c r="I1469" s="5">
        <f>G1469*H1469</f>
        <v/>
      </c>
      <c r="J1469" s="2">
        <f>XLOOKUP(E1469, '06_BANG_GIA_VAT_TU_AP_DUNG'!B:B, '06_BANG_GIA_VAT_TU_AP_DUNG'!C:C, "LỖI_MÃ_VT")</f>
        <v/>
      </c>
      <c r="K1469" s="2">
        <f>I1469*J1469</f>
        <v/>
      </c>
      <c r="L1469" t="inlineStr">
        <is>
          <t>2 cánh cao 145mm</t>
        </is>
      </c>
    </row>
    <row r="1470">
      <c r="A1470" t="inlineStr">
        <is>
          <t>SW-DAMPER-351-AXLE</t>
        </is>
      </c>
      <c r="B1470" t="inlineStr">
        <is>
          <t>SW-DAMPER-351</t>
        </is>
      </c>
      <c r="C1470" t="inlineStr">
        <is>
          <t>Trục Sus 201 D10</t>
        </is>
      </c>
      <c r="D1470" t="inlineStr">
        <is>
          <t>PHỤ_KIỆN_VAN</t>
        </is>
      </c>
      <c r="E1470" t="inlineStr">
        <is>
          <t>MAT-DAMPER-TRUC-SUS-201-D10</t>
        </is>
      </c>
      <c r="F1470" t="inlineStr">
        <is>
          <t>m</t>
        </is>
      </c>
      <c r="G1470" s="4" t="n">
        <v>1.42</v>
      </c>
      <c r="H1470" s="2">
        <f>XLOOKUP(B1470, '00_TONG_HOP_BAO_GIA'!B:B, '00_TONG_HOP_BAO_GIA'!G:G, 1)</f>
        <v/>
      </c>
      <c r="I1470" s="5">
        <f>G1470*H1470</f>
        <v/>
      </c>
      <c r="J1470" s="2">
        <f>XLOOKUP(E1470, '06_BANG_GIA_VAT_TU_AP_DUNG'!B:B, '06_BANG_GIA_VAT_TU_AP_DUNG'!C:C, "LỖI_MÃ_VT")</f>
        <v/>
      </c>
      <c r="K1470" s="2">
        <f>I1470*J1470</f>
        <v/>
      </c>
      <c r="L1470" t="inlineStr">
        <is>
          <t>2 trục dài 710mm</t>
        </is>
      </c>
    </row>
    <row r="1471">
      <c r="A1471" t="inlineStr">
        <is>
          <t>SW-DAMPER-351-BEARING</t>
        </is>
      </c>
      <c r="B1471" t="inlineStr">
        <is>
          <t>SW-DAMPER-351</t>
        </is>
      </c>
      <c r="C1471" t="inlineStr">
        <is>
          <t>Bạc đồng D10</t>
        </is>
      </c>
      <c r="D1471" t="inlineStr">
        <is>
          <t>PHỤ_KIỆN_VAN</t>
        </is>
      </c>
      <c r="E1471" t="inlineStr">
        <is>
          <t>MAT-DAMPER-BAC-DONG-D10</t>
        </is>
      </c>
      <c r="F1471" t="inlineStr">
        <is>
          <t>Đôi</t>
        </is>
      </c>
      <c r="G1471" s="4" t="n">
        <v>2</v>
      </c>
      <c r="H1471" s="2">
        <f>XLOOKUP(B1471, '00_TONG_HOP_BAO_GIA'!B:B, '00_TONG_HOP_BAO_GIA'!G:G, 1)</f>
        <v/>
      </c>
      <c r="I1471" s="5">
        <f>G1471*H1471</f>
        <v/>
      </c>
      <c r="J1471" s="2">
        <f>XLOOKUP(E1471, '06_BANG_GIA_VAT_TU_AP_DUNG'!B:B, '06_BANG_GIA_VAT_TU_AP_DUNG'!C:C, "LỖI_MÃ_VT")</f>
        <v/>
      </c>
      <c r="K1471" s="2">
        <f>I1471*J1471</f>
        <v/>
      </c>
      <c r="L1471" t="inlineStr">
        <is>
          <t>2 đôi bạc đỡ 2 bên thân</t>
        </is>
      </c>
    </row>
    <row r="1472">
      <c r="A1472" t="inlineStr">
        <is>
          <t>SW-DAMPER-351-GEAR</t>
        </is>
      </c>
      <c r="B1472" t="inlineStr">
        <is>
          <t>SW-DAMPER-351</t>
        </is>
      </c>
      <c r="C1472" t="inlineStr">
        <is>
          <t>Bánh răng van nhôm</t>
        </is>
      </c>
      <c r="D1472" t="inlineStr">
        <is>
          <t>PHỤ_KIỆN_VAN</t>
        </is>
      </c>
      <c r="E1472" t="inlineStr">
        <is>
          <t>MAT-DAMPER-BANH-RANG-VAN-NHOM</t>
        </is>
      </c>
      <c r="F1472" t="inlineStr">
        <is>
          <t>Bộ</t>
        </is>
      </c>
      <c r="G1472" s="4" t="n">
        <v>1</v>
      </c>
      <c r="H1472" s="2">
        <f>XLOOKUP(B1472, '00_TONG_HOP_BAO_GIA'!B:B, '00_TONG_HOP_BAO_GIA'!G:G, 1)</f>
        <v/>
      </c>
      <c r="I1472" s="5">
        <f>G1472*H1472</f>
        <v/>
      </c>
      <c r="J1472" s="2">
        <f>XLOOKUP(E1472, '06_BANG_GIA_VAT_TU_AP_DUNG'!B:B, '06_BANG_GIA_VAT_TU_AP_DUNG'!C:C, "LỖI_MÃ_VT")</f>
        <v/>
      </c>
      <c r="K1472" s="2">
        <f>I1472*J1472</f>
        <v/>
      </c>
      <c r="L1472" t="inlineStr">
        <is>
          <t>Cơ cấu liên động bánh răng van</t>
        </is>
      </c>
    </row>
    <row r="1473">
      <c r="A1473" t="inlineStr">
        <is>
          <t>SW-DAMPER-351-FUSE</t>
        </is>
      </c>
      <c r="B1473" t="inlineStr">
        <is>
          <t>SW-DAMPER-351</t>
        </is>
      </c>
      <c r="C1473" t="inlineStr">
        <is>
          <t>Cầu chì nhiệt nóng chảy 70°C (Elsie/USA)</t>
        </is>
      </c>
      <c r="D1473" t="inlineStr">
        <is>
          <t>PHỤ_KIỆN_VAN</t>
        </is>
      </c>
      <c r="E1473" t="inlineStr">
        <is>
          <t>MAT-DAMPER-CAU-CHI-USA-2-400X400</t>
        </is>
      </c>
      <c r="F1473" t="inlineStr">
        <is>
          <t>Cái</t>
        </is>
      </c>
      <c r="G1473" s="4" t="n">
        <v>1</v>
      </c>
      <c r="H1473" s="2">
        <f>XLOOKUP(B1473, '00_TONG_HOP_BAO_GIA'!B:B, '00_TONG_HOP_BAO_GIA'!G:G, 1)</f>
        <v/>
      </c>
      <c r="I1473" s="5">
        <f>G1473*H1473</f>
        <v/>
      </c>
      <c r="J1473" s="2">
        <f>XLOOKUP(E1473, '06_BANG_GIA_VAT_TU_AP_DUNG'!B:B, '06_BANG_GIA_VAT_TU_AP_DUNG'!C:C, "LỖI_MÃ_VT")</f>
        <v/>
      </c>
      <c r="K1473" s="2">
        <f>I1473*J1473</f>
        <v/>
      </c>
      <c r="L1473" t="inlineStr">
        <is>
          <t>Cầu chì kiểm định PCCC</t>
        </is>
      </c>
    </row>
    <row r="1474">
      <c r="A1474" t="inlineStr">
        <is>
          <t>SW-DAMPER-352-BODY</t>
        </is>
      </c>
      <c r="B1474" t="inlineStr">
        <is>
          <t>SW-DAMPER-352</t>
        </is>
      </c>
      <c r="C1474" t="inlineStr">
        <is>
          <t>Thân vỏ van FD bích TDF (0.75mm)</t>
        </is>
      </c>
      <c r="D1474" t="inlineStr">
        <is>
          <t>TÔN_CUỘN_MẠ_KẼM</t>
        </is>
      </c>
      <c r="E1474" t="inlineStr">
        <is>
          <t>MAT-STEEL-PN-0.75</t>
        </is>
      </c>
      <c r="F1474" t="inlineStr">
        <is>
          <t>kg</t>
        </is>
      </c>
      <c r="G1474" s="4" t="n">
        <v>3.837708</v>
      </c>
      <c r="H1474" s="2">
        <f>XLOOKUP(B1474, '00_TONG_HOP_BAO_GIA'!B:B, '00_TONG_HOP_BAO_GIA'!G:G, 1)</f>
        <v/>
      </c>
      <c r="I1474" s="5">
        <f>G1474*H1474</f>
        <v/>
      </c>
      <c r="J1474" s="2">
        <f>XLOOKUP(E1474, '06_BANG_GIA_VAT_TU_AP_DUNG'!B:B, '06_BANG_GIA_VAT_TU_AP_DUNG'!C:C, "LỖI_MÃ_VT")</f>
        <v/>
      </c>
      <c r="K1474" s="2">
        <f>I1474*J1474</f>
        <v/>
      </c>
      <c r="L1474" t="inlineStr">
        <is>
          <t>Kích thước vỏ 650.0x300.0x250mm</t>
        </is>
      </c>
    </row>
    <row r="1475">
      <c r="A1475" t="inlineStr">
        <is>
          <t>SW-DAMPER-352-BLADE</t>
        </is>
      </c>
      <c r="B1475" t="inlineStr">
        <is>
          <t>SW-DAMPER-352</t>
        </is>
      </c>
      <c r="C1475" t="inlineStr">
        <is>
          <t>Lá cánh van (2 cánh overlap)</t>
        </is>
      </c>
      <c r="D1475" t="inlineStr">
        <is>
          <t>TÔN_CUỘN_MẠ_KẼM</t>
        </is>
      </c>
      <c r="E1475" t="inlineStr">
        <is>
          <t>MAT-STEEL-PN-0.75</t>
        </is>
      </c>
      <c r="F1475" t="inlineStr">
        <is>
          <t>kg</t>
        </is>
      </c>
      <c r="G1475" s="4" t="n">
        <v>1.4052285</v>
      </c>
      <c r="H1475" s="2">
        <f>XLOOKUP(B1475, '00_TONG_HOP_BAO_GIA'!B:B, '00_TONG_HOP_BAO_GIA'!G:G, 1)</f>
        <v/>
      </c>
      <c r="I1475" s="5">
        <f>G1475*H1475</f>
        <v/>
      </c>
      <c r="J1475" s="2">
        <f>XLOOKUP(E1475, '06_BANG_GIA_VAT_TU_AP_DUNG'!B:B, '06_BANG_GIA_VAT_TU_AP_DUNG'!C:C, "LỖI_MÃ_VT")</f>
        <v/>
      </c>
      <c r="K1475" s="2">
        <f>I1475*J1475</f>
        <v/>
      </c>
      <c r="L1475" t="inlineStr">
        <is>
          <t>2 cánh cao 170mm</t>
        </is>
      </c>
    </row>
    <row r="1476">
      <c r="A1476" t="inlineStr">
        <is>
          <t>SW-DAMPER-352-AXLE</t>
        </is>
      </c>
      <c r="B1476" t="inlineStr">
        <is>
          <t>SW-DAMPER-352</t>
        </is>
      </c>
      <c r="C1476" t="inlineStr">
        <is>
          <t>Trục Sus 201 D10</t>
        </is>
      </c>
      <c r="D1476" t="inlineStr">
        <is>
          <t>PHỤ_KIỆN_VAN</t>
        </is>
      </c>
      <c r="E1476" t="inlineStr">
        <is>
          <t>MAT-DAMPER-TRUC-SUS-201-D10</t>
        </is>
      </c>
      <c r="F1476" t="inlineStr">
        <is>
          <t>m</t>
        </is>
      </c>
      <c r="G1476" s="4" t="n">
        <v>1.42</v>
      </c>
      <c r="H1476" s="2">
        <f>XLOOKUP(B1476, '00_TONG_HOP_BAO_GIA'!B:B, '00_TONG_HOP_BAO_GIA'!G:G, 1)</f>
        <v/>
      </c>
      <c r="I1476" s="5">
        <f>G1476*H1476</f>
        <v/>
      </c>
      <c r="J1476" s="2">
        <f>XLOOKUP(E1476, '06_BANG_GIA_VAT_TU_AP_DUNG'!B:B, '06_BANG_GIA_VAT_TU_AP_DUNG'!C:C, "LỖI_MÃ_VT")</f>
        <v/>
      </c>
      <c r="K1476" s="2">
        <f>I1476*J1476</f>
        <v/>
      </c>
      <c r="L1476" t="inlineStr">
        <is>
          <t>2 trục dài 710mm</t>
        </is>
      </c>
    </row>
    <row r="1477">
      <c r="A1477" t="inlineStr">
        <is>
          <t>SW-DAMPER-352-BEARING</t>
        </is>
      </c>
      <c r="B1477" t="inlineStr">
        <is>
          <t>SW-DAMPER-352</t>
        </is>
      </c>
      <c r="C1477" t="inlineStr">
        <is>
          <t>Bạc đồng D10</t>
        </is>
      </c>
      <c r="D1477" t="inlineStr">
        <is>
          <t>PHỤ_KIỆN_VAN</t>
        </is>
      </c>
      <c r="E1477" t="inlineStr">
        <is>
          <t>MAT-DAMPER-BAC-DONG-D10</t>
        </is>
      </c>
      <c r="F1477" t="inlineStr">
        <is>
          <t>Đôi</t>
        </is>
      </c>
      <c r="G1477" s="4" t="n">
        <v>2</v>
      </c>
      <c r="H1477" s="2">
        <f>XLOOKUP(B1477, '00_TONG_HOP_BAO_GIA'!B:B, '00_TONG_HOP_BAO_GIA'!G:G, 1)</f>
        <v/>
      </c>
      <c r="I1477" s="5">
        <f>G1477*H1477</f>
        <v/>
      </c>
      <c r="J1477" s="2">
        <f>XLOOKUP(E1477, '06_BANG_GIA_VAT_TU_AP_DUNG'!B:B, '06_BANG_GIA_VAT_TU_AP_DUNG'!C:C, "LỖI_MÃ_VT")</f>
        <v/>
      </c>
      <c r="K1477" s="2">
        <f>I1477*J1477</f>
        <v/>
      </c>
      <c r="L1477" t="inlineStr">
        <is>
          <t>2 đôi bạc đỡ 2 bên thân</t>
        </is>
      </c>
    </row>
    <row r="1478">
      <c r="A1478" t="inlineStr">
        <is>
          <t>SW-DAMPER-352-GEAR</t>
        </is>
      </c>
      <c r="B1478" t="inlineStr">
        <is>
          <t>SW-DAMPER-352</t>
        </is>
      </c>
      <c r="C1478" t="inlineStr">
        <is>
          <t>Bánh răng van nhôm</t>
        </is>
      </c>
      <c r="D1478" t="inlineStr">
        <is>
          <t>PHỤ_KIỆN_VAN</t>
        </is>
      </c>
      <c r="E1478" t="inlineStr">
        <is>
          <t>MAT-DAMPER-BANH-RANG-VAN-NHOM</t>
        </is>
      </c>
      <c r="F1478" t="inlineStr">
        <is>
          <t>Bộ</t>
        </is>
      </c>
      <c r="G1478" s="4" t="n">
        <v>1</v>
      </c>
      <c r="H1478" s="2">
        <f>XLOOKUP(B1478, '00_TONG_HOP_BAO_GIA'!B:B, '00_TONG_HOP_BAO_GIA'!G:G, 1)</f>
        <v/>
      </c>
      <c r="I1478" s="5">
        <f>G1478*H1478</f>
        <v/>
      </c>
      <c r="J1478" s="2">
        <f>XLOOKUP(E1478, '06_BANG_GIA_VAT_TU_AP_DUNG'!B:B, '06_BANG_GIA_VAT_TU_AP_DUNG'!C:C, "LỖI_MÃ_VT")</f>
        <v/>
      </c>
      <c r="K1478" s="2">
        <f>I1478*J1478</f>
        <v/>
      </c>
      <c r="L1478" t="inlineStr">
        <is>
          <t>Cơ cấu liên động bánh răng van</t>
        </is>
      </c>
    </row>
    <row r="1479">
      <c r="A1479" t="inlineStr">
        <is>
          <t>SW-DAMPER-352-FUSE</t>
        </is>
      </c>
      <c r="B1479" t="inlineStr">
        <is>
          <t>SW-DAMPER-352</t>
        </is>
      </c>
      <c r="C1479" t="inlineStr">
        <is>
          <t>Cầu chì nhiệt nóng chảy 70°C (Elsie/USA)</t>
        </is>
      </c>
      <c r="D1479" t="inlineStr">
        <is>
          <t>PHỤ_KIỆN_VAN</t>
        </is>
      </c>
      <c r="E1479" t="inlineStr">
        <is>
          <t>MAT-DAMPER-CAU-CHI-USA-2-400X400</t>
        </is>
      </c>
      <c r="F1479" t="inlineStr">
        <is>
          <t>Cái</t>
        </is>
      </c>
      <c r="G1479" s="4" t="n">
        <v>1</v>
      </c>
      <c r="H1479" s="2">
        <f>XLOOKUP(B1479, '00_TONG_HOP_BAO_GIA'!B:B, '00_TONG_HOP_BAO_GIA'!G:G, 1)</f>
        <v/>
      </c>
      <c r="I1479" s="5">
        <f>G1479*H1479</f>
        <v/>
      </c>
      <c r="J1479" s="2">
        <f>XLOOKUP(E1479, '06_BANG_GIA_VAT_TU_AP_DUNG'!B:B, '06_BANG_GIA_VAT_TU_AP_DUNG'!C:C, "LỖI_MÃ_VT")</f>
        <v/>
      </c>
      <c r="K1479" s="2">
        <f>I1479*J1479</f>
        <v/>
      </c>
      <c r="L1479" t="inlineStr">
        <is>
          <t>Cầu chì kiểm định PCCC</t>
        </is>
      </c>
    </row>
    <row r="1480">
      <c r="A1480" t="inlineStr">
        <is>
          <t>SW-DAMPER-353-BODY</t>
        </is>
      </c>
      <c r="B1480" t="inlineStr">
        <is>
          <t>SW-DAMPER-353</t>
        </is>
      </c>
      <c r="C1480" t="inlineStr">
        <is>
          <t>Thân vỏ van FD bích TDF (0.75mm)</t>
        </is>
      </c>
      <c r="D1480" t="inlineStr">
        <is>
          <t>TÔN_CUỘN_MẠ_KẼM</t>
        </is>
      </c>
      <c r="E1480" t="inlineStr">
        <is>
          <t>MAT-STEEL-PN-0.75</t>
        </is>
      </c>
      <c r="F1480" t="inlineStr">
        <is>
          <t>kg</t>
        </is>
      </c>
      <c r="G1480" s="4" t="n">
        <v>4.035528</v>
      </c>
      <c r="H1480" s="2">
        <f>XLOOKUP(B1480, '00_TONG_HOP_BAO_GIA'!B:B, '00_TONG_HOP_BAO_GIA'!G:G, 1)</f>
        <v/>
      </c>
      <c r="I1480" s="5">
        <f>G1480*H1480</f>
        <v/>
      </c>
      <c r="J1480" s="2">
        <f>XLOOKUP(E1480, '06_BANG_GIA_VAT_TU_AP_DUNG'!B:B, '06_BANG_GIA_VAT_TU_AP_DUNG'!C:C, "LỖI_MÃ_VT")</f>
        <v/>
      </c>
      <c r="K1480" s="2">
        <f>I1480*J1480</f>
        <v/>
      </c>
      <c r="L1480" t="inlineStr">
        <is>
          <t>Kích thước vỏ 650.0x350.0x250mm</t>
        </is>
      </c>
    </row>
    <row r="1481">
      <c r="A1481" t="inlineStr">
        <is>
          <t>SW-DAMPER-353-BLADE</t>
        </is>
      </c>
      <c r="B1481" t="inlineStr">
        <is>
          <t>SW-DAMPER-353</t>
        </is>
      </c>
      <c r="C1481" t="inlineStr">
        <is>
          <t>Lá cánh van (2 cánh overlap)</t>
        </is>
      </c>
      <c r="D1481" t="inlineStr">
        <is>
          <t>TÔN_CUỘN_MẠ_KẼM</t>
        </is>
      </c>
      <c r="E1481" t="inlineStr">
        <is>
          <t>MAT-STEEL-PN-0.75</t>
        </is>
      </c>
      <c r="F1481" t="inlineStr">
        <is>
          <t>kg</t>
        </is>
      </c>
      <c r="G1481" s="4" t="n">
        <v>1.61187975</v>
      </c>
      <c r="H1481" s="2">
        <f>XLOOKUP(B1481, '00_TONG_HOP_BAO_GIA'!B:B, '00_TONG_HOP_BAO_GIA'!G:G, 1)</f>
        <v/>
      </c>
      <c r="I1481" s="5">
        <f>G1481*H1481</f>
        <v/>
      </c>
      <c r="J1481" s="2">
        <f>XLOOKUP(E1481, '06_BANG_GIA_VAT_TU_AP_DUNG'!B:B, '06_BANG_GIA_VAT_TU_AP_DUNG'!C:C, "LỖI_MÃ_VT")</f>
        <v/>
      </c>
      <c r="K1481" s="2">
        <f>I1481*J1481</f>
        <v/>
      </c>
      <c r="L1481" t="inlineStr">
        <is>
          <t>2 cánh cao 195mm</t>
        </is>
      </c>
    </row>
    <row r="1482">
      <c r="A1482" t="inlineStr">
        <is>
          <t>SW-DAMPER-353-AXLE</t>
        </is>
      </c>
      <c r="B1482" t="inlineStr">
        <is>
          <t>SW-DAMPER-353</t>
        </is>
      </c>
      <c r="C1482" t="inlineStr">
        <is>
          <t>Trục Sus 201 D10</t>
        </is>
      </c>
      <c r="D1482" t="inlineStr">
        <is>
          <t>PHỤ_KIỆN_VAN</t>
        </is>
      </c>
      <c r="E1482" t="inlineStr">
        <is>
          <t>MAT-DAMPER-TRUC-SUS-201-D10</t>
        </is>
      </c>
      <c r="F1482" t="inlineStr">
        <is>
          <t>m</t>
        </is>
      </c>
      <c r="G1482" s="4" t="n">
        <v>1.42</v>
      </c>
      <c r="H1482" s="2">
        <f>XLOOKUP(B1482, '00_TONG_HOP_BAO_GIA'!B:B, '00_TONG_HOP_BAO_GIA'!G:G, 1)</f>
        <v/>
      </c>
      <c r="I1482" s="5">
        <f>G1482*H1482</f>
        <v/>
      </c>
      <c r="J1482" s="2">
        <f>XLOOKUP(E1482, '06_BANG_GIA_VAT_TU_AP_DUNG'!B:B, '06_BANG_GIA_VAT_TU_AP_DUNG'!C:C, "LỖI_MÃ_VT")</f>
        <v/>
      </c>
      <c r="K1482" s="2">
        <f>I1482*J1482</f>
        <v/>
      </c>
      <c r="L1482" t="inlineStr">
        <is>
          <t>2 trục dài 710mm</t>
        </is>
      </c>
    </row>
    <row r="1483">
      <c r="A1483" t="inlineStr">
        <is>
          <t>SW-DAMPER-353-BEARING</t>
        </is>
      </c>
      <c r="B1483" t="inlineStr">
        <is>
          <t>SW-DAMPER-353</t>
        </is>
      </c>
      <c r="C1483" t="inlineStr">
        <is>
          <t>Bạc đồng D10</t>
        </is>
      </c>
      <c r="D1483" t="inlineStr">
        <is>
          <t>PHỤ_KIỆN_VAN</t>
        </is>
      </c>
      <c r="E1483" t="inlineStr">
        <is>
          <t>MAT-DAMPER-BAC-DONG-D10</t>
        </is>
      </c>
      <c r="F1483" t="inlineStr">
        <is>
          <t>Đôi</t>
        </is>
      </c>
      <c r="G1483" s="4" t="n">
        <v>2</v>
      </c>
      <c r="H1483" s="2">
        <f>XLOOKUP(B1483, '00_TONG_HOP_BAO_GIA'!B:B, '00_TONG_HOP_BAO_GIA'!G:G, 1)</f>
        <v/>
      </c>
      <c r="I1483" s="5">
        <f>G1483*H1483</f>
        <v/>
      </c>
      <c r="J1483" s="2">
        <f>XLOOKUP(E1483, '06_BANG_GIA_VAT_TU_AP_DUNG'!B:B, '06_BANG_GIA_VAT_TU_AP_DUNG'!C:C, "LỖI_MÃ_VT")</f>
        <v/>
      </c>
      <c r="K1483" s="2">
        <f>I1483*J1483</f>
        <v/>
      </c>
      <c r="L1483" t="inlineStr">
        <is>
          <t>2 đôi bạc đỡ 2 bên thân</t>
        </is>
      </c>
    </row>
    <row r="1484">
      <c r="A1484" t="inlineStr">
        <is>
          <t>SW-DAMPER-353-GEAR</t>
        </is>
      </c>
      <c r="B1484" t="inlineStr">
        <is>
          <t>SW-DAMPER-353</t>
        </is>
      </c>
      <c r="C1484" t="inlineStr">
        <is>
          <t>Bánh răng van nhôm</t>
        </is>
      </c>
      <c r="D1484" t="inlineStr">
        <is>
          <t>PHỤ_KIỆN_VAN</t>
        </is>
      </c>
      <c r="E1484" t="inlineStr">
        <is>
          <t>MAT-DAMPER-BANH-RANG-VAN-NHOM</t>
        </is>
      </c>
      <c r="F1484" t="inlineStr">
        <is>
          <t>Bộ</t>
        </is>
      </c>
      <c r="G1484" s="4" t="n">
        <v>1</v>
      </c>
      <c r="H1484" s="2">
        <f>XLOOKUP(B1484, '00_TONG_HOP_BAO_GIA'!B:B, '00_TONG_HOP_BAO_GIA'!G:G, 1)</f>
        <v/>
      </c>
      <c r="I1484" s="5">
        <f>G1484*H1484</f>
        <v/>
      </c>
      <c r="J1484" s="2">
        <f>XLOOKUP(E1484, '06_BANG_GIA_VAT_TU_AP_DUNG'!B:B, '06_BANG_GIA_VAT_TU_AP_DUNG'!C:C, "LỖI_MÃ_VT")</f>
        <v/>
      </c>
      <c r="K1484" s="2">
        <f>I1484*J1484</f>
        <v/>
      </c>
      <c r="L1484" t="inlineStr">
        <is>
          <t>Cơ cấu liên động bánh răng van</t>
        </is>
      </c>
    </row>
    <row r="1485">
      <c r="A1485" t="inlineStr">
        <is>
          <t>SW-DAMPER-353-FUSE</t>
        </is>
      </c>
      <c r="B1485" t="inlineStr">
        <is>
          <t>SW-DAMPER-353</t>
        </is>
      </c>
      <c r="C1485" t="inlineStr">
        <is>
          <t>Cầu chì nhiệt nóng chảy 70°C (Elsie/USA)</t>
        </is>
      </c>
      <c r="D1485" t="inlineStr">
        <is>
          <t>PHỤ_KIỆN_VAN</t>
        </is>
      </c>
      <c r="E1485" t="inlineStr">
        <is>
          <t>MAT-DAMPER-CAU-CHI-USA-2-400X400</t>
        </is>
      </c>
      <c r="F1485" t="inlineStr">
        <is>
          <t>Cái</t>
        </is>
      </c>
      <c r="G1485" s="4" t="n">
        <v>1</v>
      </c>
      <c r="H1485" s="2">
        <f>XLOOKUP(B1485, '00_TONG_HOP_BAO_GIA'!B:B, '00_TONG_HOP_BAO_GIA'!G:G, 1)</f>
        <v/>
      </c>
      <c r="I1485" s="5">
        <f>G1485*H1485</f>
        <v/>
      </c>
      <c r="J1485" s="2">
        <f>XLOOKUP(E1485, '06_BANG_GIA_VAT_TU_AP_DUNG'!B:B, '06_BANG_GIA_VAT_TU_AP_DUNG'!C:C, "LỖI_MÃ_VT")</f>
        <v/>
      </c>
      <c r="K1485" s="2">
        <f>I1485*J1485</f>
        <v/>
      </c>
      <c r="L1485" t="inlineStr">
        <is>
          <t>Cầu chì kiểm định PCCC</t>
        </is>
      </c>
    </row>
    <row r="1486">
      <c r="A1486" t="inlineStr">
        <is>
          <t>SW-DAMPER-354-BODY</t>
        </is>
      </c>
      <c r="B1486" t="inlineStr">
        <is>
          <t>SW-DAMPER-354</t>
        </is>
      </c>
      <c r="C1486" t="inlineStr">
        <is>
          <t>Thân vỏ van FD bích TDF (0.75mm)</t>
        </is>
      </c>
      <c r="D1486" t="inlineStr">
        <is>
          <t>TÔN_CUỘN_MẠ_KẼM</t>
        </is>
      </c>
      <c r="E1486" t="inlineStr">
        <is>
          <t>MAT-STEEL-PN-0.75</t>
        </is>
      </c>
      <c r="F1486" t="inlineStr">
        <is>
          <t>kg</t>
        </is>
      </c>
      <c r="G1486" s="4" t="n">
        <v>4.233348</v>
      </c>
      <c r="H1486" s="2">
        <f>XLOOKUP(B1486, '00_TONG_HOP_BAO_GIA'!B:B, '00_TONG_HOP_BAO_GIA'!G:G, 1)</f>
        <v/>
      </c>
      <c r="I1486" s="5">
        <f>G1486*H1486</f>
        <v/>
      </c>
      <c r="J1486" s="2">
        <f>XLOOKUP(E1486, '06_BANG_GIA_VAT_TU_AP_DUNG'!B:B, '06_BANG_GIA_VAT_TU_AP_DUNG'!C:C, "LỖI_MÃ_VT")</f>
        <v/>
      </c>
      <c r="K1486" s="2">
        <f>I1486*J1486</f>
        <v/>
      </c>
      <c r="L1486" t="inlineStr">
        <is>
          <t>Kích thước vỏ 650.0x400.0x250mm</t>
        </is>
      </c>
    </row>
    <row r="1487">
      <c r="A1487" t="inlineStr">
        <is>
          <t>SW-DAMPER-354-BLADE</t>
        </is>
      </c>
      <c r="B1487" t="inlineStr">
        <is>
          <t>SW-DAMPER-354</t>
        </is>
      </c>
      <c r="C1487" t="inlineStr">
        <is>
          <t>Lá cánh van (3 cánh overlap)</t>
        </is>
      </c>
      <c r="D1487" t="inlineStr">
        <is>
          <t>TÔN_CUỘN_MẠ_KẼM</t>
        </is>
      </c>
      <c r="E1487" t="inlineStr">
        <is>
          <t>MAT-STEEL-PN-0.75</t>
        </is>
      </c>
      <c r="F1487" t="inlineStr">
        <is>
          <t>kg</t>
        </is>
      </c>
      <c r="G1487" s="4" t="n">
        <v>1.9011915</v>
      </c>
      <c r="H1487" s="2">
        <f>XLOOKUP(B1487, '00_TONG_HOP_BAO_GIA'!B:B, '00_TONG_HOP_BAO_GIA'!G:G, 1)</f>
        <v/>
      </c>
      <c r="I1487" s="5">
        <f>G1487*H1487</f>
        <v/>
      </c>
      <c r="J1487" s="2">
        <f>XLOOKUP(E1487, '06_BANG_GIA_VAT_TU_AP_DUNG'!B:B, '06_BANG_GIA_VAT_TU_AP_DUNG'!C:C, "LỖI_MÃ_VT")</f>
        <v/>
      </c>
      <c r="K1487" s="2">
        <f>I1487*J1487</f>
        <v/>
      </c>
      <c r="L1487" t="inlineStr">
        <is>
          <t>3 cánh cao 153mm</t>
        </is>
      </c>
    </row>
    <row r="1488">
      <c r="A1488" t="inlineStr">
        <is>
          <t>SW-DAMPER-354-AXLE</t>
        </is>
      </c>
      <c r="B1488" t="inlineStr">
        <is>
          <t>SW-DAMPER-354</t>
        </is>
      </c>
      <c r="C1488" t="inlineStr">
        <is>
          <t>Trục Sus 201 D10</t>
        </is>
      </c>
      <c r="D1488" t="inlineStr">
        <is>
          <t>PHỤ_KIỆN_VAN</t>
        </is>
      </c>
      <c r="E1488" t="inlineStr">
        <is>
          <t>MAT-DAMPER-TRUC-SUS-201-D10</t>
        </is>
      </c>
      <c r="F1488" t="inlineStr">
        <is>
          <t>m</t>
        </is>
      </c>
      <c r="G1488" s="4" t="n">
        <v>2.13</v>
      </c>
      <c r="H1488" s="2">
        <f>XLOOKUP(B1488, '00_TONG_HOP_BAO_GIA'!B:B, '00_TONG_HOP_BAO_GIA'!G:G, 1)</f>
        <v/>
      </c>
      <c r="I1488" s="5">
        <f>G1488*H1488</f>
        <v/>
      </c>
      <c r="J1488" s="2">
        <f>XLOOKUP(E1488, '06_BANG_GIA_VAT_TU_AP_DUNG'!B:B, '06_BANG_GIA_VAT_TU_AP_DUNG'!C:C, "LỖI_MÃ_VT")</f>
        <v/>
      </c>
      <c r="K1488" s="2">
        <f>I1488*J1488</f>
        <v/>
      </c>
      <c r="L1488" t="inlineStr">
        <is>
          <t>3 trục dài 710mm</t>
        </is>
      </c>
    </row>
    <row r="1489">
      <c r="A1489" t="inlineStr">
        <is>
          <t>SW-DAMPER-354-BEARING</t>
        </is>
      </c>
      <c r="B1489" t="inlineStr">
        <is>
          <t>SW-DAMPER-354</t>
        </is>
      </c>
      <c r="C1489" t="inlineStr">
        <is>
          <t>Bạc đồng D10</t>
        </is>
      </c>
      <c r="D1489" t="inlineStr">
        <is>
          <t>PHỤ_KIỆN_VAN</t>
        </is>
      </c>
      <c r="E1489" t="inlineStr">
        <is>
          <t>MAT-DAMPER-BAC-DONG-D10</t>
        </is>
      </c>
      <c r="F1489" t="inlineStr">
        <is>
          <t>Đôi</t>
        </is>
      </c>
      <c r="G1489" s="4" t="n">
        <v>3</v>
      </c>
      <c r="H1489" s="2">
        <f>XLOOKUP(B1489, '00_TONG_HOP_BAO_GIA'!B:B, '00_TONG_HOP_BAO_GIA'!G:G, 1)</f>
        <v/>
      </c>
      <c r="I1489" s="5">
        <f>G1489*H1489</f>
        <v/>
      </c>
      <c r="J1489" s="2">
        <f>XLOOKUP(E1489, '06_BANG_GIA_VAT_TU_AP_DUNG'!B:B, '06_BANG_GIA_VAT_TU_AP_DUNG'!C:C, "LỖI_MÃ_VT")</f>
        <v/>
      </c>
      <c r="K1489" s="2">
        <f>I1489*J1489</f>
        <v/>
      </c>
      <c r="L1489" t="inlineStr">
        <is>
          <t>3 đôi bạc đỡ 2 bên thân</t>
        </is>
      </c>
    </row>
    <row r="1490">
      <c r="A1490" t="inlineStr">
        <is>
          <t>SW-DAMPER-354-GEAR</t>
        </is>
      </c>
      <c r="B1490" t="inlineStr">
        <is>
          <t>SW-DAMPER-354</t>
        </is>
      </c>
      <c r="C1490" t="inlineStr">
        <is>
          <t>Bánh răng van nhôm</t>
        </is>
      </c>
      <c r="D1490" t="inlineStr">
        <is>
          <t>PHỤ_KIỆN_VAN</t>
        </is>
      </c>
      <c r="E1490" t="inlineStr">
        <is>
          <t>MAT-DAMPER-BANH-RANG-VAN-NHOM</t>
        </is>
      </c>
      <c r="F1490" t="inlineStr">
        <is>
          <t>Bộ</t>
        </is>
      </c>
      <c r="G1490" s="4" t="n">
        <v>1</v>
      </c>
      <c r="H1490" s="2">
        <f>XLOOKUP(B1490, '00_TONG_HOP_BAO_GIA'!B:B, '00_TONG_HOP_BAO_GIA'!G:G, 1)</f>
        <v/>
      </c>
      <c r="I1490" s="5">
        <f>G1490*H1490</f>
        <v/>
      </c>
      <c r="J1490" s="2">
        <f>XLOOKUP(E1490, '06_BANG_GIA_VAT_TU_AP_DUNG'!B:B, '06_BANG_GIA_VAT_TU_AP_DUNG'!C:C, "LỖI_MÃ_VT")</f>
        <v/>
      </c>
      <c r="K1490" s="2">
        <f>I1490*J1490</f>
        <v/>
      </c>
      <c r="L1490" t="inlineStr">
        <is>
          <t>Cơ cấu liên động bánh răng van</t>
        </is>
      </c>
    </row>
    <row r="1491">
      <c r="A1491" t="inlineStr">
        <is>
          <t>SW-DAMPER-354-FUSE</t>
        </is>
      </c>
      <c r="B1491" t="inlineStr">
        <is>
          <t>SW-DAMPER-354</t>
        </is>
      </c>
      <c r="C1491" t="inlineStr">
        <is>
          <t>Cầu chì nhiệt nóng chảy 70°C (Elsie/USA)</t>
        </is>
      </c>
      <c r="D1491" t="inlineStr">
        <is>
          <t>PHỤ_KIỆN_VAN</t>
        </is>
      </c>
      <c r="E1491" t="inlineStr">
        <is>
          <t>MAT-DAMPER-CAU-CHI-USA-2-400X400</t>
        </is>
      </c>
      <c r="F1491" t="inlineStr">
        <is>
          <t>Cái</t>
        </is>
      </c>
      <c r="G1491" s="4" t="n">
        <v>1</v>
      </c>
      <c r="H1491" s="2">
        <f>XLOOKUP(B1491, '00_TONG_HOP_BAO_GIA'!B:B, '00_TONG_HOP_BAO_GIA'!G:G, 1)</f>
        <v/>
      </c>
      <c r="I1491" s="5">
        <f>G1491*H1491</f>
        <v/>
      </c>
      <c r="J1491" s="2">
        <f>XLOOKUP(E1491, '06_BANG_GIA_VAT_TU_AP_DUNG'!B:B, '06_BANG_GIA_VAT_TU_AP_DUNG'!C:C, "LỖI_MÃ_VT")</f>
        <v/>
      </c>
      <c r="K1491" s="2">
        <f>I1491*J1491</f>
        <v/>
      </c>
      <c r="L1491" t="inlineStr">
        <is>
          <t>Cầu chì kiểm định PCCC</t>
        </is>
      </c>
    </row>
    <row r="1492">
      <c r="A1492" t="inlineStr">
        <is>
          <t>SW-DAMPER-355-BODY</t>
        </is>
      </c>
      <c r="B1492" t="inlineStr">
        <is>
          <t>SW-DAMPER-355</t>
        </is>
      </c>
      <c r="C1492" t="inlineStr">
        <is>
          <t>Thân vỏ van FD bích TDF (0.75mm)</t>
        </is>
      </c>
      <c r="D1492" t="inlineStr">
        <is>
          <t>TÔN_CUỘN_MẠ_KẼM</t>
        </is>
      </c>
      <c r="E1492" t="inlineStr">
        <is>
          <t>MAT-STEEL-PN-0.75</t>
        </is>
      </c>
      <c r="F1492" t="inlineStr">
        <is>
          <t>kg</t>
        </is>
      </c>
      <c r="G1492" s="4" t="n">
        <v>4.233348</v>
      </c>
      <c r="H1492" s="2">
        <f>XLOOKUP(B1492, '00_TONG_HOP_BAO_GIA'!B:B, '00_TONG_HOP_BAO_GIA'!G:G, 1)</f>
        <v/>
      </c>
      <c r="I1492" s="5">
        <f>G1492*H1492</f>
        <v/>
      </c>
      <c r="J1492" s="2">
        <f>XLOOKUP(E1492, '06_BANG_GIA_VAT_TU_AP_DUNG'!B:B, '06_BANG_GIA_VAT_TU_AP_DUNG'!C:C, "LỖI_MÃ_VT")</f>
        <v/>
      </c>
      <c r="K1492" s="2">
        <f>I1492*J1492</f>
        <v/>
      </c>
      <c r="L1492" t="inlineStr">
        <is>
          <t>Kích thước vỏ 700.0x350.0x250mm</t>
        </is>
      </c>
    </row>
    <row r="1493">
      <c r="A1493" t="inlineStr">
        <is>
          <t>SW-DAMPER-355-BLADE</t>
        </is>
      </c>
      <c r="B1493" t="inlineStr">
        <is>
          <t>SW-DAMPER-355</t>
        </is>
      </c>
      <c r="C1493" t="inlineStr">
        <is>
          <t>Lá cánh van (2 cánh overlap)</t>
        </is>
      </c>
      <c r="D1493" t="inlineStr">
        <is>
          <t>TÔN_CUỘN_MẠ_KẼM</t>
        </is>
      </c>
      <c r="E1493" t="inlineStr">
        <is>
          <t>MAT-STEEL-PN-0.75</t>
        </is>
      </c>
      <c r="F1493" t="inlineStr">
        <is>
          <t>kg</t>
        </is>
      </c>
      <c r="G1493" s="4" t="n">
        <v>1.7358705</v>
      </c>
      <c r="H1493" s="2">
        <f>XLOOKUP(B1493, '00_TONG_HOP_BAO_GIA'!B:B, '00_TONG_HOP_BAO_GIA'!G:G, 1)</f>
        <v/>
      </c>
      <c r="I1493" s="5">
        <f>G1493*H1493</f>
        <v/>
      </c>
      <c r="J1493" s="2">
        <f>XLOOKUP(E1493, '06_BANG_GIA_VAT_TU_AP_DUNG'!B:B, '06_BANG_GIA_VAT_TU_AP_DUNG'!C:C, "LỖI_MÃ_VT")</f>
        <v/>
      </c>
      <c r="K1493" s="2">
        <f>I1493*J1493</f>
        <v/>
      </c>
      <c r="L1493" t="inlineStr">
        <is>
          <t>2 cánh cao 195mm</t>
        </is>
      </c>
    </row>
    <row r="1494">
      <c r="A1494" t="inlineStr">
        <is>
          <t>SW-DAMPER-355-AXLE</t>
        </is>
      </c>
      <c r="B1494" t="inlineStr">
        <is>
          <t>SW-DAMPER-355</t>
        </is>
      </c>
      <c r="C1494" t="inlineStr">
        <is>
          <t>Trục Sus 201 D10</t>
        </is>
      </c>
      <c r="D1494" t="inlineStr">
        <is>
          <t>PHỤ_KIỆN_VAN</t>
        </is>
      </c>
      <c r="E1494" t="inlineStr">
        <is>
          <t>MAT-DAMPER-TRUC-SUS-201-D10</t>
        </is>
      </c>
      <c r="F1494" t="inlineStr">
        <is>
          <t>m</t>
        </is>
      </c>
      <c r="G1494" s="4" t="n">
        <v>1.52</v>
      </c>
      <c r="H1494" s="2">
        <f>XLOOKUP(B1494, '00_TONG_HOP_BAO_GIA'!B:B, '00_TONG_HOP_BAO_GIA'!G:G, 1)</f>
        <v/>
      </c>
      <c r="I1494" s="5">
        <f>G1494*H1494</f>
        <v/>
      </c>
      <c r="J1494" s="2">
        <f>XLOOKUP(E1494, '06_BANG_GIA_VAT_TU_AP_DUNG'!B:B, '06_BANG_GIA_VAT_TU_AP_DUNG'!C:C, "LỖI_MÃ_VT")</f>
        <v/>
      </c>
      <c r="K1494" s="2">
        <f>I1494*J1494</f>
        <v/>
      </c>
      <c r="L1494" t="inlineStr">
        <is>
          <t>2 trục dài 760mm</t>
        </is>
      </c>
    </row>
    <row r="1495">
      <c r="A1495" t="inlineStr">
        <is>
          <t>SW-DAMPER-355-BEARING</t>
        </is>
      </c>
      <c r="B1495" t="inlineStr">
        <is>
          <t>SW-DAMPER-355</t>
        </is>
      </c>
      <c r="C1495" t="inlineStr">
        <is>
          <t>Bạc đồng D10</t>
        </is>
      </c>
      <c r="D1495" t="inlineStr">
        <is>
          <t>PHỤ_KIỆN_VAN</t>
        </is>
      </c>
      <c r="E1495" t="inlineStr">
        <is>
          <t>MAT-DAMPER-BAC-DONG-D10</t>
        </is>
      </c>
      <c r="F1495" t="inlineStr">
        <is>
          <t>Đôi</t>
        </is>
      </c>
      <c r="G1495" s="4" t="n">
        <v>2</v>
      </c>
      <c r="H1495" s="2">
        <f>XLOOKUP(B1495, '00_TONG_HOP_BAO_GIA'!B:B, '00_TONG_HOP_BAO_GIA'!G:G, 1)</f>
        <v/>
      </c>
      <c r="I1495" s="5">
        <f>G1495*H1495</f>
        <v/>
      </c>
      <c r="J1495" s="2">
        <f>XLOOKUP(E1495, '06_BANG_GIA_VAT_TU_AP_DUNG'!B:B, '06_BANG_GIA_VAT_TU_AP_DUNG'!C:C, "LỖI_MÃ_VT")</f>
        <v/>
      </c>
      <c r="K1495" s="2">
        <f>I1495*J1495</f>
        <v/>
      </c>
      <c r="L1495" t="inlineStr">
        <is>
          <t>2 đôi bạc đỡ 2 bên thân</t>
        </is>
      </c>
    </row>
    <row r="1496">
      <c r="A1496" t="inlineStr">
        <is>
          <t>SW-DAMPER-355-GEAR</t>
        </is>
      </c>
      <c r="B1496" t="inlineStr">
        <is>
          <t>SW-DAMPER-355</t>
        </is>
      </c>
      <c r="C1496" t="inlineStr">
        <is>
          <t>Bánh răng van nhôm</t>
        </is>
      </c>
      <c r="D1496" t="inlineStr">
        <is>
          <t>PHỤ_KIỆN_VAN</t>
        </is>
      </c>
      <c r="E1496" t="inlineStr">
        <is>
          <t>MAT-DAMPER-BANH-RANG-VAN-NHOM</t>
        </is>
      </c>
      <c r="F1496" t="inlineStr">
        <is>
          <t>Bộ</t>
        </is>
      </c>
      <c r="G1496" s="4" t="n">
        <v>1</v>
      </c>
      <c r="H1496" s="2">
        <f>XLOOKUP(B1496, '00_TONG_HOP_BAO_GIA'!B:B, '00_TONG_HOP_BAO_GIA'!G:G, 1)</f>
        <v/>
      </c>
      <c r="I1496" s="5">
        <f>G1496*H1496</f>
        <v/>
      </c>
      <c r="J1496" s="2">
        <f>XLOOKUP(E1496, '06_BANG_GIA_VAT_TU_AP_DUNG'!B:B, '06_BANG_GIA_VAT_TU_AP_DUNG'!C:C, "LỖI_MÃ_VT")</f>
        <v/>
      </c>
      <c r="K1496" s="2">
        <f>I1496*J1496</f>
        <v/>
      </c>
      <c r="L1496" t="inlineStr">
        <is>
          <t>Cơ cấu liên động bánh răng van</t>
        </is>
      </c>
    </row>
    <row r="1497">
      <c r="A1497" t="inlineStr">
        <is>
          <t>SW-DAMPER-355-FUSE</t>
        </is>
      </c>
      <c r="B1497" t="inlineStr">
        <is>
          <t>SW-DAMPER-355</t>
        </is>
      </c>
      <c r="C1497" t="inlineStr">
        <is>
          <t>Cầu chì nhiệt nóng chảy 70°C (Elsie/USA)</t>
        </is>
      </c>
      <c r="D1497" t="inlineStr">
        <is>
          <t>PHỤ_KIỆN_VAN</t>
        </is>
      </c>
      <c r="E1497" t="inlineStr">
        <is>
          <t>MAT-DAMPER-CAU-CHI-USA-2-400X400</t>
        </is>
      </c>
      <c r="F1497" t="inlineStr">
        <is>
          <t>Cái</t>
        </is>
      </c>
      <c r="G1497" s="4" t="n">
        <v>1</v>
      </c>
      <c r="H1497" s="2">
        <f>XLOOKUP(B1497, '00_TONG_HOP_BAO_GIA'!B:B, '00_TONG_HOP_BAO_GIA'!G:G, 1)</f>
        <v/>
      </c>
      <c r="I1497" s="5">
        <f>G1497*H1497</f>
        <v/>
      </c>
      <c r="J1497" s="2">
        <f>XLOOKUP(E1497, '06_BANG_GIA_VAT_TU_AP_DUNG'!B:B, '06_BANG_GIA_VAT_TU_AP_DUNG'!C:C, "LỖI_MÃ_VT")</f>
        <v/>
      </c>
      <c r="K1497" s="2">
        <f>I1497*J1497</f>
        <v/>
      </c>
      <c r="L1497" t="inlineStr">
        <is>
          <t>Cầu chì kiểm định PCCC</t>
        </is>
      </c>
    </row>
    <row r="1498">
      <c r="A1498" t="inlineStr">
        <is>
          <t>SW-DAMPER-356-BODY</t>
        </is>
      </c>
      <c r="B1498" t="inlineStr">
        <is>
          <t>SW-DAMPER-356</t>
        </is>
      </c>
      <c r="C1498" t="inlineStr">
        <is>
          <t>Thân vỏ van FD bích TDF (0.75mm)</t>
        </is>
      </c>
      <c r="D1498" t="inlineStr">
        <is>
          <t>TÔN_CUỘN_MẠ_KẼM</t>
        </is>
      </c>
      <c r="E1498" t="inlineStr">
        <is>
          <t>MAT-STEEL-PN-0.75</t>
        </is>
      </c>
      <c r="F1498" t="inlineStr">
        <is>
          <t>kg</t>
        </is>
      </c>
      <c r="G1498" s="4" t="n">
        <v>5.618087999999999</v>
      </c>
      <c r="H1498" s="2">
        <f>XLOOKUP(B1498, '00_TONG_HOP_BAO_GIA'!B:B, '00_TONG_HOP_BAO_GIA'!G:G, 1)</f>
        <v/>
      </c>
      <c r="I1498" s="5">
        <f>G1498*H1498</f>
        <v/>
      </c>
      <c r="J1498" s="2">
        <f>XLOOKUP(E1498, '06_BANG_GIA_VAT_TU_AP_DUNG'!B:B, '06_BANG_GIA_VAT_TU_AP_DUNG'!C:C, "LỖI_MÃ_VT")</f>
        <v/>
      </c>
      <c r="K1498" s="2">
        <f>I1498*J1498</f>
        <v/>
      </c>
      <c r="L1498" t="inlineStr">
        <is>
          <t>Kích thước vỏ 800.0x600.0x250mm</t>
        </is>
      </c>
    </row>
    <row r="1499">
      <c r="A1499" t="inlineStr">
        <is>
          <t>SW-DAMPER-356-BLADE</t>
        </is>
      </c>
      <c r="B1499" t="inlineStr">
        <is>
          <t>SW-DAMPER-356</t>
        </is>
      </c>
      <c r="C1499" t="inlineStr">
        <is>
          <t>Lá cánh van (4 cánh overlap)</t>
        </is>
      </c>
      <c r="D1499" t="inlineStr">
        <is>
          <t>TÔN_CUỘN_MẠ_KẼM</t>
        </is>
      </c>
      <c r="E1499" t="inlineStr">
        <is>
          <t>MAT-STEEL-PN-0.75</t>
        </is>
      </c>
      <c r="F1499" t="inlineStr">
        <is>
          <t>kg</t>
        </is>
      </c>
      <c r="G1499" s="4" t="n">
        <v>3.459024</v>
      </c>
      <c r="H1499" s="2">
        <f>XLOOKUP(B1499, '00_TONG_HOP_BAO_GIA'!B:B, '00_TONG_HOP_BAO_GIA'!G:G, 1)</f>
        <v/>
      </c>
      <c r="I1499" s="5">
        <f>G1499*H1499</f>
        <v/>
      </c>
      <c r="J1499" s="2">
        <f>XLOOKUP(E1499, '06_BANG_GIA_VAT_TU_AP_DUNG'!B:B, '06_BANG_GIA_VAT_TU_AP_DUNG'!C:C, "LỖI_MÃ_VT")</f>
        <v/>
      </c>
      <c r="K1499" s="2">
        <f>I1499*J1499</f>
        <v/>
      </c>
      <c r="L1499" t="inlineStr">
        <is>
          <t>4 cánh cao 170mm</t>
        </is>
      </c>
    </row>
    <row r="1500">
      <c r="A1500" t="inlineStr">
        <is>
          <t>SW-DAMPER-356-AXLE</t>
        </is>
      </c>
      <c r="B1500" t="inlineStr">
        <is>
          <t>SW-DAMPER-356</t>
        </is>
      </c>
      <c r="C1500" t="inlineStr">
        <is>
          <t>Trục Sus 201 D10</t>
        </is>
      </c>
      <c r="D1500" t="inlineStr">
        <is>
          <t>PHỤ_KIỆN_VAN</t>
        </is>
      </c>
      <c r="E1500" t="inlineStr">
        <is>
          <t>MAT-DAMPER-TRUC-SUS-201-D10</t>
        </is>
      </c>
      <c r="F1500" t="inlineStr">
        <is>
          <t>m</t>
        </is>
      </c>
      <c r="G1500" s="4" t="n">
        <v>3.44</v>
      </c>
      <c r="H1500" s="2">
        <f>XLOOKUP(B1500, '00_TONG_HOP_BAO_GIA'!B:B, '00_TONG_HOP_BAO_GIA'!G:G, 1)</f>
        <v/>
      </c>
      <c r="I1500" s="5">
        <f>G1500*H1500</f>
        <v/>
      </c>
      <c r="J1500" s="2">
        <f>XLOOKUP(E1500, '06_BANG_GIA_VAT_TU_AP_DUNG'!B:B, '06_BANG_GIA_VAT_TU_AP_DUNG'!C:C, "LỖI_MÃ_VT")</f>
        <v/>
      </c>
      <c r="K1500" s="2">
        <f>I1500*J1500</f>
        <v/>
      </c>
      <c r="L1500" t="inlineStr">
        <is>
          <t>4 trục dài 860mm</t>
        </is>
      </c>
    </row>
    <row r="1501">
      <c r="A1501" t="inlineStr">
        <is>
          <t>SW-DAMPER-356-BEARING</t>
        </is>
      </c>
      <c r="B1501" t="inlineStr">
        <is>
          <t>SW-DAMPER-356</t>
        </is>
      </c>
      <c r="C1501" t="inlineStr">
        <is>
          <t>Bạc đồng D10</t>
        </is>
      </c>
      <c r="D1501" t="inlineStr">
        <is>
          <t>PHỤ_KIỆN_VAN</t>
        </is>
      </c>
      <c r="E1501" t="inlineStr">
        <is>
          <t>MAT-DAMPER-BAC-DONG-D10</t>
        </is>
      </c>
      <c r="F1501" t="inlineStr">
        <is>
          <t>Đôi</t>
        </is>
      </c>
      <c r="G1501" s="4" t="n">
        <v>4</v>
      </c>
      <c r="H1501" s="2">
        <f>XLOOKUP(B1501, '00_TONG_HOP_BAO_GIA'!B:B, '00_TONG_HOP_BAO_GIA'!G:G, 1)</f>
        <v/>
      </c>
      <c r="I1501" s="5">
        <f>G1501*H1501</f>
        <v/>
      </c>
      <c r="J1501" s="2">
        <f>XLOOKUP(E1501, '06_BANG_GIA_VAT_TU_AP_DUNG'!B:B, '06_BANG_GIA_VAT_TU_AP_DUNG'!C:C, "LỖI_MÃ_VT")</f>
        <v/>
      </c>
      <c r="K1501" s="2">
        <f>I1501*J1501</f>
        <v/>
      </c>
      <c r="L1501" t="inlineStr">
        <is>
          <t>4 đôi bạc đỡ 2 bên thân</t>
        </is>
      </c>
    </row>
    <row r="1502">
      <c r="A1502" t="inlineStr">
        <is>
          <t>SW-DAMPER-356-GEAR</t>
        </is>
      </c>
      <c r="B1502" t="inlineStr">
        <is>
          <t>SW-DAMPER-356</t>
        </is>
      </c>
      <c r="C1502" t="inlineStr">
        <is>
          <t>Bánh răng van nhôm</t>
        </is>
      </c>
      <c r="D1502" t="inlineStr">
        <is>
          <t>PHỤ_KIỆN_VAN</t>
        </is>
      </c>
      <c r="E1502" t="inlineStr">
        <is>
          <t>MAT-DAMPER-BANH-RANG-VAN-NHOM</t>
        </is>
      </c>
      <c r="F1502" t="inlineStr">
        <is>
          <t>Bộ</t>
        </is>
      </c>
      <c r="G1502" s="4" t="n">
        <v>1</v>
      </c>
      <c r="H1502" s="2">
        <f>XLOOKUP(B1502, '00_TONG_HOP_BAO_GIA'!B:B, '00_TONG_HOP_BAO_GIA'!G:G, 1)</f>
        <v/>
      </c>
      <c r="I1502" s="5">
        <f>G1502*H1502</f>
        <v/>
      </c>
      <c r="J1502" s="2">
        <f>XLOOKUP(E1502, '06_BANG_GIA_VAT_TU_AP_DUNG'!B:B, '06_BANG_GIA_VAT_TU_AP_DUNG'!C:C, "LỖI_MÃ_VT")</f>
        <v/>
      </c>
      <c r="K1502" s="2">
        <f>I1502*J1502</f>
        <v/>
      </c>
      <c r="L1502" t="inlineStr">
        <is>
          <t>Cơ cấu liên động bánh răng van</t>
        </is>
      </c>
    </row>
    <row r="1503">
      <c r="A1503" t="inlineStr">
        <is>
          <t>SW-DAMPER-356-FUSE</t>
        </is>
      </c>
      <c r="B1503" t="inlineStr">
        <is>
          <t>SW-DAMPER-356</t>
        </is>
      </c>
      <c r="C1503" t="inlineStr">
        <is>
          <t>Cầu chì nhiệt nóng chảy 70°C (Elsie/USA)</t>
        </is>
      </c>
      <c r="D1503" t="inlineStr">
        <is>
          <t>PHỤ_KIỆN_VAN</t>
        </is>
      </c>
      <c r="E1503" t="inlineStr">
        <is>
          <t>MAT-DAMPER-CAU-CHI-USA-2-400X400</t>
        </is>
      </c>
      <c r="F1503" t="inlineStr">
        <is>
          <t>Cái</t>
        </is>
      </c>
      <c r="G1503" s="4" t="n">
        <v>1</v>
      </c>
      <c r="H1503" s="2">
        <f>XLOOKUP(B1503, '00_TONG_HOP_BAO_GIA'!B:B, '00_TONG_HOP_BAO_GIA'!G:G, 1)</f>
        <v/>
      </c>
      <c r="I1503" s="5">
        <f>G1503*H1503</f>
        <v/>
      </c>
      <c r="J1503" s="2">
        <f>XLOOKUP(E1503, '06_BANG_GIA_VAT_TU_AP_DUNG'!B:B, '06_BANG_GIA_VAT_TU_AP_DUNG'!C:C, "LỖI_MÃ_VT")</f>
        <v/>
      </c>
      <c r="K1503" s="2">
        <f>I1503*J1503</f>
        <v/>
      </c>
      <c r="L1503" t="inlineStr">
        <is>
          <t>Cầu chì kiểm định PCCC</t>
        </is>
      </c>
    </row>
    <row r="1504">
      <c r="A1504" t="inlineStr">
        <is>
          <t>SW-DAMPER-357-BODY</t>
        </is>
      </c>
      <c r="B1504" t="inlineStr">
        <is>
          <t>SW-DAMPER-357</t>
        </is>
      </c>
      <c r="C1504" t="inlineStr">
        <is>
          <t>Thân vỏ van FD bích TDF (0.75mm)</t>
        </is>
      </c>
      <c r="D1504" t="inlineStr">
        <is>
          <t>TÔN_CUỘN_MẠ_KẼM</t>
        </is>
      </c>
      <c r="E1504" t="inlineStr">
        <is>
          <t>MAT-STEEL-PN-0.75</t>
        </is>
      </c>
      <c r="F1504" t="inlineStr">
        <is>
          <t>kg</t>
        </is>
      </c>
      <c r="G1504" s="4" t="n">
        <v>6.409368000000001</v>
      </c>
      <c r="H1504" s="2">
        <f>XLOOKUP(B1504, '00_TONG_HOP_BAO_GIA'!B:B, '00_TONG_HOP_BAO_GIA'!G:G, 1)</f>
        <v/>
      </c>
      <c r="I1504" s="5">
        <f>G1504*H1504</f>
        <v/>
      </c>
      <c r="J1504" s="2">
        <f>XLOOKUP(E1504, '06_BANG_GIA_VAT_TU_AP_DUNG'!B:B, '06_BANG_GIA_VAT_TU_AP_DUNG'!C:C, "LỖI_MÃ_VT")</f>
        <v/>
      </c>
      <c r="K1504" s="2">
        <f>I1504*J1504</f>
        <v/>
      </c>
      <c r="L1504" t="inlineStr">
        <is>
          <t>Kích thước vỏ 800.0x800.0x250mm</t>
        </is>
      </c>
    </row>
    <row r="1505">
      <c r="A1505" t="inlineStr">
        <is>
          <t>SW-DAMPER-357-BLADE</t>
        </is>
      </c>
      <c r="B1505" t="inlineStr">
        <is>
          <t>SW-DAMPER-357</t>
        </is>
      </c>
      <c r="C1505" t="inlineStr">
        <is>
          <t>Lá cánh van (5 cánh overlap)</t>
        </is>
      </c>
      <c r="D1505" t="inlineStr">
        <is>
          <t>TÔN_CUỘN_MẠ_KẼM</t>
        </is>
      </c>
      <c r="E1505" t="inlineStr">
        <is>
          <t>MAT-STEEL-PN-0.75</t>
        </is>
      </c>
      <c r="F1505" t="inlineStr">
        <is>
          <t>kg</t>
        </is>
      </c>
      <c r="G1505" s="4" t="n">
        <v>4.57812</v>
      </c>
      <c r="H1505" s="2">
        <f>XLOOKUP(B1505, '00_TONG_HOP_BAO_GIA'!B:B, '00_TONG_HOP_BAO_GIA'!G:G, 1)</f>
        <v/>
      </c>
      <c r="I1505" s="5">
        <f>G1505*H1505</f>
        <v/>
      </c>
      <c r="J1505" s="2">
        <f>XLOOKUP(E1505, '06_BANG_GIA_VAT_TU_AP_DUNG'!B:B, '06_BANG_GIA_VAT_TU_AP_DUNG'!C:C, "LỖI_MÃ_VT")</f>
        <v/>
      </c>
      <c r="K1505" s="2">
        <f>I1505*J1505</f>
        <v/>
      </c>
      <c r="L1505" t="inlineStr">
        <is>
          <t>5 cánh cao 180mm</t>
        </is>
      </c>
    </row>
    <row r="1506">
      <c r="A1506" t="inlineStr">
        <is>
          <t>SW-DAMPER-357-AXLE</t>
        </is>
      </c>
      <c r="B1506" t="inlineStr">
        <is>
          <t>SW-DAMPER-357</t>
        </is>
      </c>
      <c r="C1506" t="inlineStr">
        <is>
          <t>Trục Sus 201 D10</t>
        </is>
      </c>
      <c r="D1506" t="inlineStr">
        <is>
          <t>PHỤ_KIỆN_VAN</t>
        </is>
      </c>
      <c r="E1506" t="inlineStr">
        <is>
          <t>MAT-DAMPER-TRUC-SUS-201-D10</t>
        </is>
      </c>
      <c r="F1506" t="inlineStr">
        <is>
          <t>m</t>
        </is>
      </c>
      <c r="G1506" s="4" t="n">
        <v>4.3</v>
      </c>
      <c r="H1506" s="2">
        <f>XLOOKUP(B1506, '00_TONG_HOP_BAO_GIA'!B:B, '00_TONG_HOP_BAO_GIA'!G:G, 1)</f>
        <v/>
      </c>
      <c r="I1506" s="5">
        <f>G1506*H1506</f>
        <v/>
      </c>
      <c r="J1506" s="2">
        <f>XLOOKUP(E1506, '06_BANG_GIA_VAT_TU_AP_DUNG'!B:B, '06_BANG_GIA_VAT_TU_AP_DUNG'!C:C, "LỖI_MÃ_VT")</f>
        <v/>
      </c>
      <c r="K1506" s="2">
        <f>I1506*J1506</f>
        <v/>
      </c>
      <c r="L1506" t="inlineStr">
        <is>
          <t>5 trục dài 860mm</t>
        </is>
      </c>
    </row>
    <row r="1507">
      <c r="A1507" t="inlineStr">
        <is>
          <t>SW-DAMPER-357-BEARING</t>
        </is>
      </c>
      <c r="B1507" t="inlineStr">
        <is>
          <t>SW-DAMPER-357</t>
        </is>
      </c>
      <c r="C1507" t="inlineStr">
        <is>
          <t>Bạc đồng D10</t>
        </is>
      </c>
      <c r="D1507" t="inlineStr">
        <is>
          <t>PHỤ_KIỆN_VAN</t>
        </is>
      </c>
      <c r="E1507" t="inlineStr">
        <is>
          <t>MAT-DAMPER-BAC-DONG-D10</t>
        </is>
      </c>
      <c r="F1507" t="inlineStr">
        <is>
          <t>Đôi</t>
        </is>
      </c>
      <c r="G1507" s="4" t="n">
        <v>5</v>
      </c>
      <c r="H1507" s="2">
        <f>XLOOKUP(B1507, '00_TONG_HOP_BAO_GIA'!B:B, '00_TONG_HOP_BAO_GIA'!G:G, 1)</f>
        <v/>
      </c>
      <c r="I1507" s="5">
        <f>G1507*H1507</f>
        <v/>
      </c>
      <c r="J1507" s="2">
        <f>XLOOKUP(E1507, '06_BANG_GIA_VAT_TU_AP_DUNG'!B:B, '06_BANG_GIA_VAT_TU_AP_DUNG'!C:C, "LỖI_MÃ_VT")</f>
        <v/>
      </c>
      <c r="K1507" s="2">
        <f>I1507*J1507</f>
        <v/>
      </c>
      <c r="L1507" t="inlineStr">
        <is>
          <t>5 đôi bạc đỡ 2 bên thân</t>
        </is>
      </c>
    </row>
    <row r="1508">
      <c r="A1508" t="inlineStr">
        <is>
          <t>SW-DAMPER-357-GEAR</t>
        </is>
      </c>
      <c r="B1508" t="inlineStr">
        <is>
          <t>SW-DAMPER-357</t>
        </is>
      </c>
      <c r="C1508" t="inlineStr">
        <is>
          <t>Bánh răng van nhôm</t>
        </is>
      </c>
      <c r="D1508" t="inlineStr">
        <is>
          <t>PHỤ_KIỆN_VAN</t>
        </is>
      </c>
      <c r="E1508" t="inlineStr">
        <is>
          <t>MAT-DAMPER-BANH-RANG-VAN-NHOM</t>
        </is>
      </c>
      <c r="F1508" t="inlineStr">
        <is>
          <t>Bộ</t>
        </is>
      </c>
      <c r="G1508" s="4" t="n">
        <v>1</v>
      </c>
      <c r="H1508" s="2">
        <f>XLOOKUP(B1508, '00_TONG_HOP_BAO_GIA'!B:B, '00_TONG_HOP_BAO_GIA'!G:G, 1)</f>
        <v/>
      </c>
      <c r="I1508" s="5">
        <f>G1508*H1508</f>
        <v/>
      </c>
      <c r="J1508" s="2">
        <f>XLOOKUP(E1508, '06_BANG_GIA_VAT_TU_AP_DUNG'!B:B, '06_BANG_GIA_VAT_TU_AP_DUNG'!C:C, "LỖI_MÃ_VT")</f>
        <v/>
      </c>
      <c r="K1508" s="2">
        <f>I1508*J1508</f>
        <v/>
      </c>
      <c r="L1508" t="inlineStr">
        <is>
          <t>Cơ cấu liên động bánh răng van</t>
        </is>
      </c>
    </row>
    <row r="1509">
      <c r="A1509" t="inlineStr">
        <is>
          <t>SW-DAMPER-357-FUSE</t>
        </is>
      </c>
      <c r="B1509" t="inlineStr">
        <is>
          <t>SW-DAMPER-357</t>
        </is>
      </c>
      <c r="C1509" t="inlineStr">
        <is>
          <t>Cầu chì nhiệt nóng chảy 70°C (Elsie/USA)</t>
        </is>
      </c>
      <c r="D1509" t="inlineStr">
        <is>
          <t>PHỤ_KIỆN_VAN</t>
        </is>
      </c>
      <c r="E1509" t="inlineStr">
        <is>
          <t>MAT-DAMPER-CAU-CHI-USA-2-400X400</t>
        </is>
      </c>
      <c r="F1509" t="inlineStr">
        <is>
          <t>Cái</t>
        </is>
      </c>
      <c r="G1509" s="4" t="n">
        <v>1</v>
      </c>
      <c r="H1509" s="2">
        <f>XLOOKUP(B1509, '00_TONG_HOP_BAO_GIA'!B:B, '00_TONG_HOP_BAO_GIA'!G:G, 1)</f>
        <v/>
      </c>
      <c r="I1509" s="5">
        <f>G1509*H1509</f>
        <v/>
      </c>
      <c r="J1509" s="2">
        <f>XLOOKUP(E1509, '06_BANG_GIA_VAT_TU_AP_DUNG'!B:B, '06_BANG_GIA_VAT_TU_AP_DUNG'!C:C, "LỖI_MÃ_VT")</f>
        <v/>
      </c>
      <c r="K1509" s="2">
        <f>I1509*J1509</f>
        <v/>
      </c>
      <c r="L1509" t="inlineStr">
        <is>
          <t>Cầu chì kiểm định PCCC</t>
        </is>
      </c>
    </row>
    <row r="1510">
      <c r="A1510" t="inlineStr">
        <is>
          <t>SW-DAMPER-358-BODY</t>
        </is>
      </c>
      <c r="B1510" t="inlineStr">
        <is>
          <t>SW-DAMPER-358</t>
        </is>
      </c>
      <c r="C1510" t="inlineStr">
        <is>
          <t>Thân vỏ van FD bích TDF (0.95mm)</t>
        </is>
      </c>
      <c r="D1510" t="inlineStr">
        <is>
          <t>TÔN_CUỘN_MẠ_KẼM</t>
        </is>
      </c>
      <c r="E1510" t="inlineStr">
        <is>
          <t>MAT-STEEL-PN-0.95</t>
        </is>
      </c>
      <c r="F1510" t="inlineStr">
        <is>
          <t>kg</t>
        </is>
      </c>
      <c r="G1510" s="4" t="n">
        <v>6.6151008</v>
      </c>
      <c r="H1510" s="2">
        <f>XLOOKUP(B1510, '00_TONG_HOP_BAO_GIA'!B:B, '00_TONG_HOP_BAO_GIA'!G:G, 1)</f>
        <v/>
      </c>
      <c r="I1510" s="5">
        <f>G1510*H1510</f>
        <v/>
      </c>
      <c r="J1510" s="2">
        <f>XLOOKUP(E1510, '06_BANG_GIA_VAT_TU_AP_DUNG'!B:B, '06_BANG_GIA_VAT_TU_AP_DUNG'!C:C, "LỖI_MÃ_VT")</f>
        <v/>
      </c>
      <c r="K1510" s="2">
        <f>I1510*J1510</f>
        <v/>
      </c>
      <c r="L1510" t="inlineStr">
        <is>
          <t>Kích thước vỏ 850.0x450.0x250mm</t>
        </is>
      </c>
    </row>
    <row r="1511">
      <c r="A1511" t="inlineStr">
        <is>
          <t>SW-DAMPER-358-BLADE</t>
        </is>
      </c>
      <c r="B1511" t="inlineStr">
        <is>
          <t>SW-DAMPER-358</t>
        </is>
      </c>
      <c r="C1511" t="inlineStr">
        <is>
          <t>Lá cánh van (3 cánh overlap)</t>
        </is>
      </c>
      <c r="D1511" t="inlineStr">
        <is>
          <t>TÔN_CUỘN_MẠ_KẼM</t>
        </is>
      </c>
      <c r="E1511" t="inlineStr">
        <is>
          <t>MAT-STEEL-PN-0.75</t>
        </is>
      </c>
      <c r="F1511" t="inlineStr">
        <is>
          <t>kg</t>
        </is>
      </c>
      <c r="G1511" s="4" t="n">
        <v>2.75640975</v>
      </c>
      <c r="H1511" s="2">
        <f>XLOOKUP(B1511, '00_TONG_HOP_BAO_GIA'!B:B, '00_TONG_HOP_BAO_GIA'!G:G, 1)</f>
        <v/>
      </c>
      <c r="I1511" s="5">
        <f>G1511*H1511</f>
        <v/>
      </c>
      <c r="J1511" s="2">
        <f>XLOOKUP(E1511, '06_BANG_GIA_VAT_TU_AP_DUNG'!B:B, '06_BANG_GIA_VAT_TU_AP_DUNG'!C:C, "LỖI_MÃ_VT")</f>
        <v/>
      </c>
      <c r="K1511" s="2">
        <f>I1511*J1511</f>
        <v/>
      </c>
      <c r="L1511" t="inlineStr">
        <is>
          <t>3 cánh cao 170mm</t>
        </is>
      </c>
    </row>
    <row r="1512">
      <c r="A1512" t="inlineStr">
        <is>
          <t>SW-DAMPER-358-AXLE</t>
        </is>
      </c>
      <c r="B1512" t="inlineStr">
        <is>
          <t>SW-DAMPER-358</t>
        </is>
      </c>
      <c r="C1512" t="inlineStr">
        <is>
          <t>Trục Sus 201 D10</t>
        </is>
      </c>
      <c r="D1512" t="inlineStr">
        <is>
          <t>PHỤ_KIỆN_VAN</t>
        </is>
      </c>
      <c r="E1512" t="inlineStr">
        <is>
          <t>MAT-DAMPER-TRUC-SUS-201-D10</t>
        </is>
      </c>
      <c r="F1512" t="inlineStr">
        <is>
          <t>m</t>
        </is>
      </c>
      <c r="G1512" s="4" t="n">
        <v>2.73</v>
      </c>
      <c r="H1512" s="2">
        <f>XLOOKUP(B1512, '00_TONG_HOP_BAO_GIA'!B:B, '00_TONG_HOP_BAO_GIA'!G:G, 1)</f>
        <v/>
      </c>
      <c r="I1512" s="5">
        <f>G1512*H1512</f>
        <v/>
      </c>
      <c r="J1512" s="2">
        <f>XLOOKUP(E1512, '06_BANG_GIA_VAT_TU_AP_DUNG'!B:B, '06_BANG_GIA_VAT_TU_AP_DUNG'!C:C, "LỖI_MÃ_VT")</f>
        <v/>
      </c>
      <c r="K1512" s="2">
        <f>I1512*J1512</f>
        <v/>
      </c>
      <c r="L1512" t="inlineStr">
        <is>
          <t>3 trục dài 910mm</t>
        </is>
      </c>
    </row>
    <row r="1513">
      <c r="A1513" t="inlineStr">
        <is>
          <t>SW-DAMPER-358-BEARING</t>
        </is>
      </c>
      <c r="B1513" t="inlineStr">
        <is>
          <t>SW-DAMPER-358</t>
        </is>
      </c>
      <c r="C1513" t="inlineStr">
        <is>
          <t>Bạc đồng D10</t>
        </is>
      </c>
      <c r="D1513" t="inlineStr">
        <is>
          <t>PHỤ_KIỆN_VAN</t>
        </is>
      </c>
      <c r="E1513" t="inlineStr">
        <is>
          <t>MAT-DAMPER-BAC-DONG-D10</t>
        </is>
      </c>
      <c r="F1513" t="inlineStr">
        <is>
          <t>Đôi</t>
        </is>
      </c>
      <c r="G1513" s="4" t="n">
        <v>3</v>
      </c>
      <c r="H1513" s="2">
        <f>XLOOKUP(B1513, '00_TONG_HOP_BAO_GIA'!B:B, '00_TONG_HOP_BAO_GIA'!G:G, 1)</f>
        <v/>
      </c>
      <c r="I1513" s="5">
        <f>G1513*H1513</f>
        <v/>
      </c>
      <c r="J1513" s="2">
        <f>XLOOKUP(E1513, '06_BANG_GIA_VAT_TU_AP_DUNG'!B:B, '06_BANG_GIA_VAT_TU_AP_DUNG'!C:C, "LỖI_MÃ_VT")</f>
        <v/>
      </c>
      <c r="K1513" s="2">
        <f>I1513*J1513</f>
        <v/>
      </c>
      <c r="L1513" t="inlineStr">
        <is>
          <t>3 đôi bạc đỡ 2 bên thân</t>
        </is>
      </c>
    </row>
    <row r="1514">
      <c r="A1514" t="inlineStr">
        <is>
          <t>SW-DAMPER-358-GEAR</t>
        </is>
      </c>
      <c r="B1514" t="inlineStr">
        <is>
          <t>SW-DAMPER-358</t>
        </is>
      </c>
      <c r="C1514" t="inlineStr">
        <is>
          <t>Bánh răng van nhôm</t>
        </is>
      </c>
      <c r="D1514" t="inlineStr">
        <is>
          <t>PHỤ_KIỆN_VAN</t>
        </is>
      </c>
      <c r="E1514" t="inlineStr">
        <is>
          <t>MAT-DAMPER-BANH-RANG-VAN-NHOM</t>
        </is>
      </c>
      <c r="F1514" t="inlineStr">
        <is>
          <t>Bộ</t>
        </is>
      </c>
      <c r="G1514" s="4" t="n">
        <v>1</v>
      </c>
      <c r="H1514" s="2">
        <f>XLOOKUP(B1514, '00_TONG_HOP_BAO_GIA'!B:B, '00_TONG_HOP_BAO_GIA'!G:G, 1)</f>
        <v/>
      </c>
      <c r="I1514" s="5">
        <f>G1514*H1514</f>
        <v/>
      </c>
      <c r="J1514" s="2">
        <f>XLOOKUP(E1514, '06_BANG_GIA_VAT_TU_AP_DUNG'!B:B, '06_BANG_GIA_VAT_TU_AP_DUNG'!C:C, "LỖI_MÃ_VT")</f>
        <v/>
      </c>
      <c r="K1514" s="2">
        <f>I1514*J1514</f>
        <v/>
      </c>
      <c r="L1514" t="inlineStr">
        <is>
          <t>Cơ cấu liên động bánh răng van</t>
        </is>
      </c>
    </row>
    <row r="1515">
      <c r="A1515" t="inlineStr">
        <is>
          <t>SW-DAMPER-358-FUSE</t>
        </is>
      </c>
      <c r="B1515" t="inlineStr">
        <is>
          <t>SW-DAMPER-358</t>
        </is>
      </c>
      <c r="C1515" t="inlineStr">
        <is>
          <t>Cầu chì nhiệt nóng chảy 70°C (Elsie/USA)</t>
        </is>
      </c>
      <c r="D1515" t="inlineStr">
        <is>
          <t>PHỤ_KIỆN_VAN</t>
        </is>
      </c>
      <c r="E1515" t="inlineStr">
        <is>
          <t>MAT-DAMPER-CAU-CHI-USA-2-400X400</t>
        </is>
      </c>
      <c r="F1515" t="inlineStr">
        <is>
          <t>Cái</t>
        </is>
      </c>
      <c r="G1515" s="4" t="n">
        <v>1</v>
      </c>
      <c r="H1515" s="2">
        <f>XLOOKUP(B1515, '00_TONG_HOP_BAO_GIA'!B:B, '00_TONG_HOP_BAO_GIA'!G:G, 1)</f>
        <v/>
      </c>
      <c r="I1515" s="5">
        <f>G1515*H1515</f>
        <v/>
      </c>
      <c r="J1515" s="2">
        <f>XLOOKUP(E1515, '06_BANG_GIA_VAT_TU_AP_DUNG'!B:B, '06_BANG_GIA_VAT_TU_AP_DUNG'!C:C, "LỖI_MÃ_VT")</f>
        <v/>
      </c>
      <c r="K1515" s="2">
        <f>I1515*J1515</f>
        <v/>
      </c>
      <c r="L1515" t="inlineStr">
        <is>
          <t>Cầu chì kiểm định PCCC</t>
        </is>
      </c>
    </row>
    <row r="1516">
      <c r="A1516" t="inlineStr">
        <is>
          <t>SW-DAMPER-359-BODY</t>
        </is>
      </c>
      <c r="B1516" t="inlineStr">
        <is>
          <t>SW-DAMPER-359</t>
        </is>
      </c>
      <c r="C1516" t="inlineStr">
        <is>
          <t>Thân vỏ van FD bích TDF (0.95mm)</t>
        </is>
      </c>
      <c r="D1516" t="inlineStr">
        <is>
          <t>TÔN_CUỘN_MẠ_KẼM</t>
        </is>
      </c>
      <c r="E1516" t="inlineStr">
        <is>
          <t>MAT-STEEL-PN-0.95</t>
        </is>
      </c>
      <c r="F1516" t="inlineStr">
        <is>
          <t>kg</t>
        </is>
      </c>
      <c r="G1516" s="4" t="n">
        <v>7.617388800000001</v>
      </c>
      <c r="H1516" s="2">
        <f>XLOOKUP(B1516, '00_TONG_HOP_BAO_GIA'!B:B, '00_TONG_HOP_BAO_GIA'!G:G, 1)</f>
        <v/>
      </c>
      <c r="I1516" s="5">
        <f>G1516*H1516</f>
        <v/>
      </c>
      <c r="J1516" s="2">
        <f>XLOOKUP(E1516, '06_BANG_GIA_VAT_TU_AP_DUNG'!B:B, '06_BANG_GIA_VAT_TU_AP_DUNG'!C:C, "LỖI_MÃ_VT")</f>
        <v/>
      </c>
      <c r="K1516" s="2">
        <f>I1516*J1516</f>
        <v/>
      </c>
      <c r="L1516" t="inlineStr">
        <is>
          <t>Kích thước vỏ 1000.0x500.0x250mm</t>
        </is>
      </c>
    </row>
    <row r="1517">
      <c r="A1517" t="inlineStr">
        <is>
          <t>SW-DAMPER-359-BLADE</t>
        </is>
      </c>
      <c r="B1517" t="inlineStr">
        <is>
          <t>SW-DAMPER-359</t>
        </is>
      </c>
      <c r="C1517" t="inlineStr">
        <is>
          <t>Lá cánh van (3 cánh overlap)</t>
        </is>
      </c>
      <c r="D1517" t="inlineStr">
        <is>
          <t>TÔN_CUỘN_MẠ_KẼM</t>
        </is>
      </c>
      <c r="E1517" t="inlineStr">
        <is>
          <t>MAT-STEEL-PN-0.75</t>
        </is>
      </c>
      <c r="F1517" t="inlineStr">
        <is>
          <t>kg</t>
        </is>
      </c>
      <c r="G1517" s="4" t="n">
        <v>3.56076</v>
      </c>
      <c r="H1517" s="2">
        <f>XLOOKUP(B1517, '00_TONG_HOP_BAO_GIA'!B:B, '00_TONG_HOP_BAO_GIA'!G:G, 1)</f>
        <v/>
      </c>
      <c r="I1517" s="5">
        <f>G1517*H1517</f>
        <v/>
      </c>
      <c r="J1517" s="2">
        <f>XLOOKUP(E1517, '06_BANG_GIA_VAT_TU_AP_DUNG'!B:B, '06_BANG_GIA_VAT_TU_AP_DUNG'!C:C, "LỖI_MÃ_VT")</f>
        <v/>
      </c>
      <c r="K1517" s="2">
        <f>I1517*J1517</f>
        <v/>
      </c>
      <c r="L1517" t="inlineStr">
        <is>
          <t>3 cánh cao 187mm</t>
        </is>
      </c>
    </row>
    <row r="1518">
      <c r="A1518" t="inlineStr">
        <is>
          <t>SW-DAMPER-359-AXLE</t>
        </is>
      </c>
      <c r="B1518" t="inlineStr">
        <is>
          <t>SW-DAMPER-359</t>
        </is>
      </c>
      <c r="C1518" t="inlineStr">
        <is>
          <t>Trục Sus 201 D10</t>
        </is>
      </c>
      <c r="D1518" t="inlineStr">
        <is>
          <t>PHỤ_KIỆN_VAN</t>
        </is>
      </c>
      <c r="E1518" t="inlineStr">
        <is>
          <t>MAT-DAMPER-TRUC-SUS-201-D10</t>
        </is>
      </c>
      <c r="F1518" t="inlineStr">
        <is>
          <t>m</t>
        </is>
      </c>
      <c r="G1518" s="4" t="n">
        <v>3.18</v>
      </c>
      <c r="H1518" s="2">
        <f>XLOOKUP(B1518, '00_TONG_HOP_BAO_GIA'!B:B, '00_TONG_HOP_BAO_GIA'!G:G, 1)</f>
        <v/>
      </c>
      <c r="I1518" s="5">
        <f>G1518*H1518</f>
        <v/>
      </c>
      <c r="J1518" s="2">
        <f>XLOOKUP(E1518, '06_BANG_GIA_VAT_TU_AP_DUNG'!B:B, '06_BANG_GIA_VAT_TU_AP_DUNG'!C:C, "LỖI_MÃ_VT")</f>
        <v/>
      </c>
      <c r="K1518" s="2">
        <f>I1518*J1518</f>
        <v/>
      </c>
      <c r="L1518" t="inlineStr">
        <is>
          <t>3 trục dài 1060mm</t>
        </is>
      </c>
    </row>
    <row r="1519">
      <c r="A1519" t="inlineStr">
        <is>
          <t>SW-DAMPER-359-BEARING</t>
        </is>
      </c>
      <c r="B1519" t="inlineStr">
        <is>
          <t>SW-DAMPER-359</t>
        </is>
      </c>
      <c r="C1519" t="inlineStr">
        <is>
          <t>Bạc đồng D10</t>
        </is>
      </c>
      <c r="D1519" t="inlineStr">
        <is>
          <t>PHỤ_KIỆN_VAN</t>
        </is>
      </c>
      <c r="E1519" t="inlineStr">
        <is>
          <t>MAT-DAMPER-BAC-DONG-D10</t>
        </is>
      </c>
      <c r="F1519" t="inlineStr">
        <is>
          <t>Đôi</t>
        </is>
      </c>
      <c r="G1519" s="4" t="n">
        <v>3</v>
      </c>
      <c r="H1519" s="2">
        <f>XLOOKUP(B1519, '00_TONG_HOP_BAO_GIA'!B:B, '00_TONG_HOP_BAO_GIA'!G:G, 1)</f>
        <v/>
      </c>
      <c r="I1519" s="5">
        <f>G1519*H1519</f>
        <v/>
      </c>
      <c r="J1519" s="2">
        <f>XLOOKUP(E1519, '06_BANG_GIA_VAT_TU_AP_DUNG'!B:B, '06_BANG_GIA_VAT_TU_AP_DUNG'!C:C, "LỖI_MÃ_VT")</f>
        <v/>
      </c>
      <c r="K1519" s="2">
        <f>I1519*J1519</f>
        <v/>
      </c>
      <c r="L1519" t="inlineStr">
        <is>
          <t>3 đôi bạc đỡ 2 bên thân</t>
        </is>
      </c>
    </row>
    <row r="1520">
      <c r="A1520" t="inlineStr">
        <is>
          <t>SW-DAMPER-359-GEAR</t>
        </is>
      </c>
      <c r="B1520" t="inlineStr">
        <is>
          <t>SW-DAMPER-359</t>
        </is>
      </c>
      <c r="C1520" t="inlineStr">
        <is>
          <t>Bánh răng van nhôm</t>
        </is>
      </c>
      <c r="D1520" t="inlineStr">
        <is>
          <t>PHỤ_KIỆN_VAN</t>
        </is>
      </c>
      <c r="E1520" t="inlineStr">
        <is>
          <t>MAT-DAMPER-BANH-RANG-VAN-NHOM</t>
        </is>
      </c>
      <c r="F1520" t="inlineStr">
        <is>
          <t>Bộ</t>
        </is>
      </c>
      <c r="G1520" s="4" t="n">
        <v>1</v>
      </c>
      <c r="H1520" s="2">
        <f>XLOOKUP(B1520, '00_TONG_HOP_BAO_GIA'!B:B, '00_TONG_HOP_BAO_GIA'!G:G, 1)</f>
        <v/>
      </c>
      <c r="I1520" s="5">
        <f>G1520*H1520</f>
        <v/>
      </c>
      <c r="J1520" s="2">
        <f>XLOOKUP(E1520, '06_BANG_GIA_VAT_TU_AP_DUNG'!B:B, '06_BANG_GIA_VAT_TU_AP_DUNG'!C:C, "LỖI_MÃ_VT")</f>
        <v/>
      </c>
      <c r="K1520" s="2">
        <f>I1520*J1520</f>
        <v/>
      </c>
      <c r="L1520" t="inlineStr">
        <is>
          <t>Cơ cấu liên động bánh răng van</t>
        </is>
      </c>
    </row>
    <row r="1521">
      <c r="A1521" t="inlineStr">
        <is>
          <t>SW-DAMPER-359-FUSE</t>
        </is>
      </c>
      <c r="B1521" t="inlineStr">
        <is>
          <t>SW-DAMPER-359</t>
        </is>
      </c>
      <c r="C1521" t="inlineStr">
        <is>
          <t>Cầu chì nhiệt nóng chảy 70°C (Elsie/USA)</t>
        </is>
      </c>
      <c r="D1521" t="inlineStr">
        <is>
          <t>PHỤ_KIỆN_VAN</t>
        </is>
      </c>
      <c r="E1521" t="inlineStr">
        <is>
          <t>MAT-DAMPER-CAU-CHI-USA-2-400X400</t>
        </is>
      </c>
      <c r="F1521" t="inlineStr">
        <is>
          <t>Cái</t>
        </is>
      </c>
      <c r="G1521" s="4" t="n">
        <v>1</v>
      </c>
      <c r="H1521" s="2">
        <f>XLOOKUP(B1521, '00_TONG_HOP_BAO_GIA'!B:B, '00_TONG_HOP_BAO_GIA'!G:G, 1)</f>
        <v/>
      </c>
      <c r="I1521" s="5">
        <f>G1521*H1521</f>
        <v/>
      </c>
      <c r="J1521" s="2">
        <f>XLOOKUP(E1521, '06_BANG_GIA_VAT_TU_AP_DUNG'!B:B, '06_BANG_GIA_VAT_TU_AP_DUNG'!C:C, "LỖI_MÃ_VT")</f>
        <v/>
      </c>
      <c r="K1521" s="2">
        <f>I1521*J1521</f>
        <v/>
      </c>
      <c r="L1521" t="inlineStr">
        <is>
          <t>Cầu chì kiểm định PCCC</t>
        </is>
      </c>
    </row>
    <row r="1522">
      <c r="A1522" t="inlineStr">
        <is>
          <t>SW-DAMPER-360-BODY</t>
        </is>
      </c>
      <c r="B1522" t="inlineStr">
        <is>
          <t>SW-DAMPER-360</t>
        </is>
      </c>
      <c r="C1522" t="inlineStr">
        <is>
          <t>Thân vỏ van FD bích TDF (0.95mm)</t>
        </is>
      </c>
      <c r="D1522" t="inlineStr">
        <is>
          <t>TÔN_CUỘN_MẠ_KẼM</t>
        </is>
      </c>
      <c r="E1522" t="inlineStr">
        <is>
          <t>MAT-STEEL-PN-0.95</t>
        </is>
      </c>
      <c r="F1522" t="inlineStr">
        <is>
          <t>kg</t>
        </is>
      </c>
      <c r="G1522" s="4" t="n">
        <v>10.1231088</v>
      </c>
      <c r="H1522" s="2">
        <f>XLOOKUP(B1522, '00_TONG_HOP_BAO_GIA'!B:B, '00_TONG_HOP_BAO_GIA'!G:G, 1)</f>
        <v/>
      </c>
      <c r="I1522" s="5">
        <f>G1522*H1522</f>
        <v/>
      </c>
      <c r="J1522" s="2">
        <f>XLOOKUP(E1522, '06_BANG_GIA_VAT_TU_AP_DUNG'!B:B, '06_BANG_GIA_VAT_TU_AP_DUNG'!C:C, "LỖI_MÃ_VT")</f>
        <v/>
      </c>
      <c r="K1522" s="2">
        <f>I1522*J1522</f>
        <v/>
      </c>
      <c r="L1522" t="inlineStr">
        <is>
          <t>Kích thước vỏ 1000.0x1000.0x250mm</t>
        </is>
      </c>
    </row>
    <row r="1523">
      <c r="A1523" t="inlineStr">
        <is>
          <t>SW-DAMPER-360-BLADE</t>
        </is>
      </c>
      <c r="B1523" t="inlineStr">
        <is>
          <t>SW-DAMPER-360</t>
        </is>
      </c>
      <c r="C1523" t="inlineStr">
        <is>
          <t>Lá cánh van (6 cánh overlap)</t>
        </is>
      </c>
      <c r="D1523" t="inlineStr">
        <is>
          <t>TÔN_CUỘN_MẠ_KẼM</t>
        </is>
      </c>
      <c r="E1523" t="inlineStr">
        <is>
          <t>MAT-STEEL-PN-0.75</t>
        </is>
      </c>
      <c r="F1523" t="inlineStr">
        <is>
          <t>kg</t>
        </is>
      </c>
      <c r="G1523" s="4" t="n">
        <v>7.121519999999999</v>
      </c>
      <c r="H1523" s="2">
        <f>XLOOKUP(B1523, '00_TONG_HOP_BAO_GIA'!B:B, '00_TONG_HOP_BAO_GIA'!G:G, 1)</f>
        <v/>
      </c>
      <c r="I1523" s="5">
        <f>G1523*H1523</f>
        <v/>
      </c>
      <c r="J1523" s="2">
        <f>XLOOKUP(E1523, '06_BANG_GIA_VAT_TU_AP_DUNG'!B:B, '06_BANG_GIA_VAT_TU_AP_DUNG'!C:C, "LỖI_MÃ_VT")</f>
        <v/>
      </c>
      <c r="K1523" s="2">
        <f>I1523*J1523</f>
        <v/>
      </c>
      <c r="L1523" t="inlineStr">
        <is>
          <t>6 cánh cao 187mm</t>
        </is>
      </c>
    </row>
    <row r="1524">
      <c r="A1524" t="inlineStr">
        <is>
          <t>SW-DAMPER-360-AXLE</t>
        </is>
      </c>
      <c r="B1524" t="inlineStr">
        <is>
          <t>SW-DAMPER-360</t>
        </is>
      </c>
      <c r="C1524" t="inlineStr">
        <is>
          <t>Trục Sus 201 D10</t>
        </is>
      </c>
      <c r="D1524" t="inlineStr">
        <is>
          <t>PHỤ_KIỆN_VAN</t>
        </is>
      </c>
      <c r="E1524" t="inlineStr">
        <is>
          <t>MAT-DAMPER-TRUC-SUS-201-D10</t>
        </is>
      </c>
      <c r="F1524" t="inlineStr">
        <is>
          <t>m</t>
        </is>
      </c>
      <c r="G1524" s="4" t="n">
        <v>6.36</v>
      </c>
      <c r="H1524" s="2">
        <f>XLOOKUP(B1524, '00_TONG_HOP_BAO_GIA'!B:B, '00_TONG_HOP_BAO_GIA'!G:G, 1)</f>
        <v/>
      </c>
      <c r="I1524" s="5">
        <f>G1524*H1524</f>
        <v/>
      </c>
      <c r="J1524" s="2">
        <f>XLOOKUP(E1524, '06_BANG_GIA_VAT_TU_AP_DUNG'!B:B, '06_BANG_GIA_VAT_TU_AP_DUNG'!C:C, "LỖI_MÃ_VT")</f>
        <v/>
      </c>
      <c r="K1524" s="2">
        <f>I1524*J1524</f>
        <v/>
      </c>
      <c r="L1524" t="inlineStr">
        <is>
          <t>6 trục dài 1060mm</t>
        </is>
      </c>
    </row>
    <row r="1525">
      <c r="A1525" t="inlineStr">
        <is>
          <t>SW-DAMPER-360-BEARING</t>
        </is>
      </c>
      <c r="B1525" t="inlineStr">
        <is>
          <t>SW-DAMPER-360</t>
        </is>
      </c>
      <c r="C1525" t="inlineStr">
        <is>
          <t>Bạc đồng D10</t>
        </is>
      </c>
      <c r="D1525" t="inlineStr">
        <is>
          <t>PHỤ_KIỆN_VAN</t>
        </is>
      </c>
      <c r="E1525" t="inlineStr">
        <is>
          <t>MAT-DAMPER-BAC-DONG-D10</t>
        </is>
      </c>
      <c r="F1525" t="inlineStr">
        <is>
          <t>Đôi</t>
        </is>
      </c>
      <c r="G1525" s="4" t="n">
        <v>6</v>
      </c>
      <c r="H1525" s="2">
        <f>XLOOKUP(B1525, '00_TONG_HOP_BAO_GIA'!B:B, '00_TONG_HOP_BAO_GIA'!G:G, 1)</f>
        <v/>
      </c>
      <c r="I1525" s="5">
        <f>G1525*H1525</f>
        <v/>
      </c>
      <c r="J1525" s="2">
        <f>XLOOKUP(E1525, '06_BANG_GIA_VAT_TU_AP_DUNG'!B:B, '06_BANG_GIA_VAT_TU_AP_DUNG'!C:C, "LỖI_MÃ_VT")</f>
        <v/>
      </c>
      <c r="K1525" s="2">
        <f>I1525*J1525</f>
        <v/>
      </c>
      <c r="L1525" t="inlineStr">
        <is>
          <t>6 đôi bạc đỡ 2 bên thân</t>
        </is>
      </c>
    </row>
    <row r="1526">
      <c r="A1526" t="inlineStr">
        <is>
          <t>SW-DAMPER-360-GEAR</t>
        </is>
      </c>
      <c r="B1526" t="inlineStr">
        <is>
          <t>SW-DAMPER-360</t>
        </is>
      </c>
      <c r="C1526" t="inlineStr">
        <is>
          <t>Bánh răng van nhôm</t>
        </is>
      </c>
      <c r="D1526" t="inlineStr">
        <is>
          <t>PHỤ_KIỆN_VAN</t>
        </is>
      </c>
      <c r="E1526" t="inlineStr">
        <is>
          <t>MAT-DAMPER-BANH-RANG-VAN-NHOM</t>
        </is>
      </c>
      <c r="F1526" t="inlineStr">
        <is>
          <t>Bộ</t>
        </is>
      </c>
      <c r="G1526" s="4" t="n">
        <v>1</v>
      </c>
      <c r="H1526" s="2">
        <f>XLOOKUP(B1526, '00_TONG_HOP_BAO_GIA'!B:B, '00_TONG_HOP_BAO_GIA'!G:G, 1)</f>
        <v/>
      </c>
      <c r="I1526" s="5">
        <f>G1526*H1526</f>
        <v/>
      </c>
      <c r="J1526" s="2">
        <f>XLOOKUP(E1526, '06_BANG_GIA_VAT_TU_AP_DUNG'!B:B, '06_BANG_GIA_VAT_TU_AP_DUNG'!C:C, "LỖI_MÃ_VT")</f>
        <v/>
      </c>
      <c r="K1526" s="2">
        <f>I1526*J1526</f>
        <v/>
      </c>
      <c r="L1526" t="inlineStr">
        <is>
          <t>Cơ cấu liên động bánh răng van</t>
        </is>
      </c>
    </row>
    <row r="1527">
      <c r="A1527" t="inlineStr">
        <is>
          <t>SW-DAMPER-360-FUSE</t>
        </is>
      </c>
      <c r="B1527" t="inlineStr">
        <is>
          <t>SW-DAMPER-360</t>
        </is>
      </c>
      <c r="C1527" t="inlineStr">
        <is>
          <t>Cầu chì nhiệt nóng chảy 70°C (Elsie/USA)</t>
        </is>
      </c>
      <c r="D1527" t="inlineStr">
        <is>
          <t>PHỤ_KIỆN_VAN</t>
        </is>
      </c>
      <c r="E1527" t="inlineStr">
        <is>
          <t>MAT-DAMPER-CAU-CHI-USA-2-400X400</t>
        </is>
      </c>
      <c r="F1527" t="inlineStr">
        <is>
          <t>Cái</t>
        </is>
      </c>
      <c r="G1527" s="4" t="n">
        <v>1</v>
      </c>
      <c r="H1527" s="2">
        <f>XLOOKUP(B1527, '00_TONG_HOP_BAO_GIA'!B:B, '00_TONG_HOP_BAO_GIA'!G:G, 1)</f>
        <v/>
      </c>
      <c r="I1527" s="5">
        <f>G1527*H1527</f>
        <v/>
      </c>
      <c r="J1527" s="2">
        <f>XLOOKUP(E1527, '06_BANG_GIA_VAT_TU_AP_DUNG'!B:B, '06_BANG_GIA_VAT_TU_AP_DUNG'!C:C, "LỖI_MÃ_VT")</f>
        <v/>
      </c>
      <c r="K1527" s="2">
        <f>I1527*J1527</f>
        <v/>
      </c>
      <c r="L1527" t="inlineStr">
        <is>
          <t>Cầu chì kiểm định PCCC</t>
        </is>
      </c>
    </row>
    <row r="1528">
      <c r="A1528" t="inlineStr">
        <is>
          <t>SW-DAMPER-361-BODY</t>
        </is>
      </c>
      <c r="B1528" t="inlineStr">
        <is>
          <t>SW-DAMPER-361</t>
        </is>
      </c>
      <c r="C1528" t="inlineStr">
        <is>
          <t>Thân vỏ van FD bích TDF (0.95mm)</t>
        </is>
      </c>
      <c r="D1528" t="inlineStr">
        <is>
          <t>TÔN_CUỘN_MẠ_KẼM</t>
        </is>
      </c>
      <c r="E1528" t="inlineStr">
        <is>
          <t>MAT-STEEL-PN-0.95</t>
        </is>
      </c>
      <c r="F1528" t="inlineStr">
        <is>
          <t>kg</t>
        </is>
      </c>
      <c r="G1528" s="4" t="n">
        <v>12.1276848</v>
      </c>
      <c r="H1528" s="2">
        <f>XLOOKUP(B1528, '00_TONG_HOP_BAO_GIA'!B:B, '00_TONG_HOP_BAO_GIA'!G:G, 1)</f>
        <v/>
      </c>
      <c r="I1528" s="5">
        <f>G1528*H1528</f>
        <v/>
      </c>
      <c r="J1528" s="2">
        <f>XLOOKUP(E1528, '06_BANG_GIA_VAT_TU_AP_DUNG'!B:B, '06_BANG_GIA_VAT_TU_AP_DUNG'!C:C, "LỖI_MÃ_VT")</f>
        <v/>
      </c>
      <c r="K1528" s="2">
        <f>I1528*J1528</f>
        <v/>
      </c>
      <c r="L1528" t="inlineStr">
        <is>
          <t>Kích thước vỏ 1800.0x600.0x250mm</t>
        </is>
      </c>
    </row>
    <row r="1529">
      <c r="A1529" t="inlineStr">
        <is>
          <t>SW-DAMPER-361-BLADE</t>
        </is>
      </c>
      <c r="B1529" t="inlineStr">
        <is>
          <t>SW-DAMPER-361</t>
        </is>
      </c>
      <c r="C1529" t="inlineStr">
        <is>
          <t>Lá cánh van (4 cánh overlap)</t>
        </is>
      </c>
      <c r="D1529" t="inlineStr">
        <is>
          <t>TÔN_CUỘN_MẠ_KẼM</t>
        </is>
      </c>
      <c r="E1529" t="inlineStr">
        <is>
          <t>MAT-STEEL-PN-0.75</t>
        </is>
      </c>
      <c r="F1529" t="inlineStr">
        <is>
          <t>kg</t>
        </is>
      </c>
      <c r="G1529" s="4" t="n">
        <v>7.782804</v>
      </c>
      <c r="H1529" s="2">
        <f>XLOOKUP(B1529, '00_TONG_HOP_BAO_GIA'!B:B, '00_TONG_HOP_BAO_GIA'!G:G, 1)</f>
        <v/>
      </c>
      <c r="I1529" s="5">
        <f>G1529*H1529</f>
        <v/>
      </c>
      <c r="J1529" s="2">
        <f>XLOOKUP(E1529, '06_BANG_GIA_VAT_TU_AP_DUNG'!B:B, '06_BANG_GIA_VAT_TU_AP_DUNG'!C:C, "LỖI_MÃ_VT")</f>
        <v/>
      </c>
      <c r="K1529" s="2">
        <f>I1529*J1529</f>
        <v/>
      </c>
      <c r="L1529" t="inlineStr">
        <is>
          <t>4 cánh cao 170mm</t>
        </is>
      </c>
    </row>
    <row r="1530">
      <c r="A1530" t="inlineStr">
        <is>
          <t>SW-DAMPER-361-AXLE</t>
        </is>
      </c>
      <c r="B1530" t="inlineStr">
        <is>
          <t>SW-DAMPER-361</t>
        </is>
      </c>
      <c r="C1530" t="inlineStr">
        <is>
          <t>Trục Sus 201 D10</t>
        </is>
      </c>
      <c r="D1530" t="inlineStr">
        <is>
          <t>PHỤ_KIỆN_VAN</t>
        </is>
      </c>
      <c r="E1530" t="inlineStr">
        <is>
          <t>MAT-DAMPER-TRUC-SUS-201-D10</t>
        </is>
      </c>
      <c r="F1530" t="inlineStr">
        <is>
          <t>m</t>
        </is>
      </c>
      <c r="G1530" s="4" t="n">
        <v>7.44</v>
      </c>
      <c r="H1530" s="2">
        <f>XLOOKUP(B1530, '00_TONG_HOP_BAO_GIA'!B:B, '00_TONG_HOP_BAO_GIA'!G:G, 1)</f>
        <v/>
      </c>
      <c r="I1530" s="5">
        <f>G1530*H1530</f>
        <v/>
      </c>
      <c r="J1530" s="2">
        <f>XLOOKUP(E1530, '06_BANG_GIA_VAT_TU_AP_DUNG'!B:B, '06_BANG_GIA_VAT_TU_AP_DUNG'!C:C, "LỖI_MÃ_VT")</f>
        <v/>
      </c>
      <c r="K1530" s="2">
        <f>I1530*J1530</f>
        <v/>
      </c>
      <c r="L1530" t="inlineStr">
        <is>
          <t>4 trục dài 1860mm</t>
        </is>
      </c>
    </row>
    <row r="1531">
      <c r="A1531" t="inlineStr">
        <is>
          <t>SW-DAMPER-361-BEARING</t>
        </is>
      </c>
      <c r="B1531" t="inlineStr">
        <is>
          <t>SW-DAMPER-361</t>
        </is>
      </c>
      <c r="C1531" t="inlineStr">
        <is>
          <t>Bạc đồng D10</t>
        </is>
      </c>
      <c r="D1531" t="inlineStr">
        <is>
          <t>PHỤ_KIỆN_VAN</t>
        </is>
      </c>
      <c r="E1531" t="inlineStr">
        <is>
          <t>MAT-DAMPER-BAC-DONG-D10</t>
        </is>
      </c>
      <c r="F1531" t="inlineStr">
        <is>
          <t>Đôi</t>
        </is>
      </c>
      <c r="G1531" s="4" t="n">
        <v>4</v>
      </c>
      <c r="H1531" s="2">
        <f>XLOOKUP(B1531, '00_TONG_HOP_BAO_GIA'!B:B, '00_TONG_HOP_BAO_GIA'!G:G, 1)</f>
        <v/>
      </c>
      <c r="I1531" s="5">
        <f>G1531*H1531</f>
        <v/>
      </c>
      <c r="J1531" s="2">
        <f>XLOOKUP(E1531, '06_BANG_GIA_VAT_TU_AP_DUNG'!B:B, '06_BANG_GIA_VAT_TU_AP_DUNG'!C:C, "LỖI_MÃ_VT")</f>
        <v/>
      </c>
      <c r="K1531" s="2">
        <f>I1531*J1531</f>
        <v/>
      </c>
      <c r="L1531" t="inlineStr">
        <is>
          <t>4 đôi bạc đỡ 2 bên thân</t>
        </is>
      </c>
    </row>
    <row r="1532">
      <c r="A1532" t="inlineStr">
        <is>
          <t>SW-DAMPER-361-GEAR</t>
        </is>
      </c>
      <c r="B1532" t="inlineStr">
        <is>
          <t>SW-DAMPER-361</t>
        </is>
      </c>
      <c r="C1532" t="inlineStr">
        <is>
          <t>Bánh răng van nhôm</t>
        </is>
      </c>
      <c r="D1532" t="inlineStr">
        <is>
          <t>PHỤ_KIỆN_VAN</t>
        </is>
      </c>
      <c r="E1532" t="inlineStr">
        <is>
          <t>MAT-DAMPER-BANH-RANG-VAN-NHOM</t>
        </is>
      </c>
      <c r="F1532" t="inlineStr">
        <is>
          <t>Bộ</t>
        </is>
      </c>
      <c r="G1532" s="4" t="n">
        <v>1</v>
      </c>
      <c r="H1532" s="2">
        <f>XLOOKUP(B1532, '00_TONG_HOP_BAO_GIA'!B:B, '00_TONG_HOP_BAO_GIA'!G:G, 1)</f>
        <v/>
      </c>
      <c r="I1532" s="5">
        <f>G1532*H1532</f>
        <v/>
      </c>
      <c r="J1532" s="2">
        <f>XLOOKUP(E1532, '06_BANG_GIA_VAT_TU_AP_DUNG'!B:B, '06_BANG_GIA_VAT_TU_AP_DUNG'!C:C, "LỖI_MÃ_VT")</f>
        <v/>
      </c>
      <c r="K1532" s="2">
        <f>I1532*J1532</f>
        <v/>
      </c>
      <c r="L1532" t="inlineStr">
        <is>
          <t>Cơ cấu liên động bánh răng van</t>
        </is>
      </c>
    </row>
    <row r="1533">
      <c r="A1533" t="inlineStr">
        <is>
          <t>SW-DAMPER-361-FUSE</t>
        </is>
      </c>
      <c r="B1533" t="inlineStr">
        <is>
          <t>SW-DAMPER-361</t>
        </is>
      </c>
      <c r="C1533" t="inlineStr">
        <is>
          <t>Cầu chì nhiệt nóng chảy 70°C (Elsie/USA)</t>
        </is>
      </c>
      <c r="D1533" t="inlineStr">
        <is>
          <t>PHỤ_KIỆN_VAN</t>
        </is>
      </c>
      <c r="E1533" t="inlineStr">
        <is>
          <t>MAT-DAMPER-CAU-CHI-USA-2-400X400</t>
        </is>
      </c>
      <c r="F1533" t="inlineStr">
        <is>
          <t>Cái</t>
        </is>
      </c>
      <c r="G1533" s="4" t="n">
        <v>1</v>
      </c>
      <c r="H1533" s="2">
        <f>XLOOKUP(B1533, '00_TONG_HOP_BAO_GIA'!B:B, '00_TONG_HOP_BAO_GIA'!G:G, 1)</f>
        <v/>
      </c>
      <c r="I1533" s="5">
        <f>G1533*H1533</f>
        <v/>
      </c>
      <c r="J1533" s="2">
        <f>XLOOKUP(E1533, '06_BANG_GIA_VAT_TU_AP_DUNG'!B:B, '06_BANG_GIA_VAT_TU_AP_DUNG'!C:C, "LỖI_MÃ_VT")</f>
        <v/>
      </c>
      <c r="K1533" s="2">
        <f>I1533*J1533</f>
        <v/>
      </c>
      <c r="L1533" t="inlineStr">
        <is>
          <t>Cầu chì kiểm định PCCC</t>
        </is>
      </c>
    </row>
    <row r="1534">
      <c r="A1534" t="inlineStr">
        <is>
          <t>SW-DAMPER-384-BODY</t>
        </is>
      </c>
      <c r="B1534" t="inlineStr">
        <is>
          <t>SW-DAMPER-384</t>
        </is>
      </c>
      <c r="C1534" t="inlineStr">
        <is>
          <t>Thân vỏ van VCD bích TDF (0.75mm)</t>
        </is>
      </c>
      <c r="D1534" t="inlineStr">
        <is>
          <t>TÔN_CUỘN_MẠ_KẼM</t>
        </is>
      </c>
      <c r="E1534" t="inlineStr">
        <is>
          <t>MAT-STEEL-PN-0.75</t>
        </is>
      </c>
      <c r="F1534" t="inlineStr">
        <is>
          <t>kg</t>
        </is>
      </c>
      <c r="G1534" s="4" t="n">
        <v>1.453977</v>
      </c>
      <c r="H1534" s="2">
        <f>XLOOKUP(B1534, '00_TONG_HOP_BAO_GIA'!B:B, '00_TONG_HOP_BAO_GIA'!G:G, 1)</f>
        <v/>
      </c>
      <c r="I1534" s="5">
        <f>G1534*H1534</f>
        <v/>
      </c>
      <c r="J1534" s="2">
        <f>XLOOKUP(E1534, '06_BANG_GIA_VAT_TU_AP_DUNG'!B:B, '06_BANG_GIA_VAT_TU_AP_DUNG'!C:C, "LỖI_MÃ_VT")</f>
        <v/>
      </c>
      <c r="K1534" s="2">
        <f>I1534*J1534</f>
        <v/>
      </c>
      <c r="L1534" t="inlineStr">
        <is>
          <t>Kích thước vỏ 100.0x300x210mm</t>
        </is>
      </c>
    </row>
    <row r="1535">
      <c r="A1535" t="inlineStr">
        <is>
          <t>SW-DAMPER-384-BLADE</t>
        </is>
      </c>
      <c r="B1535" t="inlineStr">
        <is>
          <t>SW-DAMPER-384</t>
        </is>
      </c>
      <c r="C1535" t="inlineStr">
        <is>
          <t>Lá cánh van (2 cánh overlap)</t>
        </is>
      </c>
      <c r="D1535" t="inlineStr">
        <is>
          <t>TÔN_CUỘN_MẠ_KẼM</t>
        </is>
      </c>
      <c r="E1535" t="inlineStr">
        <is>
          <t>MAT-STEEL-PN-0.75</t>
        </is>
      </c>
      <c r="F1535" t="inlineStr">
        <is>
          <t>kg</t>
        </is>
      </c>
      <c r="G1535" s="4" t="n">
        <v>0.216189</v>
      </c>
      <c r="H1535" s="2">
        <f>XLOOKUP(B1535, '00_TONG_HOP_BAO_GIA'!B:B, '00_TONG_HOP_BAO_GIA'!G:G, 1)</f>
        <v/>
      </c>
      <c r="I1535" s="5">
        <f>G1535*H1535</f>
        <v/>
      </c>
      <c r="J1535" s="2">
        <f>XLOOKUP(E1535, '06_BANG_GIA_VAT_TU_AP_DUNG'!B:B, '06_BANG_GIA_VAT_TU_AP_DUNG'!C:C, "LỖI_MÃ_VT")</f>
        <v/>
      </c>
      <c r="K1535" s="2">
        <f>I1535*J1535</f>
        <v/>
      </c>
      <c r="L1535" t="inlineStr">
        <is>
          <t>2 cánh cao 170mm</t>
        </is>
      </c>
    </row>
    <row r="1536">
      <c r="A1536" t="inlineStr">
        <is>
          <t>SW-DAMPER-384-AXLE</t>
        </is>
      </c>
      <c r="B1536" t="inlineStr">
        <is>
          <t>SW-DAMPER-384</t>
        </is>
      </c>
      <c r="C1536" t="inlineStr">
        <is>
          <t>Trục Sus 201 D10</t>
        </is>
      </c>
      <c r="D1536" t="inlineStr">
        <is>
          <t>PHỤ_KIỆN_VAN</t>
        </is>
      </c>
      <c r="E1536" t="inlineStr">
        <is>
          <t>MAT-DAMPER-TRUC-SUS-201-D10</t>
        </is>
      </c>
      <c r="F1536" t="inlineStr">
        <is>
          <t>m</t>
        </is>
      </c>
      <c r="G1536" s="4" t="n">
        <v>0.32</v>
      </c>
      <c r="H1536" s="2">
        <f>XLOOKUP(B1536, '00_TONG_HOP_BAO_GIA'!B:B, '00_TONG_HOP_BAO_GIA'!G:G, 1)</f>
        <v/>
      </c>
      <c r="I1536" s="5">
        <f>G1536*H1536</f>
        <v/>
      </c>
      <c r="J1536" s="2">
        <f>XLOOKUP(E1536, '06_BANG_GIA_VAT_TU_AP_DUNG'!B:B, '06_BANG_GIA_VAT_TU_AP_DUNG'!C:C, "LỖI_MÃ_VT")</f>
        <v/>
      </c>
      <c r="K1536" s="2">
        <f>I1536*J1536</f>
        <v/>
      </c>
      <c r="L1536" t="inlineStr">
        <is>
          <t>2 trục dài 160mm</t>
        </is>
      </c>
    </row>
    <row r="1537">
      <c r="A1537" t="inlineStr">
        <is>
          <t>SW-DAMPER-384-BEARING</t>
        </is>
      </c>
      <c r="B1537" t="inlineStr">
        <is>
          <t>SW-DAMPER-384</t>
        </is>
      </c>
      <c r="C1537" t="inlineStr">
        <is>
          <t>Bạc đồng D10</t>
        </is>
      </c>
      <c r="D1537" t="inlineStr">
        <is>
          <t>PHỤ_KIỆN_VAN</t>
        </is>
      </c>
      <c r="E1537" t="inlineStr">
        <is>
          <t>MAT-DAMPER-BAC-DONG-D10</t>
        </is>
      </c>
      <c r="F1537" t="inlineStr">
        <is>
          <t>Đôi</t>
        </is>
      </c>
      <c r="G1537" s="4" t="n">
        <v>2</v>
      </c>
      <c r="H1537" s="2">
        <f>XLOOKUP(B1537, '00_TONG_HOP_BAO_GIA'!B:B, '00_TONG_HOP_BAO_GIA'!G:G, 1)</f>
        <v/>
      </c>
      <c r="I1537" s="5">
        <f>G1537*H1537</f>
        <v/>
      </c>
      <c r="J1537" s="2">
        <f>XLOOKUP(E1537, '06_BANG_GIA_VAT_TU_AP_DUNG'!B:B, '06_BANG_GIA_VAT_TU_AP_DUNG'!C:C, "LỖI_MÃ_VT")</f>
        <v/>
      </c>
      <c r="K1537" s="2">
        <f>I1537*J1537</f>
        <v/>
      </c>
      <c r="L1537" t="inlineStr">
        <is>
          <t>2 đôi bạc đỡ 2 bên thân</t>
        </is>
      </c>
    </row>
    <row r="1538">
      <c r="A1538" t="inlineStr">
        <is>
          <t>SW-DAMPER-384-GEAR</t>
        </is>
      </c>
      <c r="B1538" t="inlineStr">
        <is>
          <t>SW-DAMPER-384</t>
        </is>
      </c>
      <c r="C1538" t="inlineStr">
        <is>
          <t>Bánh răng van nhôm</t>
        </is>
      </c>
      <c r="D1538" t="inlineStr">
        <is>
          <t>PHỤ_KIỆN_VAN</t>
        </is>
      </c>
      <c r="E1538" t="inlineStr">
        <is>
          <t>MAT-DAMPER-BANH-RANG-VAN-NHOM</t>
        </is>
      </c>
      <c r="F1538" t="inlineStr">
        <is>
          <t>Bộ</t>
        </is>
      </c>
      <c r="G1538" s="4" t="n">
        <v>1</v>
      </c>
      <c r="H1538" s="2">
        <f>XLOOKUP(B1538, '00_TONG_HOP_BAO_GIA'!B:B, '00_TONG_HOP_BAO_GIA'!G:G, 1)</f>
        <v/>
      </c>
      <c r="I1538" s="5">
        <f>G1538*H1538</f>
        <v/>
      </c>
      <c r="J1538" s="2">
        <f>XLOOKUP(E1538, '06_BANG_GIA_VAT_TU_AP_DUNG'!B:B, '06_BANG_GIA_VAT_TU_AP_DUNG'!C:C, "LỖI_MÃ_VT")</f>
        <v/>
      </c>
      <c r="K1538" s="2">
        <f>I1538*J1538</f>
        <v/>
      </c>
      <c r="L1538" t="inlineStr">
        <is>
          <t>Cơ cấu liên động bánh răng van</t>
        </is>
      </c>
    </row>
    <row r="1539">
      <c r="A1539" t="inlineStr">
        <is>
          <t>SW-DAMPER-384-HANDLE</t>
        </is>
      </c>
      <c r="B1539" t="inlineStr">
        <is>
          <t>SW-DAMPER-384</t>
        </is>
      </c>
      <c r="C1539" t="inlineStr">
        <is>
          <t>Tay gạt nhỏ</t>
        </is>
      </c>
      <c r="D1539" t="inlineStr">
        <is>
          <t>PHỤ_KIỆN_VAN</t>
        </is>
      </c>
      <c r="E1539" t="inlineStr">
        <is>
          <t>MAT-DAMPER-TAY-GAT-NHO</t>
        </is>
      </c>
      <c r="F1539" t="inlineStr">
        <is>
          <t>Bộ</t>
        </is>
      </c>
      <c r="G1539" s="4" t="n">
        <v>1</v>
      </c>
      <c r="H1539" s="2">
        <f>XLOOKUP(B1539, '00_TONG_HOP_BAO_GIA'!B:B, '00_TONG_HOP_BAO_GIA'!G:G, 1)</f>
        <v/>
      </c>
      <c r="I1539" s="5">
        <f>G1539*H1539</f>
        <v/>
      </c>
      <c r="J1539" s="2">
        <f>XLOOKUP(E1539, '06_BANG_GIA_VAT_TU_AP_DUNG'!B:B, '06_BANG_GIA_VAT_TU_AP_DUNG'!C:C, "LỖI_MÃ_VT")</f>
        <v/>
      </c>
      <c r="K1539" s="2">
        <f>I1539*J1539</f>
        <v/>
      </c>
      <c r="L1539" t="inlineStr">
        <is>
          <t>Tay gạt khóa vị trí nan (S=0.03m2)</t>
        </is>
      </c>
    </row>
    <row r="1540">
      <c r="A1540" t="inlineStr">
        <is>
          <t>SW-DAMPER-385-BODY</t>
        </is>
      </c>
      <c r="B1540" t="inlineStr">
        <is>
          <t>SW-DAMPER-385</t>
        </is>
      </c>
      <c r="C1540" t="inlineStr">
        <is>
          <t>Thân vỏ van VCD bích TDF (0.75mm)</t>
        </is>
      </c>
      <c r="D1540" t="inlineStr">
        <is>
          <t>TÔN_CUỘN_MẠ_KẼM</t>
        </is>
      </c>
      <c r="E1540" t="inlineStr">
        <is>
          <t>MAT-STEEL-PN-0.75</t>
        </is>
      </c>
      <c r="F1540" t="inlineStr">
        <is>
          <t>kg</t>
        </is>
      </c>
      <c r="G1540" s="4" t="n">
        <v>1.800162</v>
      </c>
      <c r="H1540" s="2">
        <f>XLOOKUP(B1540, '00_TONG_HOP_BAO_GIA'!B:B, '00_TONG_HOP_BAO_GIA'!G:G, 1)</f>
        <v/>
      </c>
      <c r="I1540" s="5">
        <f>G1540*H1540</f>
        <v/>
      </c>
      <c r="J1540" s="2">
        <f>XLOOKUP(E1540, '06_BANG_GIA_VAT_TU_AP_DUNG'!B:B, '06_BANG_GIA_VAT_TU_AP_DUNG'!C:C, "LỖI_MÃ_VT")</f>
        <v/>
      </c>
      <c r="K1540" s="2">
        <f>I1540*J1540</f>
        <v/>
      </c>
      <c r="L1540" t="inlineStr">
        <is>
          <t>Kích thước vỏ 200.0x300x210mm</t>
        </is>
      </c>
    </row>
    <row r="1541">
      <c r="A1541" t="inlineStr">
        <is>
          <t>SW-DAMPER-385-BLADE</t>
        </is>
      </c>
      <c r="B1541" t="inlineStr">
        <is>
          <t>SW-DAMPER-385</t>
        </is>
      </c>
      <c r="C1541" t="inlineStr">
        <is>
          <t>Lá cánh van (2 cánh overlap)</t>
        </is>
      </c>
      <c r="D1541" t="inlineStr">
        <is>
          <t>TÔN_CUỘN_MẠ_KẼM</t>
        </is>
      </c>
      <c r="E1541" t="inlineStr">
        <is>
          <t>MAT-STEEL-PN-0.75</t>
        </is>
      </c>
      <c r="F1541" t="inlineStr">
        <is>
          <t>kg</t>
        </is>
      </c>
      <c r="G1541" s="4" t="n">
        <v>0.432378</v>
      </c>
      <c r="H1541" s="2">
        <f>XLOOKUP(B1541, '00_TONG_HOP_BAO_GIA'!B:B, '00_TONG_HOP_BAO_GIA'!G:G, 1)</f>
        <v/>
      </c>
      <c r="I1541" s="5">
        <f>G1541*H1541</f>
        <v/>
      </c>
      <c r="J1541" s="2">
        <f>XLOOKUP(E1541, '06_BANG_GIA_VAT_TU_AP_DUNG'!B:B, '06_BANG_GIA_VAT_TU_AP_DUNG'!C:C, "LỖI_MÃ_VT")</f>
        <v/>
      </c>
      <c r="K1541" s="2">
        <f>I1541*J1541</f>
        <v/>
      </c>
      <c r="L1541" t="inlineStr">
        <is>
          <t>2 cánh cao 170mm</t>
        </is>
      </c>
    </row>
    <row r="1542">
      <c r="A1542" t="inlineStr">
        <is>
          <t>SW-DAMPER-385-AXLE</t>
        </is>
      </c>
      <c r="B1542" t="inlineStr">
        <is>
          <t>SW-DAMPER-385</t>
        </is>
      </c>
      <c r="C1542" t="inlineStr">
        <is>
          <t>Trục Sus 201 D10</t>
        </is>
      </c>
      <c r="D1542" t="inlineStr">
        <is>
          <t>PHỤ_KIỆN_VAN</t>
        </is>
      </c>
      <c r="E1542" t="inlineStr">
        <is>
          <t>MAT-DAMPER-TRUC-SUS-201-D10</t>
        </is>
      </c>
      <c r="F1542" t="inlineStr">
        <is>
          <t>m</t>
        </is>
      </c>
      <c r="G1542" s="4" t="n">
        <v>0.52</v>
      </c>
      <c r="H1542" s="2">
        <f>XLOOKUP(B1542, '00_TONG_HOP_BAO_GIA'!B:B, '00_TONG_HOP_BAO_GIA'!G:G, 1)</f>
        <v/>
      </c>
      <c r="I1542" s="5">
        <f>G1542*H1542</f>
        <v/>
      </c>
      <c r="J1542" s="2">
        <f>XLOOKUP(E1542, '06_BANG_GIA_VAT_TU_AP_DUNG'!B:B, '06_BANG_GIA_VAT_TU_AP_DUNG'!C:C, "LỖI_MÃ_VT")</f>
        <v/>
      </c>
      <c r="K1542" s="2">
        <f>I1542*J1542</f>
        <v/>
      </c>
      <c r="L1542" t="inlineStr">
        <is>
          <t>2 trục dài 260mm</t>
        </is>
      </c>
    </row>
    <row r="1543">
      <c r="A1543" t="inlineStr">
        <is>
          <t>SW-DAMPER-385-BEARING</t>
        </is>
      </c>
      <c r="B1543" t="inlineStr">
        <is>
          <t>SW-DAMPER-385</t>
        </is>
      </c>
      <c r="C1543" t="inlineStr">
        <is>
          <t>Bạc đồng D10</t>
        </is>
      </c>
      <c r="D1543" t="inlineStr">
        <is>
          <t>PHỤ_KIỆN_VAN</t>
        </is>
      </c>
      <c r="E1543" t="inlineStr">
        <is>
          <t>MAT-DAMPER-BAC-DONG-D10</t>
        </is>
      </c>
      <c r="F1543" t="inlineStr">
        <is>
          <t>Đôi</t>
        </is>
      </c>
      <c r="G1543" s="4" t="n">
        <v>2</v>
      </c>
      <c r="H1543" s="2">
        <f>XLOOKUP(B1543, '00_TONG_HOP_BAO_GIA'!B:B, '00_TONG_HOP_BAO_GIA'!G:G, 1)</f>
        <v/>
      </c>
      <c r="I1543" s="5">
        <f>G1543*H1543</f>
        <v/>
      </c>
      <c r="J1543" s="2">
        <f>XLOOKUP(E1543, '06_BANG_GIA_VAT_TU_AP_DUNG'!B:B, '06_BANG_GIA_VAT_TU_AP_DUNG'!C:C, "LỖI_MÃ_VT")</f>
        <v/>
      </c>
      <c r="K1543" s="2">
        <f>I1543*J1543</f>
        <v/>
      </c>
      <c r="L1543" t="inlineStr">
        <is>
          <t>2 đôi bạc đỡ 2 bên thân</t>
        </is>
      </c>
    </row>
    <row r="1544">
      <c r="A1544" t="inlineStr">
        <is>
          <t>SW-DAMPER-385-GEAR</t>
        </is>
      </c>
      <c r="B1544" t="inlineStr">
        <is>
          <t>SW-DAMPER-385</t>
        </is>
      </c>
      <c r="C1544" t="inlineStr">
        <is>
          <t>Bánh răng van nhôm</t>
        </is>
      </c>
      <c r="D1544" t="inlineStr">
        <is>
          <t>PHỤ_KIỆN_VAN</t>
        </is>
      </c>
      <c r="E1544" t="inlineStr">
        <is>
          <t>MAT-DAMPER-BANH-RANG-VAN-NHOM</t>
        </is>
      </c>
      <c r="F1544" t="inlineStr">
        <is>
          <t>Bộ</t>
        </is>
      </c>
      <c r="G1544" s="4" t="n">
        <v>1</v>
      </c>
      <c r="H1544" s="2">
        <f>XLOOKUP(B1544, '00_TONG_HOP_BAO_GIA'!B:B, '00_TONG_HOP_BAO_GIA'!G:G, 1)</f>
        <v/>
      </c>
      <c r="I1544" s="5">
        <f>G1544*H1544</f>
        <v/>
      </c>
      <c r="J1544" s="2">
        <f>XLOOKUP(E1544, '06_BANG_GIA_VAT_TU_AP_DUNG'!B:B, '06_BANG_GIA_VAT_TU_AP_DUNG'!C:C, "LỖI_MÃ_VT")</f>
        <v/>
      </c>
      <c r="K1544" s="2">
        <f>I1544*J1544</f>
        <v/>
      </c>
      <c r="L1544" t="inlineStr">
        <is>
          <t>Cơ cấu liên động bánh răng van</t>
        </is>
      </c>
    </row>
    <row r="1545">
      <c r="A1545" t="inlineStr">
        <is>
          <t>SW-DAMPER-385-HANDLE</t>
        </is>
      </c>
      <c r="B1545" t="inlineStr">
        <is>
          <t>SW-DAMPER-385</t>
        </is>
      </c>
      <c r="C1545" t="inlineStr">
        <is>
          <t>Tay gạt nhỏ</t>
        </is>
      </c>
      <c r="D1545" t="inlineStr">
        <is>
          <t>PHỤ_KIỆN_VAN</t>
        </is>
      </c>
      <c r="E1545" t="inlineStr">
        <is>
          <t>MAT-DAMPER-TAY-GAT-NHO</t>
        </is>
      </c>
      <c r="F1545" t="inlineStr">
        <is>
          <t>Bộ</t>
        </is>
      </c>
      <c r="G1545" s="4" t="n">
        <v>1</v>
      </c>
      <c r="H1545" s="2">
        <f>XLOOKUP(B1545, '00_TONG_HOP_BAO_GIA'!B:B, '00_TONG_HOP_BAO_GIA'!G:G, 1)</f>
        <v/>
      </c>
      <c r="I1545" s="5">
        <f>G1545*H1545</f>
        <v/>
      </c>
      <c r="J1545" s="2">
        <f>XLOOKUP(E1545, '06_BANG_GIA_VAT_TU_AP_DUNG'!B:B, '06_BANG_GIA_VAT_TU_AP_DUNG'!C:C, "LỖI_MÃ_VT")</f>
        <v/>
      </c>
      <c r="K1545" s="2">
        <f>I1545*J1545</f>
        <v/>
      </c>
      <c r="L1545" t="inlineStr">
        <is>
          <t>Tay gạt khóa vị trí nan (S=0.06m2)</t>
        </is>
      </c>
    </row>
    <row r="1546">
      <c r="A1546" t="inlineStr">
        <is>
          <t>SW-DAMPER-386-BODY</t>
        </is>
      </c>
      <c r="B1546" t="inlineStr">
        <is>
          <t>SW-DAMPER-386</t>
        </is>
      </c>
      <c r="C1546" t="inlineStr">
        <is>
          <t>Thân vỏ van VCD bích TDF (0.75mm)</t>
        </is>
      </c>
      <c r="D1546" t="inlineStr">
        <is>
          <t>TÔN_CUỘN_MẠ_KẼM</t>
        </is>
      </c>
      <c r="E1546" t="inlineStr">
        <is>
          <t>MAT-STEEL-PN-0.75</t>
        </is>
      </c>
      <c r="F1546" t="inlineStr">
        <is>
          <t>kg</t>
        </is>
      </c>
      <c r="G1546" s="4" t="n">
        <v>1.9732545</v>
      </c>
      <c r="H1546" s="2">
        <f>XLOOKUP(B1546, '00_TONG_HOP_BAO_GIA'!B:B, '00_TONG_HOP_BAO_GIA'!G:G, 1)</f>
        <v/>
      </c>
      <c r="I1546" s="5">
        <f>G1546*H1546</f>
        <v/>
      </c>
      <c r="J1546" s="2">
        <f>XLOOKUP(E1546, '06_BANG_GIA_VAT_TU_AP_DUNG'!B:B, '06_BANG_GIA_VAT_TU_AP_DUNG'!C:C, "LỖI_MÃ_VT")</f>
        <v/>
      </c>
      <c r="K1546" s="2">
        <f>I1546*J1546</f>
        <v/>
      </c>
      <c r="L1546" t="inlineStr">
        <is>
          <t>Kích thước vỏ 250.0x300x210mm</t>
        </is>
      </c>
    </row>
    <row r="1547">
      <c r="A1547" t="inlineStr">
        <is>
          <t>SW-DAMPER-386-BLADE</t>
        </is>
      </c>
      <c r="B1547" t="inlineStr">
        <is>
          <t>SW-DAMPER-386</t>
        </is>
      </c>
      <c r="C1547" t="inlineStr">
        <is>
          <t>Lá cánh van (2 cánh overlap)</t>
        </is>
      </c>
      <c r="D1547" t="inlineStr">
        <is>
          <t>TÔN_CUỘN_MẠ_KẼM</t>
        </is>
      </c>
      <c r="E1547" t="inlineStr">
        <is>
          <t>MAT-STEEL-PN-0.75</t>
        </is>
      </c>
      <c r="F1547" t="inlineStr">
        <is>
          <t>kg</t>
        </is>
      </c>
      <c r="G1547" s="4" t="n">
        <v>0.5404725</v>
      </c>
      <c r="H1547" s="2">
        <f>XLOOKUP(B1547, '00_TONG_HOP_BAO_GIA'!B:B, '00_TONG_HOP_BAO_GIA'!G:G, 1)</f>
        <v/>
      </c>
      <c r="I1547" s="5">
        <f>G1547*H1547</f>
        <v/>
      </c>
      <c r="J1547" s="2">
        <f>XLOOKUP(E1547, '06_BANG_GIA_VAT_TU_AP_DUNG'!B:B, '06_BANG_GIA_VAT_TU_AP_DUNG'!C:C, "LỖI_MÃ_VT")</f>
        <v/>
      </c>
      <c r="K1547" s="2">
        <f>I1547*J1547</f>
        <v/>
      </c>
      <c r="L1547" t="inlineStr">
        <is>
          <t>2 cánh cao 170mm</t>
        </is>
      </c>
    </row>
    <row r="1548">
      <c r="A1548" t="inlineStr">
        <is>
          <t>SW-DAMPER-386-AXLE</t>
        </is>
      </c>
      <c r="B1548" t="inlineStr">
        <is>
          <t>SW-DAMPER-386</t>
        </is>
      </c>
      <c r="C1548" t="inlineStr">
        <is>
          <t>Trục Sus 201 D10</t>
        </is>
      </c>
      <c r="D1548" t="inlineStr">
        <is>
          <t>PHỤ_KIỆN_VAN</t>
        </is>
      </c>
      <c r="E1548" t="inlineStr">
        <is>
          <t>MAT-DAMPER-TRUC-SUS-201-D10</t>
        </is>
      </c>
      <c r="F1548" t="inlineStr">
        <is>
          <t>m</t>
        </is>
      </c>
      <c r="G1548" s="4" t="n">
        <v>0.62</v>
      </c>
      <c r="H1548" s="2">
        <f>XLOOKUP(B1548, '00_TONG_HOP_BAO_GIA'!B:B, '00_TONG_HOP_BAO_GIA'!G:G, 1)</f>
        <v/>
      </c>
      <c r="I1548" s="5">
        <f>G1548*H1548</f>
        <v/>
      </c>
      <c r="J1548" s="2">
        <f>XLOOKUP(E1548, '06_BANG_GIA_VAT_TU_AP_DUNG'!B:B, '06_BANG_GIA_VAT_TU_AP_DUNG'!C:C, "LỖI_MÃ_VT")</f>
        <v/>
      </c>
      <c r="K1548" s="2">
        <f>I1548*J1548</f>
        <v/>
      </c>
      <c r="L1548" t="inlineStr">
        <is>
          <t>2 trục dài 310mm</t>
        </is>
      </c>
    </row>
    <row r="1549">
      <c r="A1549" t="inlineStr">
        <is>
          <t>SW-DAMPER-386-BEARING</t>
        </is>
      </c>
      <c r="B1549" t="inlineStr">
        <is>
          <t>SW-DAMPER-386</t>
        </is>
      </c>
      <c r="C1549" t="inlineStr">
        <is>
          <t>Bạc đồng D10</t>
        </is>
      </c>
      <c r="D1549" t="inlineStr">
        <is>
          <t>PHỤ_KIỆN_VAN</t>
        </is>
      </c>
      <c r="E1549" t="inlineStr">
        <is>
          <t>MAT-DAMPER-BAC-DONG-D10</t>
        </is>
      </c>
      <c r="F1549" t="inlineStr">
        <is>
          <t>Đôi</t>
        </is>
      </c>
      <c r="G1549" s="4" t="n">
        <v>2</v>
      </c>
      <c r="H1549" s="2">
        <f>XLOOKUP(B1549, '00_TONG_HOP_BAO_GIA'!B:B, '00_TONG_HOP_BAO_GIA'!G:G, 1)</f>
        <v/>
      </c>
      <c r="I1549" s="5">
        <f>G1549*H1549</f>
        <v/>
      </c>
      <c r="J1549" s="2">
        <f>XLOOKUP(E1549, '06_BANG_GIA_VAT_TU_AP_DUNG'!B:B, '06_BANG_GIA_VAT_TU_AP_DUNG'!C:C, "LỖI_MÃ_VT")</f>
        <v/>
      </c>
      <c r="K1549" s="2">
        <f>I1549*J1549</f>
        <v/>
      </c>
      <c r="L1549" t="inlineStr">
        <is>
          <t>2 đôi bạc đỡ 2 bên thân</t>
        </is>
      </c>
    </row>
    <row r="1550">
      <c r="A1550" t="inlineStr">
        <is>
          <t>SW-DAMPER-386-GEAR</t>
        </is>
      </c>
      <c r="B1550" t="inlineStr">
        <is>
          <t>SW-DAMPER-386</t>
        </is>
      </c>
      <c r="C1550" t="inlineStr">
        <is>
          <t>Bánh răng van nhôm</t>
        </is>
      </c>
      <c r="D1550" t="inlineStr">
        <is>
          <t>PHỤ_KIỆN_VAN</t>
        </is>
      </c>
      <c r="E1550" t="inlineStr">
        <is>
          <t>MAT-DAMPER-BANH-RANG-VAN-NHOM</t>
        </is>
      </c>
      <c r="F1550" t="inlineStr">
        <is>
          <t>Bộ</t>
        </is>
      </c>
      <c r="G1550" s="4" t="n">
        <v>1</v>
      </c>
      <c r="H1550" s="2">
        <f>XLOOKUP(B1550, '00_TONG_HOP_BAO_GIA'!B:B, '00_TONG_HOP_BAO_GIA'!G:G, 1)</f>
        <v/>
      </c>
      <c r="I1550" s="5">
        <f>G1550*H1550</f>
        <v/>
      </c>
      <c r="J1550" s="2">
        <f>XLOOKUP(E1550, '06_BANG_GIA_VAT_TU_AP_DUNG'!B:B, '06_BANG_GIA_VAT_TU_AP_DUNG'!C:C, "LỖI_MÃ_VT")</f>
        <v/>
      </c>
      <c r="K1550" s="2">
        <f>I1550*J1550</f>
        <v/>
      </c>
      <c r="L1550" t="inlineStr">
        <is>
          <t>Cơ cấu liên động bánh răng van</t>
        </is>
      </c>
    </row>
    <row r="1551">
      <c r="A1551" t="inlineStr">
        <is>
          <t>SW-DAMPER-386-HANDLE</t>
        </is>
      </c>
      <c r="B1551" t="inlineStr">
        <is>
          <t>SW-DAMPER-386</t>
        </is>
      </c>
      <c r="C1551" t="inlineStr">
        <is>
          <t>Tay gạt nhỏ</t>
        </is>
      </c>
      <c r="D1551" t="inlineStr">
        <is>
          <t>PHỤ_KIỆN_VAN</t>
        </is>
      </c>
      <c r="E1551" t="inlineStr">
        <is>
          <t>MAT-DAMPER-TAY-GAT-NHO</t>
        </is>
      </c>
      <c r="F1551" t="inlineStr">
        <is>
          <t>Bộ</t>
        </is>
      </c>
      <c r="G1551" s="4" t="n">
        <v>1</v>
      </c>
      <c r="H1551" s="2">
        <f>XLOOKUP(B1551, '00_TONG_HOP_BAO_GIA'!B:B, '00_TONG_HOP_BAO_GIA'!G:G, 1)</f>
        <v/>
      </c>
      <c r="I1551" s="5">
        <f>G1551*H1551</f>
        <v/>
      </c>
      <c r="J1551" s="2">
        <f>XLOOKUP(E1551, '06_BANG_GIA_VAT_TU_AP_DUNG'!B:B, '06_BANG_GIA_VAT_TU_AP_DUNG'!C:C, "LỖI_MÃ_VT")</f>
        <v/>
      </c>
      <c r="K1551" s="2">
        <f>I1551*J1551</f>
        <v/>
      </c>
      <c r="L1551" t="inlineStr">
        <is>
          <t>Tay gạt khóa vị trí nan (S=0.07m2)</t>
        </is>
      </c>
    </row>
    <row r="1552">
      <c r="A1552" t="inlineStr">
        <is>
          <t>SW-DAMPER-387-BODY</t>
        </is>
      </c>
      <c r="B1552" t="inlineStr">
        <is>
          <t>SW-DAMPER-387</t>
        </is>
      </c>
      <c r="C1552" t="inlineStr">
        <is>
          <t>Thân vỏ van VCD bích TDF (0.75mm)</t>
        </is>
      </c>
      <c r="D1552" t="inlineStr">
        <is>
          <t>TÔN_CUỘN_MẠ_KẼM</t>
        </is>
      </c>
      <c r="E1552" t="inlineStr">
        <is>
          <t>MAT-STEEL-PN-0.75</t>
        </is>
      </c>
      <c r="F1552" t="inlineStr">
        <is>
          <t>kg</t>
        </is>
      </c>
      <c r="G1552" s="4" t="n">
        <v>1.107792</v>
      </c>
      <c r="H1552" s="2">
        <f>XLOOKUP(B1552, '00_TONG_HOP_BAO_GIA'!B:B, '00_TONG_HOP_BAO_GIA'!G:G, 1)</f>
        <v/>
      </c>
      <c r="I1552" s="5">
        <f>G1552*H1552</f>
        <v/>
      </c>
      <c r="J1552" s="2">
        <f>XLOOKUP(E1552, '06_BANG_GIA_VAT_TU_AP_DUNG'!B:B, '06_BANG_GIA_VAT_TU_AP_DUNG'!C:C, "LỖI_MÃ_VT")</f>
        <v/>
      </c>
      <c r="K1552" s="2">
        <f>I1552*J1552</f>
        <v/>
      </c>
      <c r="L1552" t="inlineStr">
        <is>
          <t>Kích thước vỏ 150.0x150.0x210mm</t>
        </is>
      </c>
    </row>
    <row r="1553">
      <c r="A1553" t="inlineStr">
        <is>
          <t>SW-DAMPER-387-BLADE</t>
        </is>
      </c>
      <c r="B1553" t="inlineStr">
        <is>
          <t>SW-DAMPER-387</t>
        </is>
      </c>
      <c r="C1553" t="inlineStr">
        <is>
          <t>Lá cánh van (1 cánh overlap)</t>
        </is>
      </c>
      <c r="D1553" t="inlineStr">
        <is>
          <t>TÔN_CUỘN_MẠ_KẼM</t>
        </is>
      </c>
      <c r="E1553" t="inlineStr">
        <is>
          <t>MAT-STEEL-PN-0.75</t>
        </is>
      </c>
      <c r="F1553" t="inlineStr">
        <is>
          <t>kg</t>
        </is>
      </c>
      <c r="G1553" s="4" t="n">
        <v>0.16214175</v>
      </c>
      <c r="H1553" s="2">
        <f>XLOOKUP(B1553, '00_TONG_HOP_BAO_GIA'!B:B, '00_TONG_HOP_BAO_GIA'!G:G, 1)</f>
        <v/>
      </c>
      <c r="I1553" s="5">
        <f>G1553*H1553</f>
        <v/>
      </c>
      <c r="J1553" s="2">
        <f>XLOOKUP(E1553, '06_BANG_GIA_VAT_TU_AP_DUNG'!B:B, '06_BANG_GIA_VAT_TU_AP_DUNG'!C:C, "LỖI_MÃ_VT")</f>
        <v/>
      </c>
      <c r="K1553" s="2">
        <f>I1553*J1553</f>
        <v/>
      </c>
      <c r="L1553" t="inlineStr">
        <is>
          <t>1 cánh cao 170mm</t>
        </is>
      </c>
    </row>
    <row r="1554">
      <c r="A1554" t="inlineStr">
        <is>
          <t>SW-DAMPER-387-AXLE</t>
        </is>
      </c>
      <c r="B1554" t="inlineStr">
        <is>
          <t>SW-DAMPER-387</t>
        </is>
      </c>
      <c r="C1554" t="inlineStr">
        <is>
          <t>Trục Sus 201 D10</t>
        </is>
      </c>
      <c r="D1554" t="inlineStr">
        <is>
          <t>PHỤ_KIỆN_VAN</t>
        </is>
      </c>
      <c r="E1554" t="inlineStr">
        <is>
          <t>MAT-DAMPER-TRUC-SUS-201-D10</t>
        </is>
      </c>
      <c r="F1554" t="inlineStr">
        <is>
          <t>m</t>
        </is>
      </c>
      <c r="G1554" s="4" t="n">
        <v>0.21</v>
      </c>
      <c r="H1554" s="2">
        <f>XLOOKUP(B1554, '00_TONG_HOP_BAO_GIA'!B:B, '00_TONG_HOP_BAO_GIA'!G:G, 1)</f>
        <v/>
      </c>
      <c r="I1554" s="5">
        <f>G1554*H1554</f>
        <v/>
      </c>
      <c r="J1554" s="2">
        <f>XLOOKUP(E1554, '06_BANG_GIA_VAT_TU_AP_DUNG'!B:B, '06_BANG_GIA_VAT_TU_AP_DUNG'!C:C, "LỖI_MÃ_VT")</f>
        <v/>
      </c>
      <c r="K1554" s="2">
        <f>I1554*J1554</f>
        <v/>
      </c>
      <c r="L1554" t="inlineStr">
        <is>
          <t>1 trục dài 210mm</t>
        </is>
      </c>
    </row>
    <row r="1555">
      <c r="A1555" t="inlineStr">
        <is>
          <t>SW-DAMPER-387-BEARING</t>
        </is>
      </c>
      <c r="B1555" t="inlineStr">
        <is>
          <t>SW-DAMPER-387</t>
        </is>
      </c>
      <c r="C1555" t="inlineStr">
        <is>
          <t>Bạc đồng D10</t>
        </is>
      </c>
      <c r="D1555" t="inlineStr">
        <is>
          <t>PHỤ_KIỆN_VAN</t>
        </is>
      </c>
      <c r="E1555" t="inlineStr">
        <is>
          <t>MAT-DAMPER-BAC-DONG-D10</t>
        </is>
      </c>
      <c r="F1555" t="inlineStr">
        <is>
          <t>Đôi</t>
        </is>
      </c>
      <c r="G1555" s="4" t="n">
        <v>1</v>
      </c>
      <c r="H1555" s="2">
        <f>XLOOKUP(B1555, '00_TONG_HOP_BAO_GIA'!B:B, '00_TONG_HOP_BAO_GIA'!G:G, 1)</f>
        <v/>
      </c>
      <c r="I1555" s="5">
        <f>G1555*H1555</f>
        <v/>
      </c>
      <c r="J1555" s="2">
        <f>XLOOKUP(E1555, '06_BANG_GIA_VAT_TU_AP_DUNG'!B:B, '06_BANG_GIA_VAT_TU_AP_DUNG'!C:C, "LỖI_MÃ_VT")</f>
        <v/>
      </c>
      <c r="K1555" s="2">
        <f>I1555*J1555</f>
        <v/>
      </c>
      <c r="L1555" t="inlineStr">
        <is>
          <t>1 đôi bạc đỡ 2 bên thân</t>
        </is>
      </c>
    </row>
    <row r="1556">
      <c r="A1556" t="inlineStr">
        <is>
          <t>SW-DAMPER-387-HANDLE</t>
        </is>
      </c>
      <c r="B1556" t="inlineStr">
        <is>
          <t>SW-DAMPER-387</t>
        </is>
      </c>
      <c r="C1556" t="inlineStr">
        <is>
          <t>Tay gạt nhỏ</t>
        </is>
      </c>
      <c r="D1556" t="inlineStr">
        <is>
          <t>PHỤ_KIỆN_VAN</t>
        </is>
      </c>
      <c r="E1556" t="inlineStr">
        <is>
          <t>MAT-DAMPER-TAY-GAT-NHO</t>
        </is>
      </c>
      <c r="F1556" t="inlineStr">
        <is>
          <t>Bộ</t>
        </is>
      </c>
      <c r="G1556" s="4" t="n">
        <v>1</v>
      </c>
      <c r="H1556" s="2">
        <f>XLOOKUP(B1556, '00_TONG_HOP_BAO_GIA'!B:B, '00_TONG_HOP_BAO_GIA'!G:G, 1)</f>
        <v/>
      </c>
      <c r="I1556" s="5">
        <f>G1556*H1556</f>
        <v/>
      </c>
      <c r="J1556" s="2">
        <f>XLOOKUP(E1556, '06_BANG_GIA_VAT_TU_AP_DUNG'!B:B, '06_BANG_GIA_VAT_TU_AP_DUNG'!C:C, "LỖI_MÃ_VT")</f>
        <v/>
      </c>
      <c r="K1556" s="2">
        <f>I1556*J1556</f>
        <v/>
      </c>
      <c r="L1556" t="inlineStr">
        <is>
          <t>Tay gạt khóa vị trí nan (S=0.02m2)</t>
        </is>
      </c>
    </row>
    <row r="1557">
      <c r="A1557" t="inlineStr">
        <is>
          <t>SW-DAMPER-388-BODY</t>
        </is>
      </c>
      <c r="B1557" t="inlineStr">
        <is>
          <t>SW-DAMPER-388</t>
        </is>
      </c>
      <c r="C1557" t="inlineStr">
        <is>
          <t>Thân vỏ van VCD bích TDF (0.75mm)</t>
        </is>
      </c>
      <c r="D1557" t="inlineStr">
        <is>
          <t>TÔN_CUỘN_MẠ_KẼM</t>
        </is>
      </c>
      <c r="E1557" t="inlineStr">
        <is>
          <t>MAT-STEEL-PN-0.75</t>
        </is>
      </c>
      <c r="F1557" t="inlineStr">
        <is>
          <t>kg</t>
        </is>
      </c>
      <c r="G1557" s="4" t="n">
        <v>1.107792</v>
      </c>
      <c r="H1557" s="2">
        <f>XLOOKUP(B1557, '00_TONG_HOP_BAO_GIA'!B:B, '00_TONG_HOP_BAO_GIA'!G:G, 1)</f>
        <v/>
      </c>
      <c r="I1557" s="5">
        <f>G1557*H1557</f>
        <v/>
      </c>
      <c r="J1557" s="2">
        <f>XLOOKUP(E1557, '06_BANG_GIA_VAT_TU_AP_DUNG'!B:B, '06_BANG_GIA_VAT_TU_AP_DUNG'!C:C, "LỖI_MÃ_VT")</f>
        <v/>
      </c>
      <c r="K1557" s="2">
        <f>I1557*J1557</f>
        <v/>
      </c>
      <c r="L1557" t="inlineStr">
        <is>
          <t>Kích thước vỏ 200.0x100.0x210mm</t>
        </is>
      </c>
    </row>
    <row r="1558">
      <c r="A1558" t="inlineStr">
        <is>
          <t>SW-DAMPER-388-BLADE</t>
        </is>
      </c>
      <c r="B1558" t="inlineStr">
        <is>
          <t>SW-DAMPER-388</t>
        </is>
      </c>
      <c r="C1558" t="inlineStr">
        <is>
          <t>Lá cánh van (1 cánh overlap)</t>
        </is>
      </c>
      <c r="D1558" t="inlineStr">
        <is>
          <t>TÔN_CUỘN_MẠ_KẼM</t>
        </is>
      </c>
      <c r="E1558" t="inlineStr">
        <is>
          <t>MAT-STEEL-PN-0.75</t>
        </is>
      </c>
      <c r="F1558" t="inlineStr">
        <is>
          <t>kg</t>
        </is>
      </c>
      <c r="G1558" s="4" t="n">
        <v>0.152604</v>
      </c>
      <c r="H1558" s="2">
        <f>XLOOKUP(B1558, '00_TONG_HOP_BAO_GIA'!B:B, '00_TONG_HOP_BAO_GIA'!G:G, 1)</f>
        <v/>
      </c>
      <c r="I1558" s="5">
        <f>G1558*H1558</f>
        <v/>
      </c>
      <c r="J1558" s="2">
        <f>XLOOKUP(E1558, '06_BANG_GIA_VAT_TU_AP_DUNG'!B:B, '06_BANG_GIA_VAT_TU_AP_DUNG'!C:C, "LỖI_MÃ_VT")</f>
        <v/>
      </c>
      <c r="K1558" s="2">
        <f>I1558*J1558</f>
        <v/>
      </c>
      <c r="L1558" t="inlineStr">
        <is>
          <t>1 cánh cao 120mm</t>
        </is>
      </c>
    </row>
    <row r="1559">
      <c r="A1559" t="inlineStr">
        <is>
          <t>SW-DAMPER-388-AXLE</t>
        </is>
      </c>
      <c r="B1559" t="inlineStr">
        <is>
          <t>SW-DAMPER-388</t>
        </is>
      </c>
      <c r="C1559" t="inlineStr">
        <is>
          <t>Trục Sus 201 D10</t>
        </is>
      </c>
      <c r="D1559" t="inlineStr">
        <is>
          <t>PHỤ_KIỆN_VAN</t>
        </is>
      </c>
      <c r="E1559" t="inlineStr">
        <is>
          <t>MAT-DAMPER-TRUC-SUS-201-D10</t>
        </is>
      </c>
      <c r="F1559" t="inlineStr">
        <is>
          <t>m</t>
        </is>
      </c>
      <c r="G1559" s="4" t="n">
        <v>0.26</v>
      </c>
      <c r="H1559" s="2">
        <f>XLOOKUP(B1559, '00_TONG_HOP_BAO_GIA'!B:B, '00_TONG_HOP_BAO_GIA'!G:G, 1)</f>
        <v/>
      </c>
      <c r="I1559" s="5">
        <f>G1559*H1559</f>
        <v/>
      </c>
      <c r="J1559" s="2">
        <f>XLOOKUP(E1559, '06_BANG_GIA_VAT_TU_AP_DUNG'!B:B, '06_BANG_GIA_VAT_TU_AP_DUNG'!C:C, "LỖI_MÃ_VT")</f>
        <v/>
      </c>
      <c r="K1559" s="2">
        <f>I1559*J1559</f>
        <v/>
      </c>
      <c r="L1559" t="inlineStr">
        <is>
          <t>1 trục dài 260mm</t>
        </is>
      </c>
    </row>
    <row r="1560">
      <c r="A1560" t="inlineStr">
        <is>
          <t>SW-DAMPER-388-BEARING</t>
        </is>
      </c>
      <c r="B1560" t="inlineStr">
        <is>
          <t>SW-DAMPER-388</t>
        </is>
      </c>
      <c r="C1560" t="inlineStr">
        <is>
          <t>Bạc đồng D10</t>
        </is>
      </c>
      <c r="D1560" t="inlineStr">
        <is>
          <t>PHỤ_KIỆN_VAN</t>
        </is>
      </c>
      <c r="E1560" t="inlineStr">
        <is>
          <t>MAT-DAMPER-BAC-DONG-D10</t>
        </is>
      </c>
      <c r="F1560" t="inlineStr">
        <is>
          <t>Đôi</t>
        </is>
      </c>
      <c r="G1560" s="4" t="n">
        <v>1</v>
      </c>
      <c r="H1560" s="2">
        <f>XLOOKUP(B1560, '00_TONG_HOP_BAO_GIA'!B:B, '00_TONG_HOP_BAO_GIA'!G:G, 1)</f>
        <v/>
      </c>
      <c r="I1560" s="5">
        <f>G1560*H1560</f>
        <v/>
      </c>
      <c r="J1560" s="2">
        <f>XLOOKUP(E1560, '06_BANG_GIA_VAT_TU_AP_DUNG'!B:B, '06_BANG_GIA_VAT_TU_AP_DUNG'!C:C, "LỖI_MÃ_VT")</f>
        <v/>
      </c>
      <c r="K1560" s="2">
        <f>I1560*J1560</f>
        <v/>
      </c>
      <c r="L1560" t="inlineStr">
        <is>
          <t>1 đôi bạc đỡ 2 bên thân</t>
        </is>
      </c>
    </row>
    <row r="1561">
      <c r="A1561" t="inlineStr">
        <is>
          <t>SW-DAMPER-388-HANDLE</t>
        </is>
      </c>
      <c r="B1561" t="inlineStr">
        <is>
          <t>SW-DAMPER-388</t>
        </is>
      </c>
      <c r="C1561" t="inlineStr">
        <is>
          <t>Tay gạt nhỏ</t>
        </is>
      </c>
      <c r="D1561" t="inlineStr">
        <is>
          <t>PHỤ_KIỆN_VAN</t>
        </is>
      </c>
      <c r="E1561" t="inlineStr">
        <is>
          <t>MAT-DAMPER-TAY-GAT-NHO</t>
        </is>
      </c>
      <c r="F1561" t="inlineStr">
        <is>
          <t>Bộ</t>
        </is>
      </c>
      <c r="G1561" s="4" t="n">
        <v>1</v>
      </c>
      <c r="H1561" s="2">
        <f>XLOOKUP(B1561, '00_TONG_HOP_BAO_GIA'!B:B, '00_TONG_HOP_BAO_GIA'!G:G, 1)</f>
        <v/>
      </c>
      <c r="I1561" s="5">
        <f>G1561*H1561</f>
        <v/>
      </c>
      <c r="J1561" s="2">
        <f>XLOOKUP(E1561, '06_BANG_GIA_VAT_TU_AP_DUNG'!B:B, '06_BANG_GIA_VAT_TU_AP_DUNG'!C:C, "LỖI_MÃ_VT")</f>
        <v/>
      </c>
      <c r="K1561" s="2">
        <f>I1561*J1561</f>
        <v/>
      </c>
      <c r="L1561" t="inlineStr">
        <is>
          <t>Tay gạt khóa vị trí nan (S=0.02m2)</t>
        </is>
      </c>
    </row>
    <row r="1562">
      <c r="A1562" t="inlineStr">
        <is>
          <t>SW-DAMPER-389-BODY</t>
        </is>
      </c>
      <c r="B1562" t="inlineStr">
        <is>
          <t>SW-DAMPER-389</t>
        </is>
      </c>
      <c r="C1562" t="inlineStr">
        <is>
          <t>Thân vỏ van VCD bích TDF (0.75mm)</t>
        </is>
      </c>
      <c r="D1562" t="inlineStr">
        <is>
          <t>TÔN_CUỘN_MẠ_KẼM</t>
        </is>
      </c>
      <c r="E1562" t="inlineStr">
        <is>
          <t>MAT-STEEL-PN-0.75</t>
        </is>
      </c>
      <c r="F1562" t="inlineStr">
        <is>
          <t>kg</t>
        </is>
      </c>
      <c r="G1562" s="4" t="n">
        <v>1.2808845</v>
      </c>
      <c r="H1562" s="2">
        <f>XLOOKUP(B1562, '00_TONG_HOP_BAO_GIA'!B:B, '00_TONG_HOP_BAO_GIA'!G:G, 1)</f>
        <v/>
      </c>
      <c r="I1562" s="5">
        <f>G1562*H1562</f>
        <v/>
      </c>
      <c r="J1562" s="2">
        <f>XLOOKUP(E1562, '06_BANG_GIA_VAT_TU_AP_DUNG'!B:B, '06_BANG_GIA_VAT_TU_AP_DUNG'!C:C, "LỖI_MÃ_VT")</f>
        <v/>
      </c>
      <c r="K1562" s="2">
        <f>I1562*J1562</f>
        <v/>
      </c>
      <c r="L1562" t="inlineStr">
        <is>
          <t>Kích thước vỏ 200.0x150.0x210mm</t>
        </is>
      </c>
    </row>
    <row r="1563">
      <c r="A1563" t="inlineStr">
        <is>
          <t>SW-DAMPER-389-BLADE</t>
        </is>
      </c>
      <c r="B1563" t="inlineStr">
        <is>
          <t>SW-DAMPER-389</t>
        </is>
      </c>
      <c r="C1563" t="inlineStr">
        <is>
          <t>Lá cánh van (1 cánh overlap)</t>
        </is>
      </c>
      <c r="D1563" t="inlineStr">
        <is>
          <t>TÔN_CUỘN_MẠ_KẼM</t>
        </is>
      </c>
      <c r="E1563" t="inlineStr">
        <is>
          <t>MAT-STEEL-PN-0.75</t>
        </is>
      </c>
      <c r="F1563" t="inlineStr">
        <is>
          <t>kg</t>
        </is>
      </c>
      <c r="G1563" s="4" t="n">
        <v>0.216189</v>
      </c>
      <c r="H1563" s="2">
        <f>XLOOKUP(B1563, '00_TONG_HOP_BAO_GIA'!B:B, '00_TONG_HOP_BAO_GIA'!G:G, 1)</f>
        <v/>
      </c>
      <c r="I1563" s="5">
        <f>G1563*H1563</f>
        <v/>
      </c>
      <c r="J1563" s="2">
        <f>XLOOKUP(E1563, '06_BANG_GIA_VAT_TU_AP_DUNG'!B:B, '06_BANG_GIA_VAT_TU_AP_DUNG'!C:C, "LỖI_MÃ_VT")</f>
        <v/>
      </c>
      <c r="K1563" s="2">
        <f>I1563*J1563</f>
        <v/>
      </c>
      <c r="L1563" t="inlineStr">
        <is>
          <t>1 cánh cao 170mm</t>
        </is>
      </c>
    </row>
    <row r="1564">
      <c r="A1564" t="inlineStr">
        <is>
          <t>SW-DAMPER-389-AXLE</t>
        </is>
      </c>
      <c r="B1564" t="inlineStr">
        <is>
          <t>SW-DAMPER-389</t>
        </is>
      </c>
      <c r="C1564" t="inlineStr">
        <is>
          <t>Trục Sus 201 D10</t>
        </is>
      </c>
      <c r="D1564" t="inlineStr">
        <is>
          <t>PHỤ_KIỆN_VAN</t>
        </is>
      </c>
      <c r="E1564" t="inlineStr">
        <is>
          <t>MAT-DAMPER-TRUC-SUS-201-D10</t>
        </is>
      </c>
      <c r="F1564" t="inlineStr">
        <is>
          <t>m</t>
        </is>
      </c>
      <c r="G1564" s="4" t="n">
        <v>0.26</v>
      </c>
      <c r="H1564" s="2">
        <f>XLOOKUP(B1564, '00_TONG_HOP_BAO_GIA'!B:B, '00_TONG_HOP_BAO_GIA'!G:G, 1)</f>
        <v/>
      </c>
      <c r="I1564" s="5">
        <f>G1564*H1564</f>
        <v/>
      </c>
      <c r="J1564" s="2">
        <f>XLOOKUP(E1564, '06_BANG_GIA_VAT_TU_AP_DUNG'!B:B, '06_BANG_GIA_VAT_TU_AP_DUNG'!C:C, "LỖI_MÃ_VT")</f>
        <v/>
      </c>
      <c r="K1564" s="2">
        <f>I1564*J1564</f>
        <v/>
      </c>
      <c r="L1564" t="inlineStr">
        <is>
          <t>1 trục dài 260mm</t>
        </is>
      </c>
    </row>
    <row r="1565">
      <c r="A1565" t="inlineStr">
        <is>
          <t>SW-DAMPER-389-BEARING</t>
        </is>
      </c>
      <c r="B1565" t="inlineStr">
        <is>
          <t>SW-DAMPER-389</t>
        </is>
      </c>
      <c r="C1565" t="inlineStr">
        <is>
          <t>Bạc đồng D10</t>
        </is>
      </c>
      <c r="D1565" t="inlineStr">
        <is>
          <t>PHỤ_KIỆN_VAN</t>
        </is>
      </c>
      <c r="E1565" t="inlineStr">
        <is>
          <t>MAT-DAMPER-BAC-DONG-D10</t>
        </is>
      </c>
      <c r="F1565" t="inlineStr">
        <is>
          <t>Đôi</t>
        </is>
      </c>
      <c r="G1565" s="4" t="n">
        <v>1</v>
      </c>
      <c r="H1565" s="2">
        <f>XLOOKUP(B1565, '00_TONG_HOP_BAO_GIA'!B:B, '00_TONG_HOP_BAO_GIA'!G:G, 1)</f>
        <v/>
      </c>
      <c r="I1565" s="5">
        <f>G1565*H1565</f>
        <v/>
      </c>
      <c r="J1565" s="2">
        <f>XLOOKUP(E1565, '06_BANG_GIA_VAT_TU_AP_DUNG'!B:B, '06_BANG_GIA_VAT_TU_AP_DUNG'!C:C, "LỖI_MÃ_VT")</f>
        <v/>
      </c>
      <c r="K1565" s="2">
        <f>I1565*J1565</f>
        <v/>
      </c>
      <c r="L1565" t="inlineStr">
        <is>
          <t>1 đôi bạc đỡ 2 bên thân</t>
        </is>
      </c>
    </row>
    <row r="1566">
      <c r="A1566" t="inlineStr">
        <is>
          <t>SW-DAMPER-389-HANDLE</t>
        </is>
      </c>
      <c r="B1566" t="inlineStr">
        <is>
          <t>SW-DAMPER-389</t>
        </is>
      </c>
      <c r="C1566" t="inlineStr">
        <is>
          <t>Tay gạt nhỏ</t>
        </is>
      </c>
      <c r="D1566" t="inlineStr">
        <is>
          <t>PHỤ_KIỆN_VAN</t>
        </is>
      </c>
      <c r="E1566" t="inlineStr">
        <is>
          <t>MAT-DAMPER-TAY-GAT-NHO</t>
        </is>
      </c>
      <c r="F1566" t="inlineStr">
        <is>
          <t>Bộ</t>
        </is>
      </c>
      <c r="G1566" s="4" t="n">
        <v>1</v>
      </c>
      <c r="H1566" s="2">
        <f>XLOOKUP(B1566, '00_TONG_HOP_BAO_GIA'!B:B, '00_TONG_HOP_BAO_GIA'!G:G, 1)</f>
        <v/>
      </c>
      <c r="I1566" s="5">
        <f>G1566*H1566</f>
        <v/>
      </c>
      <c r="J1566" s="2">
        <f>XLOOKUP(E1566, '06_BANG_GIA_VAT_TU_AP_DUNG'!B:B, '06_BANG_GIA_VAT_TU_AP_DUNG'!C:C, "LỖI_MÃ_VT")</f>
        <v/>
      </c>
      <c r="K1566" s="2">
        <f>I1566*J1566</f>
        <v/>
      </c>
      <c r="L1566" t="inlineStr">
        <is>
          <t>Tay gạt khóa vị trí nan (S=0.03m2)</t>
        </is>
      </c>
    </row>
    <row r="1567">
      <c r="A1567" t="inlineStr">
        <is>
          <t>SW-DAMPER-390-BODY</t>
        </is>
      </c>
      <c r="B1567" t="inlineStr">
        <is>
          <t>SW-DAMPER-390</t>
        </is>
      </c>
      <c r="C1567" t="inlineStr">
        <is>
          <t>Thân vỏ van VCD bích TDF (0.75mm)</t>
        </is>
      </c>
      <c r="D1567" t="inlineStr">
        <is>
          <t>TÔN_CUỘN_MẠ_KẼM</t>
        </is>
      </c>
      <c r="E1567" t="inlineStr">
        <is>
          <t>MAT-STEEL-PN-0.75</t>
        </is>
      </c>
      <c r="F1567" t="inlineStr">
        <is>
          <t>kg</t>
        </is>
      </c>
      <c r="G1567" s="4" t="n">
        <v>1.453977</v>
      </c>
      <c r="H1567" s="2">
        <f>XLOOKUP(B1567, '00_TONG_HOP_BAO_GIA'!B:B, '00_TONG_HOP_BAO_GIA'!G:G, 1)</f>
        <v/>
      </c>
      <c r="I1567" s="5">
        <f>G1567*H1567</f>
        <v/>
      </c>
      <c r="J1567" s="2">
        <f>XLOOKUP(E1567, '06_BANG_GIA_VAT_TU_AP_DUNG'!B:B, '06_BANG_GIA_VAT_TU_AP_DUNG'!C:C, "LỖI_MÃ_VT")</f>
        <v/>
      </c>
      <c r="K1567" s="2">
        <f>I1567*J1567</f>
        <v/>
      </c>
      <c r="L1567" t="inlineStr">
        <is>
          <t>Kích thước vỏ 200.0x200.0x210mm</t>
        </is>
      </c>
    </row>
    <row r="1568">
      <c r="A1568" t="inlineStr">
        <is>
          <t>SW-DAMPER-390-BLADE</t>
        </is>
      </c>
      <c r="B1568" t="inlineStr">
        <is>
          <t>SW-DAMPER-390</t>
        </is>
      </c>
      <c r="C1568" t="inlineStr">
        <is>
          <t>Lá cánh van (2 cánh overlap)</t>
        </is>
      </c>
      <c r="D1568" t="inlineStr">
        <is>
          <t>TÔN_CUỘN_MẠ_KẼM</t>
        </is>
      </c>
      <c r="E1568" t="inlineStr">
        <is>
          <t>MAT-STEEL-PN-0.75</t>
        </is>
      </c>
      <c r="F1568" t="inlineStr">
        <is>
          <t>kg</t>
        </is>
      </c>
      <c r="G1568" s="4" t="n">
        <v>0.305208</v>
      </c>
      <c r="H1568" s="2">
        <f>XLOOKUP(B1568, '00_TONG_HOP_BAO_GIA'!B:B, '00_TONG_HOP_BAO_GIA'!G:G, 1)</f>
        <v/>
      </c>
      <c r="I1568" s="5">
        <f>G1568*H1568</f>
        <v/>
      </c>
      <c r="J1568" s="2">
        <f>XLOOKUP(E1568, '06_BANG_GIA_VAT_TU_AP_DUNG'!B:B, '06_BANG_GIA_VAT_TU_AP_DUNG'!C:C, "LỖI_MÃ_VT")</f>
        <v/>
      </c>
      <c r="K1568" s="2">
        <f>I1568*J1568</f>
        <v/>
      </c>
      <c r="L1568" t="inlineStr">
        <is>
          <t>2 cánh cao 120mm</t>
        </is>
      </c>
    </row>
    <row r="1569">
      <c r="A1569" t="inlineStr">
        <is>
          <t>SW-DAMPER-390-AXLE</t>
        </is>
      </c>
      <c r="B1569" t="inlineStr">
        <is>
          <t>SW-DAMPER-390</t>
        </is>
      </c>
      <c r="C1569" t="inlineStr">
        <is>
          <t>Trục Sus 201 D10</t>
        </is>
      </c>
      <c r="D1569" t="inlineStr">
        <is>
          <t>PHỤ_KIỆN_VAN</t>
        </is>
      </c>
      <c r="E1569" t="inlineStr">
        <is>
          <t>MAT-DAMPER-TRUC-SUS-201-D10</t>
        </is>
      </c>
      <c r="F1569" t="inlineStr">
        <is>
          <t>m</t>
        </is>
      </c>
      <c r="G1569" s="4" t="n">
        <v>0.52</v>
      </c>
      <c r="H1569" s="2">
        <f>XLOOKUP(B1569, '00_TONG_HOP_BAO_GIA'!B:B, '00_TONG_HOP_BAO_GIA'!G:G, 1)</f>
        <v/>
      </c>
      <c r="I1569" s="5">
        <f>G1569*H1569</f>
        <v/>
      </c>
      <c r="J1569" s="2">
        <f>XLOOKUP(E1569, '06_BANG_GIA_VAT_TU_AP_DUNG'!B:B, '06_BANG_GIA_VAT_TU_AP_DUNG'!C:C, "LỖI_MÃ_VT")</f>
        <v/>
      </c>
      <c r="K1569" s="2">
        <f>I1569*J1569</f>
        <v/>
      </c>
      <c r="L1569" t="inlineStr">
        <is>
          <t>2 trục dài 260mm</t>
        </is>
      </c>
    </row>
    <row r="1570">
      <c r="A1570" t="inlineStr">
        <is>
          <t>SW-DAMPER-390-BEARING</t>
        </is>
      </c>
      <c r="B1570" t="inlineStr">
        <is>
          <t>SW-DAMPER-390</t>
        </is>
      </c>
      <c r="C1570" t="inlineStr">
        <is>
          <t>Bạc đồng D10</t>
        </is>
      </c>
      <c r="D1570" t="inlineStr">
        <is>
          <t>PHỤ_KIỆN_VAN</t>
        </is>
      </c>
      <c r="E1570" t="inlineStr">
        <is>
          <t>MAT-DAMPER-BAC-DONG-D10</t>
        </is>
      </c>
      <c r="F1570" t="inlineStr">
        <is>
          <t>Đôi</t>
        </is>
      </c>
      <c r="G1570" s="4" t="n">
        <v>2</v>
      </c>
      <c r="H1570" s="2">
        <f>XLOOKUP(B1570, '00_TONG_HOP_BAO_GIA'!B:B, '00_TONG_HOP_BAO_GIA'!G:G, 1)</f>
        <v/>
      </c>
      <c r="I1570" s="5">
        <f>G1570*H1570</f>
        <v/>
      </c>
      <c r="J1570" s="2">
        <f>XLOOKUP(E1570, '06_BANG_GIA_VAT_TU_AP_DUNG'!B:B, '06_BANG_GIA_VAT_TU_AP_DUNG'!C:C, "LỖI_MÃ_VT")</f>
        <v/>
      </c>
      <c r="K1570" s="2">
        <f>I1570*J1570</f>
        <v/>
      </c>
      <c r="L1570" t="inlineStr">
        <is>
          <t>2 đôi bạc đỡ 2 bên thân</t>
        </is>
      </c>
    </row>
    <row r="1571">
      <c r="A1571" t="inlineStr">
        <is>
          <t>SW-DAMPER-390-GEAR</t>
        </is>
      </c>
      <c r="B1571" t="inlineStr">
        <is>
          <t>SW-DAMPER-390</t>
        </is>
      </c>
      <c r="C1571" t="inlineStr">
        <is>
          <t>Bánh răng van nhôm</t>
        </is>
      </c>
      <c r="D1571" t="inlineStr">
        <is>
          <t>PHỤ_KIỆN_VAN</t>
        </is>
      </c>
      <c r="E1571" t="inlineStr">
        <is>
          <t>MAT-DAMPER-BANH-RANG-VAN-NHOM</t>
        </is>
      </c>
      <c r="F1571" t="inlineStr">
        <is>
          <t>Bộ</t>
        </is>
      </c>
      <c r="G1571" s="4" t="n">
        <v>1</v>
      </c>
      <c r="H1571" s="2">
        <f>XLOOKUP(B1571, '00_TONG_HOP_BAO_GIA'!B:B, '00_TONG_HOP_BAO_GIA'!G:G, 1)</f>
        <v/>
      </c>
      <c r="I1571" s="5">
        <f>G1571*H1571</f>
        <v/>
      </c>
      <c r="J1571" s="2">
        <f>XLOOKUP(E1571, '06_BANG_GIA_VAT_TU_AP_DUNG'!B:B, '06_BANG_GIA_VAT_TU_AP_DUNG'!C:C, "LỖI_MÃ_VT")</f>
        <v/>
      </c>
      <c r="K1571" s="2">
        <f>I1571*J1571</f>
        <v/>
      </c>
      <c r="L1571" t="inlineStr">
        <is>
          <t>Cơ cấu liên động bánh răng van</t>
        </is>
      </c>
    </row>
    <row r="1572">
      <c r="A1572" t="inlineStr">
        <is>
          <t>SW-DAMPER-390-HANDLE</t>
        </is>
      </c>
      <c r="B1572" t="inlineStr">
        <is>
          <t>SW-DAMPER-390</t>
        </is>
      </c>
      <c r="C1572" t="inlineStr">
        <is>
          <t>Tay gạt nhỏ</t>
        </is>
      </c>
      <c r="D1572" t="inlineStr">
        <is>
          <t>PHỤ_KIỆN_VAN</t>
        </is>
      </c>
      <c r="E1572" t="inlineStr">
        <is>
          <t>MAT-DAMPER-TAY-GAT-NHO</t>
        </is>
      </c>
      <c r="F1572" t="inlineStr">
        <is>
          <t>Bộ</t>
        </is>
      </c>
      <c r="G1572" s="4" t="n">
        <v>1</v>
      </c>
      <c r="H1572" s="2">
        <f>XLOOKUP(B1572, '00_TONG_HOP_BAO_GIA'!B:B, '00_TONG_HOP_BAO_GIA'!G:G, 1)</f>
        <v/>
      </c>
      <c r="I1572" s="5">
        <f>G1572*H1572</f>
        <v/>
      </c>
      <c r="J1572" s="2">
        <f>XLOOKUP(E1572, '06_BANG_GIA_VAT_TU_AP_DUNG'!B:B, '06_BANG_GIA_VAT_TU_AP_DUNG'!C:C, "LỖI_MÃ_VT")</f>
        <v/>
      </c>
      <c r="K1572" s="2">
        <f>I1572*J1572</f>
        <v/>
      </c>
      <c r="L1572" t="inlineStr">
        <is>
          <t>Tay gạt khóa vị trí nan (S=0.04m2)</t>
        </is>
      </c>
    </row>
    <row r="1573">
      <c r="A1573" t="inlineStr">
        <is>
          <t>SW-DAMPER-391-BODY</t>
        </is>
      </c>
      <c r="B1573" t="inlineStr">
        <is>
          <t>SW-DAMPER-391</t>
        </is>
      </c>
      <c r="C1573" t="inlineStr">
        <is>
          <t>Thân vỏ van VCD bích TDF (0.75mm)</t>
        </is>
      </c>
      <c r="D1573" t="inlineStr">
        <is>
          <t>TÔN_CUỘN_MẠ_KẼM</t>
        </is>
      </c>
      <c r="E1573" t="inlineStr">
        <is>
          <t>MAT-STEEL-PN-0.75</t>
        </is>
      </c>
      <c r="F1573" t="inlineStr">
        <is>
          <t>kg</t>
        </is>
      </c>
      <c r="G1573" s="4" t="n">
        <v>1.453977</v>
      </c>
      <c r="H1573" s="2">
        <f>XLOOKUP(B1573, '00_TONG_HOP_BAO_GIA'!B:B, '00_TONG_HOP_BAO_GIA'!G:G, 1)</f>
        <v/>
      </c>
      <c r="I1573" s="5">
        <f>G1573*H1573</f>
        <v/>
      </c>
      <c r="J1573" s="2">
        <f>XLOOKUP(E1573, '06_BANG_GIA_VAT_TU_AP_DUNG'!B:B, '06_BANG_GIA_VAT_TU_AP_DUNG'!C:C, "LỖI_MÃ_VT")</f>
        <v/>
      </c>
      <c r="K1573" s="2">
        <f>I1573*J1573</f>
        <v/>
      </c>
      <c r="L1573" t="inlineStr">
        <is>
          <t>Kích thước vỏ 250.0x150.0x210mm</t>
        </is>
      </c>
    </row>
    <row r="1574">
      <c r="A1574" t="inlineStr">
        <is>
          <t>SW-DAMPER-391-BLADE</t>
        </is>
      </c>
      <c r="B1574" t="inlineStr">
        <is>
          <t>SW-DAMPER-391</t>
        </is>
      </c>
      <c r="C1574" t="inlineStr">
        <is>
          <t>Lá cánh van (1 cánh overlap)</t>
        </is>
      </c>
      <c r="D1574" t="inlineStr">
        <is>
          <t>TÔN_CUỘN_MẠ_KẼM</t>
        </is>
      </c>
      <c r="E1574" t="inlineStr">
        <is>
          <t>MAT-STEEL-PN-0.75</t>
        </is>
      </c>
      <c r="F1574" t="inlineStr">
        <is>
          <t>kg</t>
        </is>
      </c>
      <c r="G1574" s="4" t="n">
        <v>0.27023625</v>
      </c>
      <c r="H1574" s="2">
        <f>XLOOKUP(B1574, '00_TONG_HOP_BAO_GIA'!B:B, '00_TONG_HOP_BAO_GIA'!G:G, 1)</f>
        <v/>
      </c>
      <c r="I1574" s="5">
        <f>G1574*H1574</f>
        <v/>
      </c>
      <c r="J1574" s="2">
        <f>XLOOKUP(E1574, '06_BANG_GIA_VAT_TU_AP_DUNG'!B:B, '06_BANG_GIA_VAT_TU_AP_DUNG'!C:C, "LỖI_MÃ_VT")</f>
        <v/>
      </c>
      <c r="K1574" s="2">
        <f>I1574*J1574</f>
        <v/>
      </c>
      <c r="L1574" t="inlineStr">
        <is>
          <t>1 cánh cao 170mm</t>
        </is>
      </c>
    </row>
    <row r="1575">
      <c r="A1575" t="inlineStr">
        <is>
          <t>SW-DAMPER-391-AXLE</t>
        </is>
      </c>
      <c r="B1575" t="inlineStr">
        <is>
          <t>SW-DAMPER-391</t>
        </is>
      </c>
      <c r="C1575" t="inlineStr">
        <is>
          <t>Trục Sus 201 D10</t>
        </is>
      </c>
      <c r="D1575" t="inlineStr">
        <is>
          <t>PHỤ_KIỆN_VAN</t>
        </is>
      </c>
      <c r="E1575" t="inlineStr">
        <is>
          <t>MAT-DAMPER-TRUC-SUS-201-D10</t>
        </is>
      </c>
      <c r="F1575" t="inlineStr">
        <is>
          <t>m</t>
        </is>
      </c>
      <c r="G1575" s="4" t="n">
        <v>0.31</v>
      </c>
      <c r="H1575" s="2">
        <f>XLOOKUP(B1575, '00_TONG_HOP_BAO_GIA'!B:B, '00_TONG_HOP_BAO_GIA'!G:G, 1)</f>
        <v/>
      </c>
      <c r="I1575" s="5">
        <f>G1575*H1575</f>
        <v/>
      </c>
      <c r="J1575" s="2">
        <f>XLOOKUP(E1575, '06_BANG_GIA_VAT_TU_AP_DUNG'!B:B, '06_BANG_GIA_VAT_TU_AP_DUNG'!C:C, "LỖI_MÃ_VT")</f>
        <v/>
      </c>
      <c r="K1575" s="2">
        <f>I1575*J1575</f>
        <v/>
      </c>
      <c r="L1575" t="inlineStr">
        <is>
          <t>1 trục dài 310mm</t>
        </is>
      </c>
    </row>
    <row r="1576">
      <c r="A1576" t="inlineStr">
        <is>
          <t>SW-DAMPER-391-BEARING</t>
        </is>
      </c>
      <c r="B1576" t="inlineStr">
        <is>
          <t>SW-DAMPER-391</t>
        </is>
      </c>
      <c r="C1576" t="inlineStr">
        <is>
          <t>Bạc đồng D10</t>
        </is>
      </c>
      <c r="D1576" t="inlineStr">
        <is>
          <t>PHỤ_KIỆN_VAN</t>
        </is>
      </c>
      <c r="E1576" t="inlineStr">
        <is>
          <t>MAT-DAMPER-BAC-DONG-D10</t>
        </is>
      </c>
      <c r="F1576" t="inlineStr">
        <is>
          <t>Đôi</t>
        </is>
      </c>
      <c r="G1576" s="4" t="n">
        <v>1</v>
      </c>
      <c r="H1576" s="2">
        <f>XLOOKUP(B1576, '00_TONG_HOP_BAO_GIA'!B:B, '00_TONG_HOP_BAO_GIA'!G:G, 1)</f>
        <v/>
      </c>
      <c r="I1576" s="5">
        <f>G1576*H1576</f>
        <v/>
      </c>
      <c r="J1576" s="2">
        <f>XLOOKUP(E1576, '06_BANG_GIA_VAT_TU_AP_DUNG'!B:B, '06_BANG_GIA_VAT_TU_AP_DUNG'!C:C, "LỖI_MÃ_VT")</f>
        <v/>
      </c>
      <c r="K1576" s="2">
        <f>I1576*J1576</f>
        <v/>
      </c>
      <c r="L1576" t="inlineStr">
        <is>
          <t>1 đôi bạc đỡ 2 bên thân</t>
        </is>
      </c>
    </row>
    <row r="1577">
      <c r="A1577" t="inlineStr">
        <is>
          <t>SW-DAMPER-391-HANDLE</t>
        </is>
      </c>
      <c r="B1577" t="inlineStr">
        <is>
          <t>SW-DAMPER-391</t>
        </is>
      </c>
      <c r="C1577" t="inlineStr">
        <is>
          <t>Tay gạt nhỏ</t>
        </is>
      </c>
      <c r="D1577" t="inlineStr">
        <is>
          <t>PHỤ_KIỆN_VAN</t>
        </is>
      </c>
      <c r="E1577" t="inlineStr">
        <is>
          <t>MAT-DAMPER-TAY-GAT-NHO</t>
        </is>
      </c>
      <c r="F1577" t="inlineStr">
        <is>
          <t>Bộ</t>
        </is>
      </c>
      <c r="G1577" s="4" t="n">
        <v>1</v>
      </c>
      <c r="H1577" s="2">
        <f>XLOOKUP(B1577, '00_TONG_HOP_BAO_GIA'!B:B, '00_TONG_HOP_BAO_GIA'!G:G, 1)</f>
        <v/>
      </c>
      <c r="I1577" s="5">
        <f>G1577*H1577</f>
        <v/>
      </c>
      <c r="J1577" s="2">
        <f>XLOOKUP(E1577, '06_BANG_GIA_VAT_TU_AP_DUNG'!B:B, '06_BANG_GIA_VAT_TU_AP_DUNG'!C:C, "LỖI_MÃ_VT")</f>
        <v/>
      </c>
      <c r="K1577" s="2">
        <f>I1577*J1577</f>
        <v/>
      </c>
      <c r="L1577" t="inlineStr">
        <is>
          <t>Tay gạt khóa vị trí nan (S=0.04m2)</t>
        </is>
      </c>
    </row>
    <row r="1578">
      <c r="A1578" t="inlineStr">
        <is>
          <t>SW-DAMPER-392-BODY</t>
        </is>
      </c>
      <c r="B1578" t="inlineStr">
        <is>
          <t>SW-DAMPER-392</t>
        </is>
      </c>
      <c r="C1578" t="inlineStr">
        <is>
          <t>Thân vỏ van VCD bích TDF (0.75mm)</t>
        </is>
      </c>
      <c r="D1578" t="inlineStr">
        <is>
          <t>TÔN_CUỘN_MẠ_KẼM</t>
        </is>
      </c>
      <c r="E1578" t="inlineStr">
        <is>
          <t>MAT-STEEL-PN-0.75</t>
        </is>
      </c>
      <c r="F1578" t="inlineStr">
        <is>
          <t>kg</t>
        </is>
      </c>
      <c r="G1578" s="4" t="n">
        <v>1.6270695</v>
      </c>
      <c r="H1578" s="2">
        <f>XLOOKUP(B1578, '00_TONG_HOP_BAO_GIA'!B:B, '00_TONG_HOP_BAO_GIA'!G:G, 1)</f>
        <v/>
      </c>
      <c r="I1578" s="5">
        <f>G1578*H1578</f>
        <v/>
      </c>
      <c r="J1578" s="2">
        <f>XLOOKUP(E1578, '06_BANG_GIA_VAT_TU_AP_DUNG'!B:B, '06_BANG_GIA_VAT_TU_AP_DUNG'!C:C, "LỖI_MÃ_VT")</f>
        <v/>
      </c>
      <c r="K1578" s="2">
        <f>I1578*J1578</f>
        <v/>
      </c>
      <c r="L1578" t="inlineStr">
        <is>
          <t>Kích thước vỏ 250.0x200.0x210mm</t>
        </is>
      </c>
    </row>
    <row r="1579">
      <c r="A1579" t="inlineStr">
        <is>
          <t>SW-DAMPER-392-BLADE</t>
        </is>
      </c>
      <c r="B1579" t="inlineStr">
        <is>
          <t>SW-DAMPER-392</t>
        </is>
      </c>
      <c r="C1579" t="inlineStr">
        <is>
          <t>Lá cánh van (2 cánh overlap)</t>
        </is>
      </c>
      <c r="D1579" t="inlineStr">
        <is>
          <t>TÔN_CUỘN_MẠ_KẼM</t>
        </is>
      </c>
      <c r="E1579" t="inlineStr">
        <is>
          <t>MAT-STEEL-PN-0.75</t>
        </is>
      </c>
      <c r="F1579" t="inlineStr">
        <is>
          <t>kg</t>
        </is>
      </c>
      <c r="G1579" s="4" t="n">
        <v>0.38151</v>
      </c>
      <c r="H1579" s="2">
        <f>XLOOKUP(B1579, '00_TONG_HOP_BAO_GIA'!B:B, '00_TONG_HOP_BAO_GIA'!G:G, 1)</f>
        <v/>
      </c>
      <c r="I1579" s="5">
        <f>G1579*H1579</f>
        <v/>
      </c>
      <c r="J1579" s="2">
        <f>XLOOKUP(E1579, '06_BANG_GIA_VAT_TU_AP_DUNG'!B:B, '06_BANG_GIA_VAT_TU_AP_DUNG'!C:C, "LỖI_MÃ_VT")</f>
        <v/>
      </c>
      <c r="K1579" s="2">
        <f>I1579*J1579</f>
        <v/>
      </c>
      <c r="L1579" t="inlineStr">
        <is>
          <t>2 cánh cao 120mm</t>
        </is>
      </c>
    </row>
    <row r="1580">
      <c r="A1580" t="inlineStr">
        <is>
          <t>SW-DAMPER-392-AXLE</t>
        </is>
      </c>
      <c r="B1580" t="inlineStr">
        <is>
          <t>SW-DAMPER-392</t>
        </is>
      </c>
      <c r="C1580" t="inlineStr">
        <is>
          <t>Trục Sus 201 D10</t>
        </is>
      </c>
      <c r="D1580" t="inlineStr">
        <is>
          <t>PHỤ_KIỆN_VAN</t>
        </is>
      </c>
      <c r="E1580" t="inlineStr">
        <is>
          <t>MAT-DAMPER-TRUC-SUS-201-D10</t>
        </is>
      </c>
      <c r="F1580" t="inlineStr">
        <is>
          <t>m</t>
        </is>
      </c>
      <c r="G1580" s="4" t="n">
        <v>0.62</v>
      </c>
      <c r="H1580" s="2">
        <f>XLOOKUP(B1580, '00_TONG_HOP_BAO_GIA'!B:B, '00_TONG_HOP_BAO_GIA'!G:G, 1)</f>
        <v/>
      </c>
      <c r="I1580" s="5">
        <f>G1580*H1580</f>
        <v/>
      </c>
      <c r="J1580" s="2">
        <f>XLOOKUP(E1580, '06_BANG_GIA_VAT_TU_AP_DUNG'!B:B, '06_BANG_GIA_VAT_TU_AP_DUNG'!C:C, "LỖI_MÃ_VT")</f>
        <v/>
      </c>
      <c r="K1580" s="2">
        <f>I1580*J1580</f>
        <v/>
      </c>
      <c r="L1580" t="inlineStr">
        <is>
          <t>2 trục dài 310mm</t>
        </is>
      </c>
    </row>
    <row r="1581">
      <c r="A1581" t="inlineStr">
        <is>
          <t>SW-DAMPER-392-BEARING</t>
        </is>
      </c>
      <c r="B1581" t="inlineStr">
        <is>
          <t>SW-DAMPER-392</t>
        </is>
      </c>
      <c r="C1581" t="inlineStr">
        <is>
          <t>Bạc đồng D10</t>
        </is>
      </c>
      <c r="D1581" t="inlineStr">
        <is>
          <t>PHỤ_KIỆN_VAN</t>
        </is>
      </c>
      <c r="E1581" t="inlineStr">
        <is>
          <t>MAT-DAMPER-BAC-DONG-D10</t>
        </is>
      </c>
      <c r="F1581" t="inlineStr">
        <is>
          <t>Đôi</t>
        </is>
      </c>
      <c r="G1581" s="4" t="n">
        <v>2</v>
      </c>
      <c r="H1581" s="2">
        <f>XLOOKUP(B1581, '00_TONG_HOP_BAO_GIA'!B:B, '00_TONG_HOP_BAO_GIA'!G:G, 1)</f>
        <v/>
      </c>
      <c r="I1581" s="5">
        <f>G1581*H1581</f>
        <v/>
      </c>
      <c r="J1581" s="2">
        <f>XLOOKUP(E1581, '06_BANG_GIA_VAT_TU_AP_DUNG'!B:B, '06_BANG_GIA_VAT_TU_AP_DUNG'!C:C, "LỖI_MÃ_VT")</f>
        <v/>
      </c>
      <c r="K1581" s="2">
        <f>I1581*J1581</f>
        <v/>
      </c>
      <c r="L1581" t="inlineStr">
        <is>
          <t>2 đôi bạc đỡ 2 bên thân</t>
        </is>
      </c>
    </row>
    <row r="1582">
      <c r="A1582" t="inlineStr">
        <is>
          <t>SW-DAMPER-392-GEAR</t>
        </is>
      </c>
      <c r="B1582" t="inlineStr">
        <is>
          <t>SW-DAMPER-392</t>
        </is>
      </c>
      <c r="C1582" t="inlineStr">
        <is>
          <t>Bánh răng van nhôm</t>
        </is>
      </c>
      <c r="D1582" t="inlineStr">
        <is>
          <t>PHỤ_KIỆN_VAN</t>
        </is>
      </c>
      <c r="E1582" t="inlineStr">
        <is>
          <t>MAT-DAMPER-BANH-RANG-VAN-NHOM</t>
        </is>
      </c>
      <c r="F1582" t="inlineStr">
        <is>
          <t>Bộ</t>
        </is>
      </c>
      <c r="G1582" s="4" t="n">
        <v>1</v>
      </c>
      <c r="H1582" s="2">
        <f>XLOOKUP(B1582, '00_TONG_HOP_BAO_GIA'!B:B, '00_TONG_HOP_BAO_GIA'!G:G, 1)</f>
        <v/>
      </c>
      <c r="I1582" s="5">
        <f>G1582*H1582</f>
        <v/>
      </c>
      <c r="J1582" s="2">
        <f>XLOOKUP(E1582, '06_BANG_GIA_VAT_TU_AP_DUNG'!B:B, '06_BANG_GIA_VAT_TU_AP_DUNG'!C:C, "LỖI_MÃ_VT")</f>
        <v/>
      </c>
      <c r="K1582" s="2">
        <f>I1582*J1582</f>
        <v/>
      </c>
      <c r="L1582" t="inlineStr">
        <is>
          <t>Cơ cấu liên động bánh răng van</t>
        </is>
      </c>
    </row>
    <row r="1583">
      <c r="A1583" t="inlineStr">
        <is>
          <t>SW-DAMPER-392-HANDLE</t>
        </is>
      </c>
      <c r="B1583" t="inlineStr">
        <is>
          <t>SW-DAMPER-392</t>
        </is>
      </c>
      <c r="C1583" t="inlineStr">
        <is>
          <t>Tay gạt nhỏ</t>
        </is>
      </c>
      <c r="D1583" t="inlineStr">
        <is>
          <t>PHỤ_KIỆN_VAN</t>
        </is>
      </c>
      <c r="E1583" t="inlineStr">
        <is>
          <t>MAT-DAMPER-TAY-GAT-NHO</t>
        </is>
      </c>
      <c r="F1583" t="inlineStr">
        <is>
          <t>Bộ</t>
        </is>
      </c>
      <c r="G1583" s="4" t="n">
        <v>1</v>
      </c>
      <c r="H1583" s="2">
        <f>XLOOKUP(B1583, '00_TONG_HOP_BAO_GIA'!B:B, '00_TONG_HOP_BAO_GIA'!G:G, 1)</f>
        <v/>
      </c>
      <c r="I1583" s="5">
        <f>G1583*H1583</f>
        <v/>
      </c>
      <c r="J1583" s="2">
        <f>XLOOKUP(E1583, '06_BANG_GIA_VAT_TU_AP_DUNG'!B:B, '06_BANG_GIA_VAT_TU_AP_DUNG'!C:C, "LỖI_MÃ_VT")</f>
        <v/>
      </c>
      <c r="K1583" s="2">
        <f>I1583*J1583</f>
        <v/>
      </c>
      <c r="L1583" t="inlineStr">
        <is>
          <t>Tay gạt khóa vị trí nan (S=0.05m2)</t>
        </is>
      </c>
    </row>
    <row r="1584">
      <c r="A1584" t="inlineStr">
        <is>
          <t>SW-DAMPER-393-BODY</t>
        </is>
      </c>
      <c r="B1584" t="inlineStr">
        <is>
          <t>SW-DAMPER-393</t>
        </is>
      </c>
      <c r="C1584" t="inlineStr">
        <is>
          <t>Thân vỏ van VCD bích TDF (0.75mm)</t>
        </is>
      </c>
      <c r="D1584" t="inlineStr">
        <is>
          <t>TÔN_CUỘN_MẠ_KẼM</t>
        </is>
      </c>
      <c r="E1584" t="inlineStr">
        <is>
          <t>MAT-STEEL-PN-0.75</t>
        </is>
      </c>
      <c r="F1584" t="inlineStr">
        <is>
          <t>kg</t>
        </is>
      </c>
      <c r="G1584" s="4" t="n">
        <v>1.800162</v>
      </c>
      <c r="H1584" s="2">
        <f>XLOOKUP(B1584, '00_TONG_HOP_BAO_GIA'!B:B, '00_TONG_HOP_BAO_GIA'!G:G, 1)</f>
        <v/>
      </c>
      <c r="I1584" s="5">
        <f>G1584*H1584</f>
        <v/>
      </c>
      <c r="J1584" s="2">
        <f>XLOOKUP(E1584, '06_BANG_GIA_VAT_TU_AP_DUNG'!B:B, '06_BANG_GIA_VAT_TU_AP_DUNG'!C:C, "LỖI_MÃ_VT")</f>
        <v/>
      </c>
      <c r="K1584" s="2">
        <f>I1584*J1584</f>
        <v/>
      </c>
      <c r="L1584" t="inlineStr">
        <is>
          <t>Kích thước vỏ 300.0x200.0x210mm</t>
        </is>
      </c>
    </row>
    <row r="1585">
      <c r="A1585" t="inlineStr">
        <is>
          <t>SW-DAMPER-393-BLADE</t>
        </is>
      </c>
      <c r="B1585" t="inlineStr">
        <is>
          <t>SW-DAMPER-393</t>
        </is>
      </c>
      <c r="C1585" t="inlineStr">
        <is>
          <t>Lá cánh van (2 cánh overlap)</t>
        </is>
      </c>
      <c r="D1585" t="inlineStr">
        <is>
          <t>TÔN_CUỘN_MẠ_KẼM</t>
        </is>
      </c>
      <c r="E1585" t="inlineStr">
        <is>
          <t>MAT-STEEL-PN-0.75</t>
        </is>
      </c>
      <c r="F1585" t="inlineStr">
        <is>
          <t>kg</t>
        </is>
      </c>
      <c r="G1585" s="4" t="n">
        <v>0.4578119999999999</v>
      </c>
      <c r="H1585" s="2">
        <f>XLOOKUP(B1585, '00_TONG_HOP_BAO_GIA'!B:B, '00_TONG_HOP_BAO_GIA'!G:G, 1)</f>
        <v/>
      </c>
      <c r="I1585" s="5">
        <f>G1585*H1585</f>
        <v/>
      </c>
      <c r="J1585" s="2">
        <f>XLOOKUP(E1585, '06_BANG_GIA_VAT_TU_AP_DUNG'!B:B, '06_BANG_GIA_VAT_TU_AP_DUNG'!C:C, "LỖI_MÃ_VT")</f>
        <v/>
      </c>
      <c r="K1585" s="2">
        <f>I1585*J1585</f>
        <v/>
      </c>
      <c r="L1585" t="inlineStr">
        <is>
          <t>2 cánh cao 120mm</t>
        </is>
      </c>
    </row>
    <row r="1586">
      <c r="A1586" t="inlineStr">
        <is>
          <t>SW-DAMPER-393-AXLE</t>
        </is>
      </c>
      <c r="B1586" t="inlineStr">
        <is>
          <t>SW-DAMPER-393</t>
        </is>
      </c>
      <c r="C1586" t="inlineStr">
        <is>
          <t>Trục Sus 201 D10</t>
        </is>
      </c>
      <c r="D1586" t="inlineStr">
        <is>
          <t>PHỤ_KIỆN_VAN</t>
        </is>
      </c>
      <c r="E1586" t="inlineStr">
        <is>
          <t>MAT-DAMPER-TRUC-SUS-201-D10</t>
        </is>
      </c>
      <c r="F1586" t="inlineStr">
        <is>
          <t>m</t>
        </is>
      </c>
      <c r="G1586" s="4" t="n">
        <v>0.72</v>
      </c>
      <c r="H1586" s="2">
        <f>XLOOKUP(B1586, '00_TONG_HOP_BAO_GIA'!B:B, '00_TONG_HOP_BAO_GIA'!G:G, 1)</f>
        <v/>
      </c>
      <c r="I1586" s="5">
        <f>G1586*H1586</f>
        <v/>
      </c>
      <c r="J1586" s="2">
        <f>XLOOKUP(E1586, '06_BANG_GIA_VAT_TU_AP_DUNG'!B:B, '06_BANG_GIA_VAT_TU_AP_DUNG'!C:C, "LỖI_MÃ_VT")</f>
        <v/>
      </c>
      <c r="K1586" s="2">
        <f>I1586*J1586</f>
        <v/>
      </c>
      <c r="L1586" t="inlineStr">
        <is>
          <t>2 trục dài 360mm</t>
        </is>
      </c>
    </row>
    <row r="1587">
      <c r="A1587" t="inlineStr">
        <is>
          <t>SW-DAMPER-393-BEARING</t>
        </is>
      </c>
      <c r="B1587" t="inlineStr">
        <is>
          <t>SW-DAMPER-393</t>
        </is>
      </c>
      <c r="C1587" t="inlineStr">
        <is>
          <t>Bạc đồng D10</t>
        </is>
      </c>
      <c r="D1587" t="inlineStr">
        <is>
          <t>PHỤ_KIỆN_VAN</t>
        </is>
      </c>
      <c r="E1587" t="inlineStr">
        <is>
          <t>MAT-DAMPER-BAC-DONG-D10</t>
        </is>
      </c>
      <c r="F1587" t="inlineStr">
        <is>
          <t>Đôi</t>
        </is>
      </c>
      <c r="G1587" s="4" t="n">
        <v>2</v>
      </c>
      <c r="H1587" s="2">
        <f>XLOOKUP(B1587, '00_TONG_HOP_BAO_GIA'!B:B, '00_TONG_HOP_BAO_GIA'!G:G, 1)</f>
        <v/>
      </c>
      <c r="I1587" s="5">
        <f>G1587*H1587</f>
        <v/>
      </c>
      <c r="J1587" s="2">
        <f>XLOOKUP(E1587, '06_BANG_GIA_VAT_TU_AP_DUNG'!B:B, '06_BANG_GIA_VAT_TU_AP_DUNG'!C:C, "LỖI_MÃ_VT")</f>
        <v/>
      </c>
      <c r="K1587" s="2">
        <f>I1587*J1587</f>
        <v/>
      </c>
      <c r="L1587" t="inlineStr">
        <is>
          <t>2 đôi bạc đỡ 2 bên thân</t>
        </is>
      </c>
    </row>
    <row r="1588">
      <c r="A1588" t="inlineStr">
        <is>
          <t>SW-DAMPER-393-GEAR</t>
        </is>
      </c>
      <c r="B1588" t="inlineStr">
        <is>
          <t>SW-DAMPER-393</t>
        </is>
      </c>
      <c r="C1588" t="inlineStr">
        <is>
          <t>Bánh răng van nhôm</t>
        </is>
      </c>
      <c r="D1588" t="inlineStr">
        <is>
          <t>PHỤ_KIỆN_VAN</t>
        </is>
      </c>
      <c r="E1588" t="inlineStr">
        <is>
          <t>MAT-DAMPER-BANH-RANG-VAN-NHOM</t>
        </is>
      </c>
      <c r="F1588" t="inlineStr">
        <is>
          <t>Bộ</t>
        </is>
      </c>
      <c r="G1588" s="4" t="n">
        <v>1</v>
      </c>
      <c r="H1588" s="2">
        <f>XLOOKUP(B1588, '00_TONG_HOP_BAO_GIA'!B:B, '00_TONG_HOP_BAO_GIA'!G:G, 1)</f>
        <v/>
      </c>
      <c r="I1588" s="5">
        <f>G1588*H1588</f>
        <v/>
      </c>
      <c r="J1588" s="2">
        <f>XLOOKUP(E1588, '06_BANG_GIA_VAT_TU_AP_DUNG'!B:B, '06_BANG_GIA_VAT_TU_AP_DUNG'!C:C, "LỖI_MÃ_VT")</f>
        <v/>
      </c>
      <c r="K1588" s="2">
        <f>I1588*J1588</f>
        <v/>
      </c>
      <c r="L1588" t="inlineStr">
        <is>
          <t>Cơ cấu liên động bánh răng van</t>
        </is>
      </c>
    </row>
    <row r="1589">
      <c r="A1589" t="inlineStr">
        <is>
          <t>SW-DAMPER-393-HANDLE</t>
        </is>
      </c>
      <c r="B1589" t="inlineStr">
        <is>
          <t>SW-DAMPER-393</t>
        </is>
      </c>
      <c r="C1589" t="inlineStr">
        <is>
          <t>Tay gạt nhỏ</t>
        </is>
      </c>
      <c r="D1589" t="inlineStr">
        <is>
          <t>PHỤ_KIỆN_VAN</t>
        </is>
      </c>
      <c r="E1589" t="inlineStr">
        <is>
          <t>MAT-DAMPER-TAY-GAT-NHO</t>
        </is>
      </c>
      <c r="F1589" t="inlineStr">
        <is>
          <t>Bộ</t>
        </is>
      </c>
      <c r="G1589" s="4" t="n">
        <v>1</v>
      </c>
      <c r="H1589" s="2">
        <f>XLOOKUP(B1589, '00_TONG_HOP_BAO_GIA'!B:B, '00_TONG_HOP_BAO_GIA'!G:G, 1)</f>
        <v/>
      </c>
      <c r="I1589" s="5">
        <f>G1589*H1589</f>
        <v/>
      </c>
      <c r="J1589" s="2">
        <f>XLOOKUP(E1589, '06_BANG_GIA_VAT_TU_AP_DUNG'!B:B, '06_BANG_GIA_VAT_TU_AP_DUNG'!C:C, "LỖI_MÃ_VT")</f>
        <v/>
      </c>
      <c r="K1589" s="2">
        <f>I1589*J1589</f>
        <v/>
      </c>
      <c r="L1589" t="inlineStr">
        <is>
          <t>Tay gạt khóa vị trí nan (S=0.06m2)</t>
        </is>
      </c>
    </row>
    <row r="1590">
      <c r="A1590" t="inlineStr">
        <is>
          <t>SW-DAMPER-394-BODY</t>
        </is>
      </c>
      <c r="B1590" t="inlineStr">
        <is>
          <t>SW-DAMPER-394</t>
        </is>
      </c>
      <c r="C1590" t="inlineStr">
        <is>
          <t>Thân vỏ van VCD bích TDF (0.75mm)</t>
        </is>
      </c>
      <c r="D1590" t="inlineStr">
        <is>
          <t>TÔN_CUỘN_MẠ_KẼM</t>
        </is>
      </c>
      <c r="E1590" t="inlineStr">
        <is>
          <t>MAT-STEEL-PN-0.75</t>
        </is>
      </c>
      <c r="F1590" t="inlineStr">
        <is>
          <t>kg</t>
        </is>
      </c>
      <c r="G1590" s="4" t="n">
        <v>1.9732545</v>
      </c>
      <c r="H1590" s="2">
        <f>XLOOKUP(B1590, '00_TONG_HOP_BAO_GIA'!B:B, '00_TONG_HOP_BAO_GIA'!G:G, 1)</f>
        <v/>
      </c>
      <c r="I1590" s="5">
        <f>G1590*H1590</f>
        <v/>
      </c>
      <c r="J1590" s="2">
        <f>XLOOKUP(E1590, '06_BANG_GIA_VAT_TU_AP_DUNG'!B:B, '06_BANG_GIA_VAT_TU_AP_DUNG'!C:C, "LỖI_MÃ_VT")</f>
        <v/>
      </c>
      <c r="K1590" s="2">
        <f>I1590*J1590</f>
        <v/>
      </c>
      <c r="L1590" t="inlineStr">
        <is>
          <t>Kích thước vỏ 300.0x250.0x210mm</t>
        </is>
      </c>
    </row>
    <row r="1591">
      <c r="A1591" t="inlineStr">
        <is>
          <t>SW-DAMPER-394-BLADE</t>
        </is>
      </c>
      <c r="B1591" t="inlineStr">
        <is>
          <t>SW-DAMPER-394</t>
        </is>
      </c>
      <c r="C1591" t="inlineStr">
        <is>
          <t>Lá cánh van (2 cánh overlap)</t>
        </is>
      </c>
      <c r="D1591" t="inlineStr">
        <is>
          <t>TÔN_CUỘN_MẠ_KẼM</t>
        </is>
      </c>
      <c r="E1591" t="inlineStr">
        <is>
          <t>MAT-STEEL-PN-0.75</t>
        </is>
      </c>
      <c r="F1591" t="inlineStr">
        <is>
          <t>kg</t>
        </is>
      </c>
      <c r="G1591" s="4" t="n">
        <v>0.5531894999999999</v>
      </c>
      <c r="H1591" s="2">
        <f>XLOOKUP(B1591, '00_TONG_HOP_BAO_GIA'!B:B, '00_TONG_HOP_BAO_GIA'!G:G, 1)</f>
        <v/>
      </c>
      <c r="I1591" s="5">
        <f>G1591*H1591</f>
        <v/>
      </c>
      <c r="J1591" s="2">
        <f>XLOOKUP(E1591, '06_BANG_GIA_VAT_TU_AP_DUNG'!B:B, '06_BANG_GIA_VAT_TU_AP_DUNG'!C:C, "LỖI_MÃ_VT")</f>
        <v/>
      </c>
      <c r="K1591" s="2">
        <f>I1591*J1591</f>
        <v/>
      </c>
      <c r="L1591" t="inlineStr">
        <is>
          <t>2 cánh cao 145mm</t>
        </is>
      </c>
    </row>
    <row r="1592">
      <c r="A1592" t="inlineStr">
        <is>
          <t>SW-DAMPER-394-AXLE</t>
        </is>
      </c>
      <c r="B1592" t="inlineStr">
        <is>
          <t>SW-DAMPER-394</t>
        </is>
      </c>
      <c r="C1592" t="inlineStr">
        <is>
          <t>Trục Sus 201 D10</t>
        </is>
      </c>
      <c r="D1592" t="inlineStr">
        <is>
          <t>PHỤ_KIỆN_VAN</t>
        </is>
      </c>
      <c r="E1592" t="inlineStr">
        <is>
          <t>MAT-DAMPER-TRUC-SUS-201-D10</t>
        </is>
      </c>
      <c r="F1592" t="inlineStr">
        <is>
          <t>m</t>
        </is>
      </c>
      <c r="G1592" s="4" t="n">
        <v>0.72</v>
      </c>
      <c r="H1592" s="2">
        <f>XLOOKUP(B1592, '00_TONG_HOP_BAO_GIA'!B:B, '00_TONG_HOP_BAO_GIA'!G:G, 1)</f>
        <v/>
      </c>
      <c r="I1592" s="5">
        <f>G1592*H1592</f>
        <v/>
      </c>
      <c r="J1592" s="2">
        <f>XLOOKUP(E1592, '06_BANG_GIA_VAT_TU_AP_DUNG'!B:B, '06_BANG_GIA_VAT_TU_AP_DUNG'!C:C, "LỖI_MÃ_VT")</f>
        <v/>
      </c>
      <c r="K1592" s="2">
        <f>I1592*J1592</f>
        <v/>
      </c>
      <c r="L1592" t="inlineStr">
        <is>
          <t>2 trục dài 360mm</t>
        </is>
      </c>
    </row>
    <row r="1593">
      <c r="A1593" t="inlineStr">
        <is>
          <t>SW-DAMPER-394-BEARING</t>
        </is>
      </c>
      <c r="B1593" t="inlineStr">
        <is>
          <t>SW-DAMPER-394</t>
        </is>
      </c>
      <c r="C1593" t="inlineStr">
        <is>
          <t>Bạc đồng D10</t>
        </is>
      </c>
      <c r="D1593" t="inlineStr">
        <is>
          <t>PHỤ_KIỆN_VAN</t>
        </is>
      </c>
      <c r="E1593" t="inlineStr">
        <is>
          <t>MAT-DAMPER-BAC-DONG-D10</t>
        </is>
      </c>
      <c r="F1593" t="inlineStr">
        <is>
          <t>Đôi</t>
        </is>
      </c>
      <c r="G1593" s="4" t="n">
        <v>2</v>
      </c>
      <c r="H1593" s="2">
        <f>XLOOKUP(B1593, '00_TONG_HOP_BAO_GIA'!B:B, '00_TONG_HOP_BAO_GIA'!G:G, 1)</f>
        <v/>
      </c>
      <c r="I1593" s="5">
        <f>G1593*H1593</f>
        <v/>
      </c>
      <c r="J1593" s="2">
        <f>XLOOKUP(E1593, '06_BANG_GIA_VAT_TU_AP_DUNG'!B:B, '06_BANG_GIA_VAT_TU_AP_DUNG'!C:C, "LỖI_MÃ_VT")</f>
        <v/>
      </c>
      <c r="K1593" s="2">
        <f>I1593*J1593</f>
        <v/>
      </c>
      <c r="L1593" t="inlineStr">
        <is>
          <t>2 đôi bạc đỡ 2 bên thân</t>
        </is>
      </c>
    </row>
    <row r="1594">
      <c r="A1594" t="inlineStr">
        <is>
          <t>SW-DAMPER-394-GEAR</t>
        </is>
      </c>
      <c r="B1594" t="inlineStr">
        <is>
          <t>SW-DAMPER-394</t>
        </is>
      </c>
      <c r="C1594" t="inlineStr">
        <is>
          <t>Bánh răng van nhôm</t>
        </is>
      </c>
      <c r="D1594" t="inlineStr">
        <is>
          <t>PHỤ_KIỆN_VAN</t>
        </is>
      </c>
      <c r="E1594" t="inlineStr">
        <is>
          <t>MAT-DAMPER-BANH-RANG-VAN-NHOM</t>
        </is>
      </c>
      <c r="F1594" t="inlineStr">
        <is>
          <t>Bộ</t>
        </is>
      </c>
      <c r="G1594" s="4" t="n">
        <v>1</v>
      </c>
      <c r="H1594" s="2">
        <f>XLOOKUP(B1594, '00_TONG_HOP_BAO_GIA'!B:B, '00_TONG_HOP_BAO_GIA'!G:G, 1)</f>
        <v/>
      </c>
      <c r="I1594" s="5">
        <f>G1594*H1594</f>
        <v/>
      </c>
      <c r="J1594" s="2">
        <f>XLOOKUP(E1594, '06_BANG_GIA_VAT_TU_AP_DUNG'!B:B, '06_BANG_GIA_VAT_TU_AP_DUNG'!C:C, "LỖI_MÃ_VT")</f>
        <v/>
      </c>
      <c r="K1594" s="2">
        <f>I1594*J1594</f>
        <v/>
      </c>
      <c r="L1594" t="inlineStr">
        <is>
          <t>Cơ cấu liên động bánh răng van</t>
        </is>
      </c>
    </row>
    <row r="1595">
      <c r="A1595" t="inlineStr">
        <is>
          <t>SW-DAMPER-394-HANDLE</t>
        </is>
      </c>
      <c r="B1595" t="inlineStr">
        <is>
          <t>SW-DAMPER-394</t>
        </is>
      </c>
      <c r="C1595" t="inlineStr">
        <is>
          <t>Tay gạt nhỏ</t>
        </is>
      </c>
      <c r="D1595" t="inlineStr">
        <is>
          <t>PHỤ_KIỆN_VAN</t>
        </is>
      </c>
      <c r="E1595" t="inlineStr">
        <is>
          <t>MAT-DAMPER-TAY-GAT-NHO</t>
        </is>
      </c>
      <c r="F1595" t="inlineStr">
        <is>
          <t>Bộ</t>
        </is>
      </c>
      <c r="G1595" s="4" t="n">
        <v>1</v>
      </c>
      <c r="H1595" s="2">
        <f>XLOOKUP(B1595, '00_TONG_HOP_BAO_GIA'!B:B, '00_TONG_HOP_BAO_GIA'!G:G, 1)</f>
        <v/>
      </c>
      <c r="I1595" s="5">
        <f>G1595*H1595</f>
        <v/>
      </c>
      <c r="J1595" s="2">
        <f>XLOOKUP(E1595, '06_BANG_GIA_VAT_TU_AP_DUNG'!B:B, '06_BANG_GIA_VAT_TU_AP_DUNG'!C:C, "LỖI_MÃ_VT")</f>
        <v/>
      </c>
      <c r="K1595" s="2">
        <f>I1595*J1595</f>
        <v/>
      </c>
      <c r="L1595" t="inlineStr">
        <is>
          <t>Tay gạt khóa vị trí nan (S=0.07m2)</t>
        </is>
      </c>
    </row>
    <row r="1596">
      <c r="A1596" t="inlineStr">
        <is>
          <t>SW-DAMPER-395-BODY</t>
        </is>
      </c>
      <c r="B1596" t="inlineStr">
        <is>
          <t>SW-DAMPER-395</t>
        </is>
      </c>
      <c r="C1596" t="inlineStr">
        <is>
          <t>Thân vỏ van VCD bích TDF (0.75mm)</t>
        </is>
      </c>
      <c r="D1596" t="inlineStr">
        <is>
          <t>TÔN_CUỘN_MẠ_KẼM</t>
        </is>
      </c>
      <c r="E1596" t="inlineStr">
        <is>
          <t>MAT-STEEL-PN-0.75</t>
        </is>
      </c>
      <c r="F1596" t="inlineStr">
        <is>
          <t>kg</t>
        </is>
      </c>
      <c r="G1596" s="4" t="n">
        <v>2.146347</v>
      </c>
      <c r="H1596" s="2">
        <f>XLOOKUP(B1596, '00_TONG_HOP_BAO_GIA'!B:B, '00_TONG_HOP_BAO_GIA'!G:G, 1)</f>
        <v/>
      </c>
      <c r="I1596" s="5">
        <f>G1596*H1596</f>
        <v/>
      </c>
      <c r="J1596" s="2">
        <f>XLOOKUP(E1596, '06_BANG_GIA_VAT_TU_AP_DUNG'!B:B, '06_BANG_GIA_VAT_TU_AP_DUNG'!C:C, "LỖI_MÃ_VT")</f>
        <v/>
      </c>
      <c r="K1596" s="2">
        <f>I1596*J1596</f>
        <v/>
      </c>
      <c r="L1596" t="inlineStr">
        <is>
          <t>Kích thước vỏ 350.0x250.0x210mm</t>
        </is>
      </c>
    </row>
    <row r="1597">
      <c r="A1597" t="inlineStr">
        <is>
          <t>SW-DAMPER-395-BLADE</t>
        </is>
      </c>
      <c r="B1597" t="inlineStr">
        <is>
          <t>SW-DAMPER-395</t>
        </is>
      </c>
      <c r="C1597" t="inlineStr">
        <is>
          <t>Lá cánh van (2 cánh overlap)</t>
        </is>
      </c>
      <c r="D1597" t="inlineStr">
        <is>
          <t>TÔN_CUỘN_MẠ_KẼM</t>
        </is>
      </c>
      <c r="E1597" t="inlineStr">
        <is>
          <t>MAT-STEEL-PN-0.75</t>
        </is>
      </c>
      <c r="F1597" t="inlineStr">
        <is>
          <t>kg</t>
        </is>
      </c>
      <c r="G1597" s="4" t="n">
        <v>0.6453877499999999</v>
      </c>
      <c r="H1597" s="2">
        <f>XLOOKUP(B1597, '00_TONG_HOP_BAO_GIA'!B:B, '00_TONG_HOP_BAO_GIA'!G:G, 1)</f>
        <v/>
      </c>
      <c r="I1597" s="5">
        <f>G1597*H1597</f>
        <v/>
      </c>
      <c r="J1597" s="2">
        <f>XLOOKUP(E1597, '06_BANG_GIA_VAT_TU_AP_DUNG'!B:B, '06_BANG_GIA_VAT_TU_AP_DUNG'!C:C, "LỖI_MÃ_VT")</f>
        <v/>
      </c>
      <c r="K1597" s="2">
        <f>I1597*J1597</f>
        <v/>
      </c>
      <c r="L1597" t="inlineStr">
        <is>
          <t>2 cánh cao 145mm</t>
        </is>
      </c>
    </row>
    <row r="1598">
      <c r="A1598" t="inlineStr">
        <is>
          <t>SW-DAMPER-395-AXLE</t>
        </is>
      </c>
      <c r="B1598" t="inlineStr">
        <is>
          <t>SW-DAMPER-395</t>
        </is>
      </c>
      <c r="C1598" t="inlineStr">
        <is>
          <t>Trục Sus 201 D10</t>
        </is>
      </c>
      <c r="D1598" t="inlineStr">
        <is>
          <t>PHỤ_KIỆN_VAN</t>
        </is>
      </c>
      <c r="E1598" t="inlineStr">
        <is>
          <t>MAT-DAMPER-TRUC-SUS-201-D10</t>
        </is>
      </c>
      <c r="F1598" t="inlineStr">
        <is>
          <t>m</t>
        </is>
      </c>
      <c r="G1598" s="4" t="n">
        <v>0.82</v>
      </c>
      <c r="H1598" s="2">
        <f>XLOOKUP(B1598, '00_TONG_HOP_BAO_GIA'!B:B, '00_TONG_HOP_BAO_GIA'!G:G, 1)</f>
        <v/>
      </c>
      <c r="I1598" s="5">
        <f>G1598*H1598</f>
        <v/>
      </c>
      <c r="J1598" s="2">
        <f>XLOOKUP(E1598, '06_BANG_GIA_VAT_TU_AP_DUNG'!B:B, '06_BANG_GIA_VAT_TU_AP_DUNG'!C:C, "LỖI_MÃ_VT")</f>
        <v/>
      </c>
      <c r="K1598" s="2">
        <f>I1598*J1598</f>
        <v/>
      </c>
      <c r="L1598" t="inlineStr">
        <is>
          <t>2 trục dài 410mm</t>
        </is>
      </c>
    </row>
    <row r="1599">
      <c r="A1599" t="inlineStr">
        <is>
          <t>SW-DAMPER-395-BEARING</t>
        </is>
      </c>
      <c r="B1599" t="inlineStr">
        <is>
          <t>SW-DAMPER-395</t>
        </is>
      </c>
      <c r="C1599" t="inlineStr">
        <is>
          <t>Bạc đồng D10</t>
        </is>
      </c>
      <c r="D1599" t="inlineStr">
        <is>
          <t>PHỤ_KIỆN_VAN</t>
        </is>
      </c>
      <c r="E1599" t="inlineStr">
        <is>
          <t>MAT-DAMPER-BAC-DONG-D10</t>
        </is>
      </c>
      <c r="F1599" t="inlineStr">
        <is>
          <t>Đôi</t>
        </is>
      </c>
      <c r="G1599" s="4" t="n">
        <v>2</v>
      </c>
      <c r="H1599" s="2">
        <f>XLOOKUP(B1599, '00_TONG_HOP_BAO_GIA'!B:B, '00_TONG_HOP_BAO_GIA'!G:G, 1)</f>
        <v/>
      </c>
      <c r="I1599" s="5">
        <f>G1599*H1599</f>
        <v/>
      </c>
      <c r="J1599" s="2">
        <f>XLOOKUP(E1599, '06_BANG_GIA_VAT_TU_AP_DUNG'!B:B, '06_BANG_GIA_VAT_TU_AP_DUNG'!C:C, "LỖI_MÃ_VT")</f>
        <v/>
      </c>
      <c r="K1599" s="2">
        <f>I1599*J1599</f>
        <v/>
      </c>
      <c r="L1599" t="inlineStr">
        <is>
          <t>2 đôi bạc đỡ 2 bên thân</t>
        </is>
      </c>
    </row>
    <row r="1600">
      <c r="A1600" t="inlineStr">
        <is>
          <t>SW-DAMPER-395-GEAR</t>
        </is>
      </c>
      <c r="B1600" t="inlineStr">
        <is>
          <t>SW-DAMPER-395</t>
        </is>
      </c>
      <c r="C1600" t="inlineStr">
        <is>
          <t>Bánh răng van nhôm</t>
        </is>
      </c>
      <c r="D1600" t="inlineStr">
        <is>
          <t>PHỤ_KIỆN_VAN</t>
        </is>
      </c>
      <c r="E1600" t="inlineStr">
        <is>
          <t>MAT-DAMPER-BANH-RANG-VAN-NHOM</t>
        </is>
      </c>
      <c r="F1600" t="inlineStr">
        <is>
          <t>Bộ</t>
        </is>
      </c>
      <c r="G1600" s="4" t="n">
        <v>1</v>
      </c>
      <c r="H1600" s="2">
        <f>XLOOKUP(B1600, '00_TONG_HOP_BAO_GIA'!B:B, '00_TONG_HOP_BAO_GIA'!G:G, 1)</f>
        <v/>
      </c>
      <c r="I1600" s="5">
        <f>G1600*H1600</f>
        <v/>
      </c>
      <c r="J1600" s="2">
        <f>XLOOKUP(E1600, '06_BANG_GIA_VAT_TU_AP_DUNG'!B:B, '06_BANG_GIA_VAT_TU_AP_DUNG'!C:C, "LỖI_MÃ_VT")</f>
        <v/>
      </c>
      <c r="K1600" s="2">
        <f>I1600*J1600</f>
        <v/>
      </c>
      <c r="L1600" t="inlineStr">
        <is>
          <t>Cơ cấu liên động bánh răng van</t>
        </is>
      </c>
    </row>
    <row r="1601">
      <c r="A1601" t="inlineStr">
        <is>
          <t>SW-DAMPER-395-HANDLE</t>
        </is>
      </c>
      <c r="B1601" t="inlineStr">
        <is>
          <t>SW-DAMPER-395</t>
        </is>
      </c>
      <c r="C1601" t="inlineStr">
        <is>
          <t>Tay gạt nhỏ</t>
        </is>
      </c>
      <c r="D1601" t="inlineStr">
        <is>
          <t>PHỤ_KIỆN_VAN</t>
        </is>
      </c>
      <c r="E1601" t="inlineStr">
        <is>
          <t>MAT-DAMPER-TAY-GAT-NHO</t>
        </is>
      </c>
      <c r="F1601" t="inlineStr">
        <is>
          <t>Bộ</t>
        </is>
      </c>
      <c r="G1601" s="4" t="n">
        <v>1</v>
      </c>
      <c r="H1601" s="2">
        <f>XLOOKUP(B1601, '00_TONG_HOP_BAO_GIA'!B:B, '00_TONG_HOP_BAO_GIA'!G:G, 1)</f>
        <v/>
      </c>
      <c r="I1601" s="5">
        <f>G1601*H1601</f>
        <v/>
      </c>
      <c r="J1601" s="2">
        <f>XLOOKUP(E1601, '06_BANG_GIA_VAT_TU_AP_DUNG'!B:B, '06_BANG_GIA_VAT_TU_AP_DUNG'!C:C, "LỖI_MÃ_VT")</f>
        <v/>
      </c>
      <c r="K1601" s="2">
        <f>I1601*J1601</f>
        <v/>
      </c>
      <c r="L1601" t="inlineStr">
        <is>
          <t>Tay gạt khóa vị trí nan (S=0.09m2)</t>
        </is>
      </c>
    </row>
    <row r="1602">
      <c r="A1602" t="inlineStr">
        <is>
          <t>SW-DAMPER-396-BODY</t>
        </is>
      </c>
      <c r="B1602" t="inlineStr">
        <is>
          <t>SW-DAMPER-396</t>
        </is>
      </c>
      <c r="C1602" t="inlineStr">
        <is>
          <t>Thân vỏ van VCD bích TDF (0.75mm)</t>
        </is>
      </c>
      <c r="D1602" t="inlineStr">
        <is>
          <t>TÔN_CUỘN_MẠ_KẼM</t>
        </is>
      </c>
      <c r="E1602" t="inlineStr">
        <is>
          <t>MAT-STEEL-PN-0.75</t>
        </is>
      </c>
      <c r="F1602" t="inlineStr">
        <is>
          <t>kg</t>
        </is>
      </c>
      <c r="G1602" s="4" t="n">
        <v>2.146347</v>
      </c>
      <c r="H1602" s="2">
        <f>XLOOKUP(B1602, '00_TONG_HOP_BAO_GIA'!B:B, '00_TONG_HOP_BAO_GIA'!G:G, 1)</f>
        <v/>
      </c>
      <c r="I1602" s="5">
        <f>G1602*H1602</f>
        <v/>
      </c>
      <c r="J1602" s="2">
        <f>XLOOKUP(E1602, '06_BANG_GIA_VAT_TU_AP_DUNG'!B:B, '06_BANG_GIA_VAT_TU_AP_DUNG'!C:C, "LỖI_MÃ_VT")</f>
        <v/>
      </c>
      <c r="K1602" s="2">
        <f>I1602*J1602</f>
        <v/>
      </c>
      <c r="L1602" t="inlineStr">
        <is>
          <t>Kích thước vỏ 400.0x200.0x210mm</t>
        </is>
      </c>
    </row>
    <row r="1603">
      <c r="A1603" t="inlineStr">
        <is>
          <t>SW-DAMPER-396-BLADE</t>
        </is>
      </c>
      <c r="B1603" t="inlineStr">
        <is>
          <t>SW-DAMPER-396</t>
        </is>
      </c>
      <c r="C1603" t="inlineStr">
        <is>
          <t>Lá cánh van (2 cánh overlap)</t>
        </is>
      </c>
      <c r="D1603" t="inlineStr">
        <is>
          <t>TÔN_CUỘN_MẠ_KẼM</t>
        </is>
      </c>
      <c r="E1603" t="inlineStr">
        <is>
          <t>MAT-STEEL-PN-0.75</t>
        </is>
      </c>
      <c r="F1603" t="inlineStr">
        <is>
          <t>kg</t>
        </is>
      </c>
      <c r="G1603" s="4" t="n">
        <v>0.610416</v>
      </c>
      <c r="H1603" s="2">
        <f>XLOOKUP(B1603, '00_TONG_HOP_BAO_GIA'!B:B, '00_TONG_HOP_BAO_GIA'!G:G, 1)</f>
        <v/>
      </c>
      <c r="I1603" s="5">
        <f>G1603*H1603</f>
        <v/>
      </c>
      <c r="J1603" s="2">
        <f>XLOOKUP(E1603, '06_BANG_GIA_VAT_TU_AP_DUNG'!B:B, '06_BANG_GIA_VAT_TU_AP_DUNG'!C:C, "LỖI_MÃ_VT")</f>
        <v/>
      </c>
      <c r="K1603" s="2">
        <f>I1603*J1603</f>
        <v/>
      </c>
      <c r="L1603" t="inlineStr">
        <is>
          <t>2 cánh cao 120mm</t>
        </is>
      </c>
    </row>
    <row r="1604">
      <c r="A1604" t="inlineStr">
        <is>
          <t>SW-DAMPER-396-AXLE</t>
        </is>
      </c>
      <c r="B1604" t="inlineStr">
        <is>
          <t>SW-DAMPER-396</t>
        </is>
      </c>
      <c r="C1604" t="inlineStr">
        <is>
          <t>Trục Sus 201 D10</t>
        </is>
      </c>
      <c r="D1604" t="inlineStr">
        <is>
          <t>PHỤ_KIỆN_VAN</t>
        </is>
      </c>
      <c r="E1604" t="inlineStr">
        <is>
          <t>MAT-DAMPER-TRUC-SUS-201-D10</t>
        </is>
      </c>
      <c r="F1604" t="inlineStr">
        <is>
          <t>m</t>
        </is>
      </c>
      <c r="G1604" s="4" t="n">
        <v>0.92</v>
      </c>
      <c r="H1604" s="2">
        <f>XLOOKUP(B1604, '00_TONG_HOP_BAO_GIA'!B:B, '00_TONG_HOP_BAO_GIA'!G:G, 1)</f>
        <v/>
      </c>
      <c r="I1604" s="5">
        <f>G1604*H1604</f>
        <v/>
      </c>
      <c r="J1604" s="2">
        <f>XLOOKUP(E1604, '06_BANG_GIA_VAT_TU_AP_DUNG'!B:B, '06_BANG_GIA_VAT_TU_AP_DUNG'!C:C, "LỖI_MÃ_VT")</f>
        <v/>
      </c>
      <c r="K1604" s="2">
        <f>I1604*J1604</f>
        <v/>
      </c>
      <c r="L1604" t="inlineStr">
        <is>
          <t>2 trục dài 460mm</t>
        </is>
      </c>
    </row>
    <row r="1605">
      <c r="A1605" t="inlineStr">
        <is>
          <t>SW-DAMPER-396-BEARING</t>
        </is>
      </c>
      <c r="B1605" t="inlineStr">
        <is>
          <t>SW-DAMPER-396</t>
        </is>
      </c>
      <c r="C1605" t="inlineStr">
        <is>
          <t>Bạc đồng D10</t>
        </is>
      </c>
      <c r="D1605" t="inlineStr">
        <is>
          <t>PHỤ_KIỆN_VAN</t>
        </is>
      </c>
      <c r="E1605" t="inlineStr">
        <is>
          <t>MAT-DAMPER-BAC-DONG-D10</t>
        </is>
      </c>
      <c r="F1605" t="inlineStr">
        <is>
          <t>Đôi</t>
        </is>
      </c>
      <c r="G1605" s="4" t="n">
        <v>2</v>
      </c>
      <c r="H1605" s="2">
        <f>XLOOKUP(B1605, '00_TONG_HOP_BAO_GIA'!B:B, '00_TONG_HOP_BAO_GIA'!G:G, 1)</f>
        <v/>
      </c>
      <c r="I1605" s="5">
        <f>G1605*H1605</f>
        <v/>
      </c>
      <c r="J1605" s="2">
        <f>XLOOKUP(E1605, '06_BANG_GIA_VAT_TU_AP_DUNG'!B:B, '06_BANG_GIA_VAT_TU_AP_DUNG'!C:C, "LỖI_MÃ_VT")</f>
        <v/>
      </c>
      <c r="K1605" s="2">
        <f>I1605*J1605</f>
        <v/>
      </c>
      <c r="L1605" t="inlineStr">
        <is>
          <t>2 đôi bạc đỡ 2 bên thân</t>
        </is>
      </c>
    </row>
    <row r="1606">
      <c r="A1606" t="inlineStr">
        <is>
          <t>SW-DAMPER-396-GEAR</t>
        </is>
      </c>
      <c r="B1606" t="inlineStr">
        <is>
          <t>SW-DAMPER-396</t>
        </is>
      </c>
      <c r="C1606" t="inlineStr">
        <is>
          <t>Bánh răng van nhôm</t>
        </is>
      </c>
      <c r="D1606" t="inlineStr">
        <is>
          <t>PHỤ_KIỆN_VAN</t>
        </is>
      </c>
      <c r="E1606" t="inlineStr">
        <is>
          <t>MAT-DAMPER-BANH-RANG-VAN-NHOM</t>
        </is>
      </c>
      <c r="F1606" t="inlineStr">
        <is>
          <t>Bộ</t>
        </is>
      </c>
      <c r="G1606" s="4" t="n">
        <v>1</v>
      </c>
      <c r="H1606" s="2">
        <f>XLOOKUP(B1606, '00_TONG_HOP_BAO_GIA'!B:B, '00_TONG_HOP_BAO_GIA'!G:G, 1)</f>
        <v/>
      </c>
      <c r="I1606" s="5">
        <f>G1606*H1606</f>
        <v/>
      </c>
      <c r="J1606" s="2">
        <f>XLOOKUP(E1606, '06_BANG_GIA_VAT_TU_AP_DUNG'!B:B, '06_BANG_GIA_VAT_TU_AP_DUNG'!C:C, "LỖI_MÃ_VT")</f>
        <v/>
      </c>
      <c r="K1606" s="2">
        <f>I1606*J1606</f>
        <v/>
      </c>
      <c r="L1606" t="inlineStr">
        <is>
          <t>Cơ cấu liên động bánh răng van</t>
        </is>
      </c>
    </row>
    <row r="1607">
      <c r="A1607" t="inlineStr">
        <is>
          <t>SW-DAMPER-396-HANDLE</t>
        </is>
      </c>
      <c r="B1607" t="inlineStr">
        <is>
          <t>SW-DAMPER-396</t>
        </is>
      </c>
      <c r="C1607" t="inlineStr">
        <is>
          <t>Tay gạt nhỏ</t>
        </is>
      </c>
      <c r="D1607" t="inlineStr">
        <is>
          <t>PHỤ_KIỆN_VAN</t>
        </is>
      </c>
      <c r="E1607" t="inlineStr">
        <is>
          <t>MAT-DAMPER-TAY-GAT-NHO</t>
        </is>
      </c>
      <c r="F1607" t="inlineStr">
        <is>
          <t>Bộ</t>
        </is>
      </c>
      <c r="G1607" s="4" t="n">
        <v>1</v>
      </c>
      <c r="H1607" s="2">
        <f>XLOOKUP(B1607, '00_TONG_HOP_BAO_GIA'!B:B, '00_TONG_HOP_BAO_GIA'!G:G, 1)</f>
        <v/>
      </c>
      <c r="I1607" s="5">
        <f>G1607*H1607</f>
        <v/>
      </c>
      <c r="J1607" s="2">
        <f>XLOOKUP(E1607, '06_BANG_GIA_VAT_TU_AP_DUNG'!B:B, '06_BANG_GIA_VAT_TU_AP_DUNG'!C:C, "LỖI_MÃ_VT")</f>
        <v/>
      </c>
      <c r="K1607" s="2">
        <f>I1607*J1607</f>
        <v/>
      </c>
      <c r="L1607" t="inlineStr">
        <is>
          <t>Tay gạt khóa vị trí nan (S=0.08m2)</t>
        </is>
      </c>
    </row>
    <row r="1608">
      <c r="A1608" t="inlineStr">
        <is>
          <t>SW-DAMPER-397-BODY</t>
        </is>
      </c>
      <c r="B1608" t="inlineStr">
        <is>
          <t>SW-DAMPER-397</t>
        </is>
      </c>
      <c r="C1608" t="inlineStr">
        <is>
          <t>Thân vỏ van VCD bích TDF (0.75mm)</t>
        </is>
      </c>
      <c r="D1608" t="inlineStr">
        <is>
          <t>TÔN_CUỘN_MẠ_KẼM</t>
        </is>
      </c>
      <c r="E1608" t="inlineStr">
        <is>
          <t>MAT-STEEL-PN-0.75</t>
        </is>
      </c>
      <c r="F1608" t="inlineStr">
        <is>
          <t>kg</t>
        </is>
      </c>
      <c r="G1608" s="4" t="n">
        <v>2.3194395</v>
      </c>
      <c r="H1608" s="2">
        <f>XLOOKUP(B1608, '00_TONG_HOP_BAO_GIA'!B:B, '00_TONG_HOP_BAO_GIA'!G:G, 1)</f>
        <v/>
      </c>
      <c r="I1608" s="5">
        <f>G1608*H1608</f>
        <v/>
      </c>
      <c r="J1608" s="2">
        <f>XLOOKUP(E1608, '06_BANG_GIA_VAT_TU_AP_DUNG'!B:B, '06_BANG_GIA_VAT_TU_AP_DUNG'!C:C, "LỖI_MÃ_VT")</f>
        <v/>
      </c>
      <c r="K1608" s="2">
        <f>I1608*J1608</f>
        <v/>
      </c>
      <c r="L1608" t="inlineStr">
        <is>
          <t>Kích thước vỏ 400.0x250.0x210mm</t>
        </is>
      </c>
    </row>
    <row r="1609">
      <c r="A1609" t="inlineStr">
        <is>
          <t>SW-DAMPER-397-BLADE</t>
        </is>
      </c>
      <c r="B1609" t="inlineStr">
        <is>
          <t>SW-DAMPER-397</t>
        </is>
      </c>
      <c r="C1609" t="inlineStr">
        <is>
          <t>Lá cánh van (2 cánh overlap)</t>
        </is>
      </c>
      <c r="D1609" t="inlineStr">
        <is>
          <t>TÔN_CUỘN_MẠ_KẼM</t>
        </is>
      </c>
      <c r="E1609" t="inlineStr">
        <is>
          <t>MAT-STEEL-PN-0.75</t>
        </is>
      </c>
      <c r="F1609" t="inlineStr">
        <is>
          <t>kg</t>
        </is>
      </c>
      <c r="G1609" s="4" t="n">
        <v>0.737586</v>
      </c>
      <c r="H1609" s="2">
        <f>XLOOKUP(B1609, '00_TONG_HOP_BAO_GIA'!B:B, '00_TONG_HOP_BAO_GIA'!G:G, 1)</f>
        <v/>
      </c>
      <c r="I1609" s="5">
        <f>G1609*H1609</f>
        <v/>
      </c>
      <c r="J1609" s="2">
        <f>XLOOKUP(E1609, '06_BANG_GIA_VAT_TU_AP_DUNG'!B:B, '06_BANG_GIA_VAT_TU_AP_DUNG'!C:C, "LỖI_MÃ_VT")</f>
        <v/>
      </c>
      <c r="K1609" s="2">
        <f>I1609*J1609</f>
        <v/>
      </c>
      <c r="L1609" t="inlineStr">
        <is>
          <t>2 cánh cao 145mm</t>
        </is>
      </c>
    </row>
    <row r="1610">
      <c r="A1610" t="inlineStr">
        <is>
          <t>SW-DAMPER-397-AXLE</t>
        </is>
      </c>
      <c r="B1610" t="inlineStr">
        <is>
          <t>SW-DAMPER-397</t>
        </is>
      </c>
      <c r="C1610" t="inlineStr">
        <is>
          <t>Trục Sus 201 D10</t>
        </is>
      </c>
      <c r="D1610" t="inlineStr">
        <is>
          <t>PHỤ_KIỆN_VAN</t>
        </is>
      </c>
      <c r="E1610" t="inlineStr">
        <is>
          <t>MAT-DAMPER-TRUC-SUS-201-D10</t>
        </is>
      </c>
      <c r="F1610" t="inlineStr">
        <is>
          <t>m</t>
        </is>
      </c>
      <c r="G1610" s="4" t="n">
        <v>0.92</v>
      </c>
      <c r="H1610" s="2">
        <f>XLOOKUP(B1610, '00_TONG_HOP_BAO_GIA'!B:B, '00_TONG_HOP_BAO_GIA'!G:G, 1)</f>
        <v/>
      </c>
      <c r="I1610" s="5">
        <f>G1610*H1610</f>
        <v/>
      </c>
      <c r="J1610" s="2">
        <f>XLOOKUP(E1610, '06_BANG_GIA_VAT_TU_AP_DUNG'!B:B, '06_BANG_GIA_VAT_TU_AP_DUNG'!C:C, "LỖI_MÃ_VT")</f>
        <v/>
      </c>
      <c r="K1610" s="2">
        <f>I1610*J1610</f>
        <v/>
      </c>
      <c r="L1610" t="inlineStr">
        <is>
          <t>2 trục dài 460mm</t>
        </is>
      </c>
    </row>
    <row r="1611">
      <c r="A1611" t="inlineStr">
        <is>
          <t>SW-DAMPER-397-BEARING</t>
        </is>
      </c>
      <c r="B1611" t="inlineStr">
        <is>
          <t>SW-DAMPER-397</t>
        </is>
      </c>
      <c r="C1611" t="inlineStr">
        <is>
          <t>Bạc đồng D10</t>
        </is>
      </c>
      <c r="D1611" t="inlineStr">
        <is>
          <t>PHỤ_KIỆN_VAN</t>
        </is>
      </c>
      <c r="E1611" t="inlineStr">
        <is>
          <t>MAT-DAMPER-BAC-DONG-D10</t>
        </is>
      </c>
      <c r="F1611" t="inlineStr">
        <is>
          <t>Đôi</t>
        </is>
      </c>
      <c r="G1611" s="4" t="n">
        <v>2</v>
      </c>
      <c r="H1611" s="2">
        <f>XLOOKUP(B1611, '00_TONG_HOP_BAO_GIA'!B:B, '00_TONG_HOP_BAO_GIA'!G:G, 1)</f>
        <v/>
      </c>
      <c r="I1611" s="5">
        <f>G1611*H1611</f>
        <v/>
      </c>
      <c r="J1611" s="2">
        <f>XLOOKUP(E1611, '06_BANG_GIA_VAT_TU_AP_DUNG'!B:B, '06_BANG_GIA_VAT_TU_AP_DUNG'!C:C, "LỖI_MÃ_VT")</f>
        <v/>
      </c>
      <c r="K1611" s="2">
        <f>I1611*J1611</f>
        <v/>
      </c>
      <c r="L1611" t="inlineStr">
        <is>
          <t>2 đôi bạc đỡ 2 bên thân</t>
        </is>
      </c>
    </row>
    <row r="1612">
      <c r="A1612" t="inlineStr">
        <is>
          <t>SW-DAMPER-397-GEAR</t>
        </is>
      </c>
      <c r="B1612" t="inlineStr">
        <is>
          <t>SW-DAMPER-397</t>
        </is>
      </c>
      <c r="C1612" t="inlineStr">
        <is>
          <t>Bánh răng van nhôm</t>
        </is>
      </c>
      <c r="D1612" t="inlineStr">
        <is>
          <t>PHỤ_KIỆN_VAN</t>
        </is>
      </c>
      <c r="E1612" t="inlineStr">
        <is>
          <t>MAT-DAMPER-BANH-RANG-VAN-NHOM</t>
        </is>
      </c>
      <c r="F1612" t="inlineStr">
        <is>
          <t>Bộ</t>
        </is>
      </c>
      <c r="G1612" s="4" t="n">
        <v>1</v>
      </c>
      <c r="H1612" s="2">
        <f>XLOOKUP(B1612, '00_TONG_HOP_BAO_GIA'!B:B, '00_TONG_HOP_BAO_GIA'!G:G, 1)</f>
        <v/>
      </c>
      <c r="I1612" s="5">
        <f>G1612*H1612</f>
        <v/>
      </c>
      <c r="J1612" s="2">
        <f>XLOOKUP(E1612, '06_BANG_GIA_VAT_TU_AP_DUNG'!B:B, '06_BANG_GIA_VAT_TU_AP_DUNG'!C:C, "LỖI_MÃ_VT")</f>
        <v/>
      </c>
      <c r="K1612" s="2">
        <f>I1612*J1612</f>
        <v/>
      </c>
      <c r="L1612" t="inlineStr">
        <is>
          <t>Cơ cấu liên động bánh răng van</t>
        </is>
      </c>
    </row>
    <row r="1613">
      <c r="A1613" t="inlineStr">
        <is>
          <t>SW-DAMPER-397-HANDLE</t>
        </is>
      </c>
      <c r="B1613" t="inlineStr">
        <is>
          <t>SW-DAMPER-397</t>
        </is>
      </c>
      <c r="C1613" t="inlineStr">
        <is>
          <t>Tay gạt nhỏ</t>
        </is>
      </c>
      <c r="D1613" t="inlineStr">
        <is>
          <t>PHỤ_KIỆN_VAN</t>
        </is>
      </c>
      <c r="E1613" t="inlineStr">
        <is>
          <t>MAT-DAMPER-TAY-GAT-NHO</t>
        </is>
      </c>
      <c r="F1613" t="inlineStr">
        <is>
          <t>Bộ</t>
        </is>
      </c>
      <c r="G1613" s="4" t="n">
        <v>1</v>
      </c>
      <c r="H1613" s="2">
        <f>XLOOKUP(B1613, '00_TONG_HOP_BAO_GIA'!B:B, '00_TONG_HOP_BAO_GIA'!G:G, 1)</f>
        <v/>
      </c>
      <c r="I1613" s="5">
        <f>G1613*H1613</f>
        <v/>
      </c>
      <c r="J1613" s="2">
        <f>XLOOKUP(E1613, '06_BANG_GIA_VAT_TU_AP_DUNG'!B:B, '06_BANG_GIA_VAT_TU_AP_DUNG'!C:C, "LỖI_MÃ_VT")</f>
        <v/>
      </c>
      <c r="K1613" s="2">
        <f>I1613*J1613</f>
        <v/>
      </c>
      <c r="L1613" t="inlineStr">
        <is>
          <t>Tay gạt khóa vị trí nan (S=0.10m2)</t>
        </is>
      </c>
    </row>
    <row r="1614">
      <c r="A1614" t="inlineStr">
        <is>
          <t>SW-DAMPER-398-BODY</t>
        </is>
      </c>
      <c r="B1614" t="inlineStr">
        <is>
          <t>SW-DAMPER-398</t>
        </is>
      </c>
      <c r="C1614" t="inlineStr">
        <is>
          <t>Thân vỏ van VCD bích TDF (0.75mm)</t>
        </is>
      </c>
      <c r="D1614" t="inlineStr">
        <is>
          <t>TÔN_CUỘN_MẠ_KẼM</t>
        </is>
      </c>
      <c r="E1614" t="inlineStr">
        <is>
          <t>MAT-STEEL-PN-0.75</t>
        </is>
      </c>
      <c r="F1614" t="inlineStr">
        <is>
          <t>kg</t>
        </is>
      </c>
      <c r="G1614" s="4" t="n">
        <v>2.492532</v>
      </c>
      <c r="H1614" s="2">
        <f>XLOOKUP(B1614, '00_TONG_HOP_BAO_GIA'!B:B, '00_TONG_HOP_BAO_GIA'!G:G, 1)</f>
        <v/>
      </c>
      <c r="I1614" s="5">
        <f>G1614*H1614</f>
        <v/>
      </c>
      <c r="J1614" s="2">
        <f>XLOOKUP(E1614, '06_BANG_GIA_VAT_TU_AP_DUNG'!B:B, '06_BANG_GIA_VAT_TU_AP_DUNG'!C:C, "LỖI_MÃ_VT")</f>
        <v/>
      </c>
      <c r="K1614" s="2">
        <f>I1614*J1614</f>
        <v/>
      </c>
      <c r="L1614" t="inlineStr">
        <is>
          <t>Kích thước vỏ 400.0x300.0x210mm</t>
        </is>
      </c>
    </row>
    <row r="1615">
      <c r="A1615" t="inlineStr">
        <is>
          <t>SW-DAMPER-398-BLADE</t>
        </is>
      </c>
      <c r="B1615" t="inlineStr">
        <is>
          <t>SW-DAMPER-398</t>
        </is>
      </c>
      <c r="C1615" t="inlineStr">
        <is>
          <t>Lá cánh van (2 cánh overlap)</t>
        </is>
      </c>
      <c r="D1615" t="inlineStr">
        <is>
          <t>TÔN_CUỘN_MẠ_KẼM</t>
        </is>
      </c>
      <c r="E1615" t="inlineStr">
        <is>
          <t>MAT-STEEL-PN-0.75</t>
        </is>
      </c>
      <c r="F1615" t="inlineStr">
        <is>
          <t>kg</t>
        </is>
      </c>
      <c r="G1615" s="4" t="n">
        <v>0.864756</v>
      </c>
      <c r="H1615" s="2">
        <f>XLOOKUP(B1615, '00_TONG_HOP_BAO_GIA'!B:B, '00_TONG_HOP_BAO_GIA'!G:G, 1)</f>
        <v/>
      </c>
      <c r="I1615" s="5">
        <f>G1615*H1615</f>
        <v/>
      </c>
      <c r="J1615" s="2">
        <f>XLOOKUP(E1615, '06_BANG_GIA_VAT_TU_AP_DUNG'!B:B, '06_BANG_GIA_VAT_TU_AP_DUNG'!C:C, "LỖI_MÃ_VT")</f>
        <v/>
      </c>
      <c r="K1615" s="2">
        <f>I1615*J1615</f>
        <v/>
      </c>
      <c r="L1615" t="inlineStr">
        <is>
          <t>2 cánh cao 170mm</t>
        </is>
      </c>
    </row>
    <row r="1616">
      <c r="A1616" t="inlineStr">
        <is>
          <t>SW-DAMPER-398-AXLE</t>
        </is>
      </c>
      <c r="B1616" t="inlineStr">
        <is>
          <t>SW-DAMPER-398</t>
        </is>
      </c>
      <c r="C1616" t="inlineStr">
        <is>
          <t>Trục Sus 201 D10</t>
        </is>
      </c>
      <c r="D1616" t="inlineStr">
        <is>
          <t>PHỤ_KIỆN_VAN</t>
        </is>
      </c>
      <c r="E1616" t="inlineStr">
        <is>
          <t>MAT-DAMPER-TRUC-SUS-201-D10</t>
        </is>
      </c>
      <c r="F1616" t="inlineStr">
        <is>
          <t>m</t>
        </is>
      </c>
      <c r="G1616" s="4" t="n">
        <v>0.92</v>
      </c>
      <c r="H1616" s="2">
        <f>XLOOKUP(B1616, '00_TONG_HOP_BAO_GIA'!B:B, '00_TONG_HOP_BAO_GIA'!G:G, 1)</f>
        <v/>
      </c>
      <c r="I1616" s="5">
        <f>G1616*H1616</f>
        <v/>
      </c>
      <c r="J1616" s="2">
        <f>XLOOKUP(E1616, '06_BANG_GIA_VAT_TU_AP_DUNG'!B:B, '06_BANG_GIA_VAT_TU_AP_DUNG'!C:C, "LỖI_MÃ_VT")</f>
        <v/>
      </c>
      <c r="K1616" s="2">
        <f>I1616*J1616</f>
        <v/>
      </c>
      <c r="L1616" t="inlineStr">
        <is>
          <t>2 trục dài 460mm</t>
        </is>
      </c>
    </row>
    <row r="1617">
      <c r="A1617" t="inlineStr">
        <is>
          <t>SW-DAMPER-398-BEARING</t>
        </is>
      </c>
      <c r="B1617" t="inlineStr">
        <is>
          <t>SW-DAMPER-398</t>
        </is>
      </c>
      <c r="C1617" t="inlineStr">
        <is>
          <t>Bạc đồng D10</t>
        </is>
      </c>
      <c r="D1617" t="inlineStr">
        <is>
          <t>PHỤ_KIỆN_VAN</t>
        </is>
      </c>
      <c r="E1617" t="inlineStr">
        <is>
          <t>MAT-DAMPER-BAC-DONG-D10</t>
        </is>
      </c>
      <c r="F1617" t="inlineStr">
        <is>
          <t>Đôi</t>
        </is>
      </c>
      <c r="G1617" s="4" t="n">
        <v>2</v>
      </c>
      <c r="H1617" s="2">
        <f>XLOOKUP(B1617, '00_TONG_HOP_BAO_GIA'!B:B, '00_TONG_HOP_BAO_GIA'!G:G, 1)</f>
        <v/>
      </c>
      <c r="I1617" s="5">
        <f>G1617*H1617</f>
        <v/>
      </c>
      <c r="J1617" s="2">
        <f>XLOOKUP(E1617, '06_BANG_GIA_VAT_TU_AP_DUNG'!B:B, '06_BANG_GIA_VAT_TU_AP_DUNG'!C:C, "LỖI_MÃ_VT")</f>
        <v/>
      </c>
      <c r="K1617" s="2">
        <f>I1617*J1617</f>
        <v/>
      </c>
      <c r="L1617" t="inlineStr">
        <is>
          <t>2 đôi bạc đỡ 2 bên thân</t>
        </is>
      </c>
    </row>
    <row r="1618">
      <c r="A1618" t="inlineStr">
        <is>
          <t>SW-DAMPER-398-GEAR</t>
        </is>
      </c>
      <c r="B1618" t="inlineStr">
        <is>
          <t>SW-DAMPER-398</t>
        </is>
      </c>
      <c r="C1618" t="inlineStr">
        <is>
          <t>Bánh răng van nhôm</t>
        </is>
      </c>
      <c r="D1618" t="inlineStr">
        <is>
          <t>PHỤ_KIỆN_VAN</t>
        </is>
      </c>
      <c r="E1618" t="inlineStr">
        <is>
          <t>MAT-DAMPER-BANH-RANG-VAN-NHOM</t>
        </is>
      </c>
      <c r="F1618" t="inlineStr">
        <is>
          <t>Bộ</t>
        </is>
      </c>
      <c r="G1618" s="4" t="n">
        <v>1</v>
      </c>
      <c r="H1618" s="2">
        <f>XLOOKUP(B1618, '00_TONG_HOP_BAO_GIA'!B:B, '00_TONG_HOP_BAO_GIA'!G:G, 1)</f>
        <v/>
      </c>
      <c r="I1618" s="5">
        <f>G1618*H1618</f>
        <v/>
      </c>
      <c r="J1618" s="2">
        <f>XLOOKUP(E1618, '06_BANG_GIA_VAT_TU_AP_DUNG'!B:B, '06_BANG_GIA_VAT_TU_AP_DUNG'!C:C, "LỖI_MÃ_VT")</f>
        <v/>
      </c>
      <c r="K1618" s="2">
        <f>I1618*J1618</f>
        <v/>
      </c>
      <c r="L1618" t="inlineStr">
        <is>
          <t>Cơ cấu liên động bánh răng van</t>
        </is>
      </c>
    </row>
    <row r="1619">
      <c r="A1619" t="inlineStr">
        <is>
          <t>SW-DAMPER-398-HANDLE</t>
        </is>
      </c>
      <c r="B1619" t="inlineStr">
        <is>
          <t>SW-DAMPER-398</t>
        </is>
      </c>
      <c r="C1619" t="inlineStr">
        <is>
          <t>Tay gạt nhỏ</t>
        </is>
      </c>
      <c r="D1619" t="inlineStr">
        <is>
          <t>PHỤ_KIỆN_VAN</t>
        </is>
      </c>
      <c r="E1619" t="inlineStr">
        <is>
          <t>MAT-DAMPER-TAY-GAT-NHO</t>
        </is>
      </c>
      <c r="F1619" t="inlineStr">
        <is>
          <t>Bộ</t>
        </is>
      </c>
      <c r="G1619" s="4" t="n">
        <v>1</v>
      </c>
      <c r="H1619" s="2">
        <f>XLOOKUP(B1619, '00_TONG_HOP_BAO_GIA'!B:B, '00_TONG_HOP_BAO_GIA'!G:G, 1)</f>
        <v/>
      </c>
      <c r="I1619" s="5">
        <f>G1619*H1619</f>
        <v/>
      </c>
      <c r="J1619" s="2">
        <f>XLOOKUP(E1619, '06_BANG_GIA_VAT_TU_AP_DUNG'!B:B, '06_BANG_GIA_VAT_TU_AP_DUNG'!C:C, "LỖI_MÃ_VT")</f>
        <v/>
      </c>
      <c r="K1619" s="2">
        <f>I1619*J1619</f>
        <v/>
      </c>
      <c r="L1619" t="inlineStr">
        <is>
          <t>Tay gạt khóa vị trí nan (S=0.12m2)</t>
        </is>
      </c>
    </row>
    <row r="1620">
      <c r="A1620" t="inlineStr">
        <is>
          <t>SW-DAMPER-399-BODY</t>
        </is>
      </c>
      <c r="B1620" t="inlineStr">
        <is>
          <t>SW-DAMPER-399</t>
        </is>
      </c>
      <c r="C1620" t="inlineStr">
        <is>
          <t>Thân vỏ van VCD bích TDF (0.75mm)</t>
        </is>
      </c>
      <c r="D1620" t="inlineStr">
        <is>
          <t>TÔN_CUỘN_MẠ_KẼM</t>
        </is>
      </c>
      <c r="E1620" t="inlineStr">
        <is>
          <t>MAT-STEEL-PN-0.75</t>
        </is>
      </c>
      <c r="F1620" t="inlineStr">
        <is>
          <t>kg</t>
        </is>
      </c>
      <c r="G1620" s="4" t="n">
        <v>2.492532</v>
      </c>
      <c r="H1620" s="2">
        <f>XLOOKUP(B1620, '00_TONG_HOP_BAO_GIA'!B:B, '00_TONG_HOP_BAO_GIA'!G:G, 1)</f>
        <v/>
      </c>
      <c r="I1620" s="5">
        <f>G1620*H1620</f>
        <v/>
      </c>
      <c r="J1620" s="2">
        <f>XLOOKUP(E1620, '06_BANG_GIA_VAT_TU_AP_DUNG'!B:B, '06_BANG_GIA_VAT_TU_AP_DUNG'!C:C, "LỖI_MÃ_VT")</f>
        <v/>
      </c>
      <c r="K1620" s="2">
        <f>I1620*J1620</f>
        <v/>
      </c>
      <c r="L1620" t="inlineStr">
        <is>
          <t>Kích thước vỏ 450.0x250.0x210mm</t>
        </is>
      </c>
    </row>
    <row r="1621">
      <c r="A1621" t="inlineStr">
        <is>
          <t>SW-DAMPER-399-BLADE</t>
        </is>
      </c>
      <c r="B1621" t="inlineStr">
        <is>
          <t>SW-DAMPER-399</t>
        </is>
      </c>
      <c r="C1621" t="inlineStr">
        <is>
          <t>Lá cánh van (2 cánh overlap)</t>
        </is>
      </c>
      <c r="D1621" t="inlineStr">
        <is>
          <t>TÔN_CUỘN_MẠ_KẼM</t>
        </is>
      </c>
      <c r="E1621" t="inlineStr">
        <is>
          <t>MAT-STEEL-PN-0.75</t>
        </is>
      </c>
      <c r="F1621" t="inlineStr">
        <is>
          <t>kg</t>
        </is>
      </c>
      <c r="G1621" s="4" t="n">
        <v>0.82978425</v>
      </c>
      <c r="H1621" s="2">
        <f>XLOOKUP(B1621, '00_TONG_HOP_BAO_GIA'!B:B, '00_TONG_HOP_BAO_GIA'!G:G, 1)</f>
        <v/>
      </c>
      <c r="I1621" s="5">
        <f>G1621*H1621</f>
        <v/>
      </c>
      <c r="J1621" s="2">
        <f>XLOOKUP(E1621, '06_BANG_GIA_VAT_TU_AP_DUNG'!B:B, '06_BANG_GIA_VAT_TU_AP_DUNG'!C:C, "LỖI_MÃ_VT")</f>
        <v/>
      </c>
      <c r="K1621" s="2">
        <f>I1621*J1621</f>
        <v/>
      </c>
      <c r="L1621" t="inlineStr">
        <is>
          <t>2 cánh cao 145mm</t>
        </is>
      </c>
    </row>
    <row r="1622">
      <c r="A1622" t="inlineStr">
        <is>
          <t>SW-DAMPER-399-AXLE</t>
        </is>
      </c>
      <c r="B1622" t="inlineStr">
        <is>
          <t>SW-DAMPER-399</t>
        </is>
      </c>
      <c r="C1622" t="inlineStr">
        <is>
          <t>Trục Sus 201 D10</t>
        </is>
      </c>
      <c r="D1622" t="inlineStr">
        <is>
          <t>PHỤ_KIỆN_VAN</t>
        </is>
      </c>
      <c r="E1622" t="inlineStr">
        <is>
          <t>MAT-DAMPER-TRUC-SUS-201-D10</t>
        </is>
      </c>
      <c r="F1622" t="inlineStr">
        <is>
          <t>m</t>
        </is>
      </c>
      <c r="G1622" s="4" t="n">
        <v>1.02</v>
      </c>
      <c r="H1622" s="2">
        <f>XLOOKUP(B1622, '00_TONG_HOP_BAO_GIA'!B:B, '00_TONG_HOP_BAO_GIA'!G:G, 1)</f>
        <v/>
      </c>
      <c r="I1622" s="5">
        <f>G1622*H1622</f>
        <v/>
      </c>
      <c r="J1622" s="2">
        <f>XLOOKUP(E1622, '06_BANG_GIA_VAT_TU_AP_DUNG'!B:B, '06_BANG_GIA_VAT_TU_AP_DUNG'!C:C, "LỖI_MÃ_VT")</f>
        <v/>
      </c>
      <c r="K1622" s="2">
        <f>I1622*J1622</f>
        <v/>
      </c>
      <c r="L1622" t="inlineStr">
        <is>
          <t>2 trục dài 510mm</t>
        </is>
      </c>
    </row>
    <row r="1623">
      <c r="A1623" t="inlineStr">
        <is>
          <t>SW-DAMPER-399-BEARING</t>
        </is>
      </c>
      <c r="B1623" t="inlineStr">
        <is>
          <t>SW-DAMPER-399</t>
        </is>
      </c>
      <c r="C1623" t="inlineStr">
        <is>
          <t>Bạc đồng D10</t>
        </is>
      </c>
      <c r="D1623" t="inlineStr">
        <is>
          <t>PHỤ_KIỆN_VAN</t>
        </is>
      </c>
      <c r="E1623" t="inlineStr">
        <is>
          <t>MAT-DAMPER-BAC-DONG-D10</t>
        </is>
      </c>
      <c r="F1623" t="inlineStr">
        <is>
          <t>Đôi</t>
        </is>
      </c>
      <c r="G1623" s="4" t="n">
        <v>2</v>
      </c>
      <c r="H1623" s="2">
        <f>XLOOKUP(B1623, '00_TONG_HOP_BAO_GIA'!B:B, '00_TONG_HOP_BAO_GIA'!G:G, 1)</f>
        <v/>
      </c>
      <c r="I1623" s="5">
        <f>G1623*H1623</f>
        <v/>
      </c>
      <c r="J1623" s="2">
        <f>XLOOKUP(E1623, '06_BANG_GIA_VAT_TU_AP_DUNG'!B:B, '06_BANG_GIA_VAT_TU_AP_DUNG'!C:C, "LỖI_MÃ_VT")</f>
        <v/>
      </c>
      <c r="K1623" s="2">
        <f>I1623*J1623</f>
        <v/>
      </c>
      <c r="L1623" t="inlineStr">
        <is>
          <t>2 đôi bạc đỡ 2 bên thân</t>
        </is>
      </c>
    </row>
    <row r="1624">
      <c r="A1624" t="inlineStr">
        <is>
          <t>SW-DAMPER-399-GEAR</t>
        </is>
      </c>
      <c r="B1624" t="inlineStr">
        <is>
          <t>SW-DAMPER-399</t>
        </is>
      </c>
      <c r="C1624" t="inlineStr">
        <is>
          <t>Bánh răng van nhôm</t>
        </is>
      </c>
      <c r="D1624" t="inlineStr">
        <is>
          <t>PHỤ_KIỆN_VAN</t>
        </is>
      </c>
      <c r="E1624" t="inlineStr">
        <is>
          <t>MAT-DAMPER-BANH-RANG-VAN-NHOM</t>
        </is>
      </c>
      <c r="F1624" t="inlineStr">
        <is>
          <t>Bộ</t>
        </is>
      </c>
      <c r="G1624" s="4" t="n">
        <v>1</v>
      </c>
      <c r="H1624" s="2">
        <f>XLOOKUP(B1624, '00_TONG_HOP_BAO_GIA'!B:B, '00_TONG_HOP_BAO_GIA'!G:G, 1)</f>
        <v/>
      </c>
      <c r="I1624" s="5">
        <f>G1624*H1624</f>
        <v/>
      </c>
      <c r="J1624" s="2">
        <f>XLOOKUP(E1624, '06_BANG_GIA_VAT_TU_AP_DUNG'!B:B, '06_BANG_GIA_VAT_TU_AP_DUNG'!C:C, "LỖI_MÃ_VT")</f>
        <v/>
      </c>
      <c r="K1624" s="2">
        <f>I1624*J1624</f>
        <v/>
      </c>
      <c r="L1624" t="inlineStr">
        <is>
          <t>Cơ cấu liên động bánh răng van</t>
        </is>
      </c>
    </row>
    <row r="1625">
      <c r="A1625" t="inlineStr">
        <is>
          <t>SW-DAMPER-399-HANDLE</t>
        </is>
      </c>
      <c r="B1625" t="inlineStr">
        <is>
          <t>SW-DAMPER-399</t>
        </is>
      </c>
      <c r="C1625" t="inlineStr">
        <is>
          <t>Tay gạt nhỏ</t>
        </is>
      </c>
      <c r="D1625" t="inlineStr">
        <is>
          <t>PHỤ_KIỆN_VAN</t>
        </is>
      </c>
      <c r="E1625" t="inlineStr">
        <is>
          <t>MAT-DAMPER-TAY-GAT-NHO</t>
        </is>
      </c>
      <c r="F1625" t="inlineStr">
        <is>
          <t>Bộ</t>
        </is>
      </c>
      <c r="G1625" s="4" t="n">
        <v>1</v>
      </c>
      <c r="H1625" s="2">
        <f>XLOOKUP(B1625, '00_TONG_HOP_BAO_GIA'!B:B, '00_TONG_HOP_BAO_GIA'!G:G, 1)</f>
        <v/>
      </c>
      <c r="I1625" s="5">
        <f>G1625*H1625</f>
        <v/>
      </c>
      <c r="J1625" s="2">
        <f>XLOOKUP(E1625, '06_BANG_GIA_VAT_TU_AP_DUNG'!B:B, '06_BANG_GIA_VAT_TU_AP_DUNG'!C:C, "LỖI_MÃ_VT")</f>
        <v/>
      </c>
      <c r="K1625" s="2">
        <f>I1625*J1625</f>
        <v/>
      </c>
      <c r="L1625" t="inlineStr">
        <is>
          <t>Tay gạt khóa vị trí nan (S=0.11m2)</t>
        </is>
      </c>
    </row>
    <row r="1626">
      <c r="A1626" t="inlineStr">
        <is>
          <t>SW-DAMPER-400-BODY</t>
        </is>
      </c>
      <c r="B1626" t="inlineStr">
        <is>
          <t>SW-DAMPER-400</t>
        </is>
      </c>
      <c r="C1626" t="inlineStr">
        <is>
          <t>Thân vỏ van VCD bích TDF (0.75mm)</t>
        </is>
      </c>
      <c r="D1626" t="inlineStr">
        <is>
          <t>TÔN_CUỘN_MẠ_KẼM</t>
        </is>
      </c>
      <c r="E1626" t="inlineStr">
        <is>
          <t>MAT-STEEL-PN-0.75</t>
        </is>
      </c>
      <c r="F1626" t="inlineStr">
        <is>
          <t>kg</t>
        </is>
      </c>
      <c r="G1626" s="4" t="n">
        <v>2.6656245</v>
      </c>
      <c r="H1626" s="2">
        <f>XLOOKUP(B1626, '00_TONG_HOP_BAO_GIA'!B:B, '00_TONG_HOP_BAO_GIA'!G:G, 1)</f>
        <v/>
      </c>
      <c r="I1626" s="5">
        <f>G1626*H1626</f>
        <v/>
      </c>
      <c r="J1626" s="2">
        <f>XLOOKUP(E1626, '06_BANG_GIA_VAT_TU_AP_DUNG'!B:B, '06_BANG_GIA_VAT_TU_AP_DUNG'!C:C, "LỖI_MÃ_VT")</f>
        <v/>
      </c>
      <c r="K1626" s="2">
        <f>I1626*J1626</f>
        <v/>
      </c>
      <c r="L1626" t="inlineStr">
        <is>
          <t>Kích thước vỏ 500.0x250.0x210mm</t>
        </is>
      </c>
    </row>
    <row r="1627">
      <c r="A1627" t="inlineStr">
        <is>
          <t>SW-DAMPER-400-BLADE</t>
        </is>
      </c>
      <c r="B1627" t="inlineStr">
        <is>
          <t>SW-DAMPER-400</t>
        </is>
      </c>
      <c r="C1627" t="inlineStr">
        <is>
          <t>Lá cánh van (2 cánh overlap)</t>
        </is>
      </c>
      <c r="D1627" t="inlineStr">
        <is>
          <t>TÔN_CUỘN_MẠ_KẼM</t>
        </is>
      </c>
      <c r="E1627" t="inlineStr">
        <is>
          <t>MAT-STEEL-PN-0.75</t>
        </is>
      </c>
      <c r="F1627" t="inlineStr">
        <is>
          <t>kg</t>
        </is>
      </c>
      <c r="G1627" s="4" t="n">
        <v>0.9219824999999998</v>
      </c>
      <c r="H1627" s="2">
        <f>XLOOKUP(B1627, '00_TONG_HOP_BAO_GIA'!B:B, '00_TONG_HOP_BAO_GIA'!G:G, 1)</f>
        <v/>
      </c>
      <c r="I1627" s="5">
        <f>G1627*H1627</f>
        <v/>
      </c>
      <c r="J1627" s="2">
        <f>XLOOKUP(E1627, '06_BANG_GIA_VAT_TU_AP_DUNG'!B:B, '06_BANG_GIA_VAT_TU_AP_DUNG'!C:C, "LỖI_MÃ_VT")</f>
        <v/>
      </c>
      <c r="K1627" s="2">
        <f>I1627*J1627</f>
        <v/>
      </c>
      <c r="L1627" t="inlineStr">
        <is>
          <t>2 cánh cao 145mm</t>
        </is>
      </c>
    </row>
    <row r="1628">
      <c r="A1628" t="inlineStr">
        <is>
          <t>SW-DAMPER-400-AXLE</t>
        </is>
      </c>
      <c r="B1628" t="inlineStr">
        <is>
          <t>SW-DAMPER-400</t>
        </is>
      </c>
      <c r="C1628" t="inlineStr">
        <is>
          <t>Trục Sus 201 D10</t>
        </is>
      </c>
      <c r="D1628" t="inlineStr">
        <is>
          <t>PHỤ_KIỆN_VAN</t>
        </is>
      </c>
      <c r="E1628" t="inlineStr">
        <is>
          <t>MAT-DAMPER-TRUC-SUS-201-D10</t>
        </is>
      </c>
      <c r="F1628" t="inlineStr">
        <is>
          <t>m</t>
        </is>
      </c>
      <c r="G1628" s="4" t="n">
        <v>1.12</v>
      </c>
      <c r="H1628" s="2">
        <f>XLOOKUP(B1628, '00_TONG_HOP_BAO_GIA'!B:B, '00_TONG_HOP_BAO_GIA'!G:G, 1)</f>
        <v/>
      </c>
      <c r="I1628" s="5">
        <f>G1628*H1628</f>
        <v/>
      </c>
      <c r="J1628" s="2">
        <f>XLOOKUP(E1628, '06_BANG_GIA_VAT_TU_AP_DUNG'!B:B, '06_BANG_GIA_VAT_TU_AP_DUNG'!C:C, "LỖI_MÃ_VT")</f>
        <v/>
      </c>
      <c r="K1628" s="2">
        <f>I1628*J1628</f>
        <v/>
      </c>
      <c r="L1628" t="inlineStr">
        <is>
          <t>2 trục dài 560mm</t>
        </is>
      </c>
    </row>
    <row r="1629">
      <c r="A1629" t="inlineStr">
        <is>
          <t>SW-DAMPER-400-BEARING</t>
        </is>
      </c>
      <c r="B1629" t="inlineStr">
        <is>
          <t>SW-DAMPER-400</t>
        </is>
      </c>
      <c r="C1629" t="inlineStr">
        <is>
          <t>Bạc đồng D10</t>
        </is>
      </c>
      <c r="D1629" t="inlineStr">
        <is>
          <t>PHỤ_KIỆN_VAN</t>
        </is>
      </c>
      <c r="E1629" t="inlineStr">
        <is>
          <t>MAT-DAMPER-BAC-DONG-D10</t>
        </is>
      </c>
      <c r="F1629" t="inlineStr">
        <is>
          <t>Đôi</t>
        </is>
      </c>
      <c r="G1629" s="4" t="n">
        <v>2</v>
      </c>
      <c r="H1629" s="2">
        <f>XLOOKUP(B1629, '00_TONG_HOP_BAO_GIA'!B:B, '00_TONG_HOP_BAO_GIA'!G:G, 1)</f>
        <v/>
      </c>
      <c r="I1629" s="5">
        <f>G1629*H1629</f>
        <v/>
      </c>
      <c r="J1629" s="2">
        <f>XLOOKUP(E1629, '06_BANG_GIA_VAT_TU_AP_DUNG'!B:B, '06_BANG_GIA_VAT_TU_AP_DUNG'!C:C, "LỖI_MÃ_VT")</f>
        <v/>
      </c>
      <c r="K1629" s="2">
        <f>I1629*J1629</f>
        <v/>
      </c>
      <c r="L1629" t="inlineStr">
        <is>
          <t>2 đôi bạc đỡ 2 bên thân</t>
        </is>
      </c>
    </row>
    <row r="1630">
      <c r="A1630" t="inlineStr">
        <is>
          <t>SW-DAMPER-400-GEAR</t>
        </is>
      </c>
      <c r="B1630" t="inlineStr">
        <is>
          <t>SW-DAMPER-400</t>
        </is>
      </c>
      <c r="C1630" t="inlineStr">
        <is>
          <t>Bánh răng van nhôm</t>
        </is>
      </c>
      <c r="D1630" t="inlineStr">
        <is>
          <t>PHỤ_KIỆN_VAN</t>
        </is>
      </c>
      <c r="E1630" t="inlineStr">
        <is>
          <t>MAT-DAMPER-BANH-RANG-VAN-NHOM</t>
        </is>
      </c>
      <c r="F1630" t="inlineStr">
        <is>
          <t>Bộ</t>
        </is>
      </c>
      <c r="G1630" s="4" t="n">
        <v>1</v>
      </c>
      <c r="H1630" s="2">
        <f>XLOOKUP(B1630, '00_TONG_HOP_BAO_GIA'!B:B, '00_TONG_HOP_BAO_GIA'!G:G, 1)</f>
        <v/>
      </c>
      <c r="I1630" s="5">
        <f>G1630*H1630</f>
        <v/>
      </c>
      <c r="J1630" s="2">
        <f>XLOOKUP(E1630, '06_BANG_GIA_VAT_TU_AP_DUNG'!B:B, '06_BANG_GIA_VAT_TU_AP_DUNG'!C:C, "LỖI_MÃ_VT")</f>
        <v/>
      </c>
      <c r="K1630" s="2">
        <f>I1630*J1630</f>
        <v/>
      </c>
      <c r="L1630" t="inlineStr">
        <is>
          <t>Cơ cấu liên động bánh răng van</t>
        </is>
      </c>
    </row>
    <row r="1631">
      <c r="A1631" t="inlineStr">
        <is>
          <t>SW-DAMPER-400-HANDLE</t>
        </is>
      </c>
      <c r="B1631" t="inlineStr">
        <is>
          <t>SW-DAMPER-400</t>
        </is>
      </c>
      <c r="C1631" t="inlineStr">
        <is>
          <t>Tay gạt nhỏ</t>
        </is>
      </c>
      <c r="D1631" t="inlineStr">
        <is>
          <t>PHỤ_KIỆN_VAN</t>
        </is>
      </c>
      <c r="E1631" t="inlineStr">
        <is>
          <t>MAT-DAMPER-TAY-GAT-NHO</t>
        </is>
      </c>
      <c r="F1631" t="inlineStr">
        <is>
          <t>Bộ</t>
        </is>
      </c>
      <c r="G1631" s="4" t="n">
        <v>1</v>
      </c>
      <c r="H1631" s="2">
        <f>XLOOKUP(B1631, '00_TONG_HOP_BAO_GIA'!B:B, '00_TONG_HOP_BAO_GIA'!G:G, 1)</f>
        <v/>
      </c>
      <c r="I1631" s="5">
        <f>G1631*H1631</f>
        <v/>
      </c>
      <c r="J1631" s="2">
        <f>XLOOKUP(E1631, '06_BANG_GIA_VAT_TU_AP_DUNG'!B:B, '06_BANG_GIA_VAT_TU_AP_DUNG'!C:C, "LỖI_MÃ_VT")</f>
        <v/>
      </c>
      <c r="K1631" s="2">
        <f>I1631*J1631</f>
        <v/>
      </c>
      <c r="L1631" t="inlineStr">
        <is>
          <t>Tay gạt khóa vị trí nan (S=0.12m2)</t>
        </is>
      </c>
    </row>
    <row r="1632">
      <c r="A1632" t="inlineStr">
        <is>
          <t>SW-DAMPER-401-BODY</t>
        </is>
      </c>
      <c r="B1632" t="inlineStr">
        <is>
          <t>SW-DAMPER-401</t>
        </is>
      </c>
      <c r="C1632" t="inlineStr">
        <is>
          <t>Thân vỏ van VCD bích TDF (0.75mm)</t>
        </is>
      </c>
      <c r="D1632" t="inlineStr">
        <is>
          <t>TÔN_CUỘN_MẠ_KẼM</t>
        </is>
      </c>
      <c r="E1632" t="inlineStr">
        <is>
          <t>MAT-STEEL-PN-0.75</t>
        </is>
      </c>
      <c r="F1632" t="inlineStr">
        <is>
          <t>kg</t>
        </is>
      </c>
      <c r="G1632" s="4" t="n">
        <v>2.838717</v>
      </c>
      <c r="H1632" s="2">
        <f>XLOOKUP(B1632, '00_TONG_HOP_BAO_GIA'!B:B, '00_TONG_HOP_BAO_GIA'!G:G, 1)</f>
        <v/>
      </c>
      <c r="I1632" s="5">
        <f>G1632*H1632</f>
        <v/>
      </c>
      <c r="J1632" s="2">
        <f>XLOOKUP(E1632, '06_BANG_GIA_VAT_TU_AP_DUNG'!B:B, '06_BANG_GIA_VAT_TU_AP_DUNG'!C:C, "LỖI_MÃ_VT")</f>
        <v/>
      </c>
      <c r="K1632" s="2">
        <f>I1632*J1632</f>
        <v/>
      </c>
      <c r="L1632" t="inlineStr">
        <is>
          <t>Kích thước vỏ 500.0x300.0x210mm</t>
        </is>
      </c>
    </row>
    <row r="1633">
      <c r="A1633" t="inlineStr">
        <is>
          <t>SW-DAMPER-401-BLADE</t>
        </is>
      </c>
      <c r="B1633" t="inlineStr">
        <is>
          <t>SW-DAMPER-401</t>
        </is>
      </c>
      <c r="C1633" t="inlineStr">
        <is>
          <t>Lá cánh van (2 cánh overlap)</t>
        </is>
      </c>
      <c r="D1633" t="inlineStr">
        <is>
          <t>TÔN_CUỘN_MẠ_KẼM</t>
        </is>
      </c>
      <c r="E1633" t="inlineStr">
        <is>
          <t>MAT-STEEL-PN-0.75</t>
        </is>
      </c>
      <c r="F1633" t="inlineStr">
        <is>
          <t>kg</t>
        </is>
      </c>
      <c r="G1633" s="4" t="n">
        <v>1.080945</v>
      </c>
      <c r="H1633" s="2">
        <f>XLOOKUP(B1633, '00_TONG_HOP_BAO_GIA'!B:B, '00_TONG_HOP_BAO_GIA'!G:G, 1)</f>
        <v/>
      </c>
      <c r="I1633" s="5">
        <f>G1633*H1633</f>
        <v/>
      </c>
      <c r="J1633" s="2">
        <f>XLOOKUP(E1633, '06_BANG_GIA_VAT_TU_AP_DUNG'!B:B, '06_BANG_GIA_VAT_TU_AP_DUNG'!C:C, "LỖI_MÃ_VT")</f>
        <v/>
      </c>
      <c r="K1633" s="2">
        <f>I1633*J1633</f>
        <v/>
      </c>
      <c r="L1633" t="inlineStr">
        <is>
          <t>2 cánh cao 170mm</t>
        </is>
      </c>
    </row>
    <row r="1634">
      <c r="A1634" t="inlineStr">
        <is>
          <t>SW-DAMPER-401-AXLE</t>
        </is>
      </c>
      <c r="B1634" t="inlineStr">
        <is>
          <t>SW-DAMPER-401</t>
        </is>
      </c>
      <c r="C1634" t="inlineStr">
        <is>
          <t>Trục Sus 201 D10</t>
        </is>
      </c>
      <c r="D1634" t="inlineStr">
        <is>
          <t>PHỤ_KIỆN_VAN</t>
        </is>
      </c>
      <c r="E1634" t="inlineStr">
        <is>
          <t>MAT-DAMPER-TRUC-SUS-201-D10</t>
        </is>
      </c>
      <c r="F1634" t="inlineStr">
        <is>
          <t>m</t>
        </is>
      </c>
      <c r="G1634" s="4" t="n">
        <v>1.12</v>
      </c>
      <c r="H1634" s="2">
        <f>XLOOKUP(B1634, '00_TONG_HOP_BAO_GIA'!B:B, '00_TONG_HOP_BAO_GIA'!G:G, 1)</f>
        <v/>
      </c>
      <c r="I1634" s="5">
        <f>G1634*H1634</f>
        <v/>
      </c>
      <c r="J1634" s="2">
        <f>XLOOKUP(E1634, '06_BANG_GIA_VAT_TU_AP_DUNG'!B:B, '06_BANG_GIA_VAT_TU_AP_DUNG'!C:C, "LỖI_MÃ_VT")</f>
        <v/>
      </c>
      <c r="K1634" s="2">
        <f>I1634*J1634</f>
        <v/>
      </c>
      <c r="L1634" t="inlineStr">
        <is>
          <t>2 trục dài 560mm</t>
        </is>
      </c>
    </row>
    <row r="1635">
      <c r="A1635" t="inlineStr">
        <is>
          <t>SW-DAMPER-401-BEARING</t>
        </is>
      </c>
      <c r="B1635" t="inlineStr">
        <is>
          <t>SW-DAMPER-401</t>
        </is>
      </c>
      <c r="C1635" t="inlineStr">
        <is>
          <t>Bạc đồng D10</t>
        </is>
      </c>
      <c r="D1635" t="inlineStr">
        <is>
          <t>PHỤ_KIỆN_VAN</t>
        </is>
      </c>
      <c r="E1635" t="inlineStr">
        <is>
          <t>MAT-DAMPER-BAC-DONG-D10</t>
        </is>
      </c>
      <c r="F1635" t="inlineStr">
        <is>
          <t>Đôi</t>
        </is>
      </c>
      <c r="G1635" s="4" t="n">
        <v>2</v>
      </c>
      <c r="H1635" s="2">
        <f>XLOOKUP(B1635, '00_TONG_HOP_BAO_GIA'!B:B, '00_TONG_HOP_BAO_GIA'!G:G, 1)</f>
        <v/>
      </c>
      <c r="I1635" s="5">
        <f>G1635*H1635</f>
        <v/>
      </c>
      <c r="J1635" s="2">
        <f>XLOOKUP(E1635, '06_BANG_GIA_VAT_TU_AP_DUNG'!B:B, '06_BANG_GIA_VAT_TU_AP_DUNG'!C:C, "LỖI_MÃ_VT")</f>
        <v/>
      </c>
      <c r="K1635" s="2">
        <f>I1635*J1635</f>
        <v/>
      </c>
      <c r="L1635" t="inlineStr">
        <is>
          <t>2 đôi bạc đỡ 2 bên thân</t>
        </is>
      </c>
    </row>
    <row r="1636">
      <c r="A1636" t="inlineStr">
        <is>
          <t>SW-DAMPER-401-GEAR</t>
        </is>
      </c>
      <c r="B1636" t="inlineStr">
        <is>
          <t>SW-DAMPER-401</t>
        </is>
      </c>
      <c r="C1636" t="inlineStr">
        <is>
          <t>Bánh răng van nhôm</t>
        </is>
      </c>
      <c r="D1636" t="inlineStr">
        <is>
          <t>PHỤ_KIỆN_VAN</t>
        </is>
      </c>
      <c r="E1636" t="inlineStr">
        <is>
          <t>MAT-DAMPER-BANH-RANG-VAN-NHOM</t>
        </is>
      </c>
      <c r="F1636" t="inlineStr">
        <is>
          <t>Bộ</t>
        </is>
      </c>
      <c r="G1636" s="4" t="n">
        <v>1</v>
      </c>
      <c r="H1636" s="2">
        <f>XLOOKUP(B1636, '00_TONG_HOP_BAO_GIA'!B:B, '00_TONG_HOP_BAO_GIA'!G:G, 1)</f>
        <v/>
      </c>
      <c r="I1636" s="5">
        <f>G1636*H1636</f>
        <v/>
      </c>
      <c r="J1636" s="2">
        <f>XLOOKUP(E1636, '06_BANG_GIA_VAT_TU_AP_DUNG'!B:B, '06_BANG_GIA_VAT_TU_AP_DUNG'!C:C, "LỖI_MÃ_VT")</f>
        <v/>
      </c>
      <c r="K1636" s="2">
        <f>I1636*J1636</f>
        <v/>
      </c>
      <c r="L1636" t="inlineStr">
        <is>
          <t>Cơ cấu liên động bánh răng van</t>
        </is>
      </c>
    </row>
    <row r="1637">
      <c r="A1637" t="inlineStr">
        <is>
          <t>SW-DAMPER-401-HANDLE</t>
        </is>
      </c>
      <c r="B1637" t="inlineStr">
        <is>
          <t>SW-DAMPER-401</t>
        </is>
      </c>
      <c r="C1637" t="inlineStr">
        <is>
          <t>Tay gạt nhỏ</t>
        </is>
      </c>
      <c r="D1637" t="inlineStr">
        <is>
          <t>PHỤ_KIỆN_VAN</t>
        </is>
      </c>
      <c r="E1637" t="inlineStr">
        <is>
          <t>MAT-DAMPER-TAY-GAT-NHO</t>
        </is>
      </c>
      <c r="F1637" t="inlineStr">
        <is>
          <t>Bộ</t>
        </is>
      </c>
      <c r="G1637" s="4" t="n">
        <v>1</v>
      </c>
      <c r="H1637" s="2">
        <f>XLOOKUP(B1637, '00_TONG_HOP_BAO_GIA'!B:B, '00_TONG_HOP_BAO_GIA'!G:G, 1)</f>
        <v/>
      </c>
      <c r="I1637" s="5">
        <f>G1637*H1637</f>
        <v/>
      </c>
      <c r="J1637" s="2">
        <f>XLOOKUP(E1637, '06_BANG_GIA_VAT_TU_AP_DUNG'!B:B, '06_BANG_GIA_VAT_TU_AP_DUNG'!C:C, "LỖI_MÃ_VT")</f>
        <v/>
      </c>
      <c r="K1637" s="2">
        <f>I1637*J1637</f>
        <v/>
      </c>
      <c r="L1637" t="inlineStr">
        <is>
          <t>Tay gạt khóa vị trí nan (S=0.15m2)</t>
        </is>
      </c>
    </row>
    <row r="1638">
      <c r="A1638" t="inlineStr">
        <is>
          <t>SW-DAMPER-402-BODY</t>
        </is>
      </c>
      <c r="B1638" t="inlineStr">
        <is>
          <t>SW-DAMPER-402</t>
        </is>
      </c>
      <c r="C1638" t="inlineStr">
        <is>
          <t>Thân vỏ van VCD bích TDF (0.75mm)</t>
        </is>
      </c>
      <c r="D1638" t="inlineStr">
        <is>
          <t>TÔN_CUỘN_MẠ_KẼM</t>
        </is>
      </c>
      <c r="E1638" t="inlineStr">
        <is>
          <t>MAT-STEEL-PN-0.75</t>
        </is>
      </c>
      <c r="F1638" t="inlineStr">
        <is>
          <t>kg</t>
        </is>
      </c>
      <c r="G1638" s="4" t="n">
        <v>3.0118095</v>
      </c>
      <c r="H1638" s="2">
        <f>XLOOKUP(B1638, '00_TONG_HOP_BAO_GIA'!B:B, '00_TONG_HOP_BAO_GIA'!G:G, 1)</f>
        <v/>
      </c>
      <c r="I1638" s="5">
        <f>G1638*H1638</f>
        <v/>
      </c>
      <c r="J1638" s="2">
        <f>XLOOKUP(E1638, '06_BANG_GIA_VAT_TU_AP_DUNG'!B:B, '06_BANG_GIA_VAT_TU_AP_DUNG'!C:C, "LỖI_MÃ_VT")</f>
        <v/>
      </c>
      <c r="K1638" s="2">
        <f>I1638*J1638</f>
        <v/>
      </c>
      <c r="L1638" t="inlineStr">
        <is>
          <t>Kích thước vỏ 600.0x250.0x210mm</t>
        </is>
      </c>
    </row>
    <row r="1639">
      <c r="A1639" t="inlineStr">
        <is>
          <t>SW-DAMPER-402-BLADE</t>
        </is>
      </c>
      <c r="B1639" t="inlineStr">
        <is>
          <t>SW-DAMPER-402</t>
        </is>
      </c>
      <c r="C1639" t="inlineStr">
        <is>
          <t>Lá cánh van (2 cánh overlap)</t>
        </is>
      </c>
      <c r="D1639" t="inlineStr">
        <is>
          <t>TÔN_CUỘN_MẠ_KẼM</t>
        </is>
      </c>
      <c r="E1639" t="inlineStr">
        <is>
          <t>MAT-STEEL-PN-0.75</t>
        </is>
      </c>
      <c r="F1639" t="inlineStr">
        <is>
          <t>kg</t>
        </is>
      </c>
      <c r="G1639" s="4" t="n">
        <v>1.106379</v>
      </c>
      <c r="H1639" s="2">
        <f>XLOOKUP(B1639, '00_TONG_HOP_BAO_GIA'!B:B, '00_TONG_HOP_BAO_GIA'!G:G, 1)</f>
        <v/>
      </c>
      <c r="I1639" s="5">
        <f>G1639*H1639</f>
        <v/>
      </c>
      <c r="J1639" s="2">
        <f>XLOOKUP(E1639, '06_BANG_GIA_VAT_TU_AP_DUNG'!B:B, '06_BANG_GIA_VAT_TU_AP_DUNG'!C:C, "LỖI_MÃ_VT")</f>
        <v/>
      </c>
      <c r="K1639" s="2">
        <f>I1639*J1639</f>
        <v/>
      </c>
      <c r="L1639" t="inlineStr">
        <is>
          <t>2 cánh cao 145mm</t>
        </is>
      </c>
    </row>
    <row r="1640">
      <c r="A1640" t="inlineStr">
        <is>
          <t>SW-DAMPER-402-AXLE</t>
        </is>
      </c>
      <c r="B1640" t="inlineStr">
        <is>
          <t>SW-DAMPER-402</t>
        </is>
      </c>
      <c r="C1640" t="inlineStr">
        <is>
          <t>Trục Sus 201 D10</t>
        </is>
      </c>
      <c r="D1640" t="inlineStr">
        <is>
          <t>PHỤ_KIỆN_VAN</t>
        </is>
      </c>
      <c r="E1640" t="inlineStr">
        <is>
          <t>MAT-DAMPER-TRUC-SUS-201-D10</t>
        </is>
      </c>
      <c r="F1640" t="inlineStr">
        <is>
          <t>m</t>
        </is>
      </c>
      <c r="G1640" s="4" t="n">
        <v>1.32</v>
      </c>
      <c r="H1640" s="2">
        <f>XLOOKUP(B1640, '00_TONG_HOP_BAO_GIA'!B:B, '00_TONG_HOP_BAO_GIA'!G:G, 1)</f>
        <v/>
      </c>
      <c r="I1640" s="5">
        <f>G1640*H1640</f>
        <v/>
      </c>
      <c r="J1640" s="2">
        <f>XLOOKUP(E1640, '06_BANG_GIA_VAT_TU_AP_DUNG'!B:B, '06_BANG_GIA_VAT_TU_AP_DUNG'!C:C, "LỖI_MÃ_VT")</f>
        <v/>
      </c>
      <c r="K1640" s="2">
        <f>I1640*J1640</f>
        <v/>
      </c>
      <c r="L1640" t="inlineStr">
        <is>
          <t>2 trục dài 660mm</t>
        </is>
      </c>
    </row>
    <row r="1641">
      <c r="A1641" t="inlineStr">
        <is>
          <t>SW-DAMPER-402-BEARING</t>
        </is>
      </c>
      <c r="B1641" t="inlineStr">
        <is>
          <t>SW-DAMPER-402</t>
        </is>
      </c>
      <c r="C1641" t="inlineStr">
        <is>
          <t>Bạc đồng D10</t>
        </is>
      </c>
      <c r="D1641" t="inlineStr">
        <is>
          <t>PHỤ_KIỆN_VAN</t>
        </is>
      </c>
      <c r="E1641" t="inlineStr">
        <is>
          <t>MAT-DAMPER-BAC-DONG-D10</t>
        </is>
      </c>
      <c r="F1641" t="inlineStr">
        <is>
          <t>Đôi</t>
        </is>
      </c>
      <c r="G1641" s="4" t="n">
        <v>2</v>
      </c>
      <c r="H1641" s="2">
        <f>XLOOKUP(B1641, '00_TONG_HOP_BAO_GIA'!B:B, '00_TONG_HOP_BAO_GIA'!G:G, 1)</f>
        <v/>
      </c>
      <c r="I1641" s="5">
        <f>G1641*H1641</f>
        <v/>
      </c>
      <c r="J1641" s="2">
        <f>XLOOKUP(E1641, '06_BANG_GIA_VAT_TU_AP_DUNG'!B:B, '06_BANG_GIA_VAT_TU_AP_DUNG'!C:C, "LỖI_MÃ_VT")</f>
        <v/>
      </c>
      <c r="K1641" s="2">
        <f>I1641*J1641</f>
        <v/>
      </c>
      <c r="L1641" t="inlineStr">
        <is>
          <t>2 đôi bạc đỡ 2 bên thân</t>
        </is>
      </c>
    </row>
    <row r="1642">
      <c r="A1642" t="inlineStr">
        <is>
          <t>SW-DAMPER-402-GEAR</t>
        </is>
      </c>
      <c r="B1642" t="inlineStr">
        <is>
          <t>SW-DAMPER-402</t>
        </is>
      </c>
      <c r="C1642" t="inlineStr">
        <is>
          <t>Bánh răng van nhôm</t>
        </is>
      </c>
      <c r="D1642" t="inlineStr">
        <is>
          <t>PHỤ_KIỆN_VAN</t>
        </is>
      </c>
      <c r="E1642" t="inlineStr">
        <is>
          <t>MAT-DAMPER-BANH-RANG-VAN-NHOM</t>
        </is>
      </c>
      <c r="F1642" t="inlineStr">
        <is>
          <t>Bộ</t>
        </is>
      </c>
      <c r="G1642" s="4" t="n">
        <v>1</v>
      </c>
      <c r="H1642" s="2">
        <f>XLOOKUP(B1642, '00_TONG_HOP_BAO_GIA'!B:B, '00_TONG_HOP_BAO_GIA'!G:G, 1)</f>
        <v/>
      </c>
      <c r="I1642" s="5">
        <f>G1642*H1642</f>
        <v/>
      </c>
      <c r="J1642" s="2">
        <f>XLOOKUP(E1642, '06_BANG_GIA_VAT_TU_AP_DUNG'!B:B, '06_BANG_GIA_VAT_TU_AP_DUNG'!C:C, "LỖI_MÃ_VT")</f>
        <v/>
      </c>
      <c r="K1642" s="2">
        <f>I1642*J1642</f>
        <v/>
      </c>
      <c r="L1642" t="inlineStr">
        <is>
          <t>Cơ cấu liên động bánh răng van</t>
        </is>
      </c>
    </row>
    <row r="1643">
      <c r="A1643" t="inlineStr">
        <is>
          <t>SW-DAMPER-402-HANDLE</t>
        </is>
      </c>
      <c r="B1643" t="inlineStr">
        <is>
          <t>SW-DAMPER-402</t>
        </is>
      </c>
      <c r="C1643" t="inlineStr">
        <is>
          <t>Tay gạt nhỏ</t>
        </is>
      </c>
      <c r="D1643" t="inlineStr">
        <is>
          <t>PHỤ_KIỆN_VAN</t>
        </is>
      </c>
      <c r="E1643" t="inlineStr">
        <is>
          <t>MAT-DAMPER-TAY-GAT-NHO</t>
        </is>
      </c>
      <c r="F1643" t="inlineStr">
        <is>
          <t>Bộ</t>
        </is>
      </c>
      <c r="G1643" s="4" t="n">
        <v>1</v>
      </c>
      <c r="H1643" s="2">
        <f>XLOOKUP(B1643, '00_TONG_HOP_BAO_GIA'!B:B, '00_TONG_HOP_BAO_GIA'!G:G, 1)</f>
        <v/>
      </c>
      <c r="I1643" s="5">
        <f>G1643*H1643</f>
        <v/>
      </c>
      <c r="J1643" s="2">
        <f>XLOOKUP(E1643, '06_BANG_GIA_VAT_TU_AP_DUNG'!B:B, '06_BANG_GIA_VAT_TU_AP_DUNG'!C:C, "LỖI_MÃ_VT")</f>
        <v/>
      </c>
      <c r="K1643" s="2">
        <f>I1643*J1643</f>
        <v/>
      </c>
      <c r="L1643" t="inlineStr">
        <is>
          <t>Tay gạt khóa vị trí nan (S=0.15m2)</t>
        </is>
      </c>
    </row>
    <row r="1644">
      <c r="A1644" t="inlineStr">
        <is>
          <t>SW-DAMPER-403-BODY</t>
        </is>
      </c>
      <c r="B1644" t="inlineStr">
        <is>
          <t>SW-DAMPER-403</t>
        </is>
      </c>
      <c r="C1644" t="inlineStr">
        <is>
          <t>Thân vỏ van VCD bích TDF (0.75mm)</t>
        </is>
      </c>
      <c r="D1644" t="inlineStr">
        <is>
          <t>TÔN_CUỘN_MẠ_KẼM</t>
        </is>
      </c>
      <c r="E1644" t="inlineStr">
        <is>
          <t>MAT-STEEL-PN-0.75</t>
        </is>
      </c>
      <c r="F1644" t="inlineStr">
        <is>
          <t>kg</t>
        </is>
      </c>
      <c r="G1644" s="4" t="n">
        <v>3.184902</v>
      </c>
      <c r="H1644" s="2">
        <f>XLOOKUP(B1644, '00_TONG_HOP_BAO_GIA'!B:B, '00_TONG_HOP_BAO_GIA'!G:G, 1)</f>
        <v/>
      </c>
      <c r="I1644" s="5">
        <f>G1644*H1644</f>
        <v/>
      </c>
      <c r="J1644" s="2">
        <f>XLOOKUP(E1644, '06_BANG_GIA_VAT_TU_AP_DUNG'!B:B, '06_BANG_GIA_VAT_TU_AP_DUNG'!C:C, "LỖI_MÃ_VT")</f>
        <v/>
      </c>
      <c r="K1644" s="2">
        <f>I1644*J1644</f>
        <v/>
      </c>
      <c r="L1644" t="inlineStr">
        <is>
          <t>Kích thước vỏ 600.0x300.0x210mm</t>
        </is>
      </c>
    </row>
    <row r="1645">
      <c r="A1645" t="inlineStr">
        <is>
          <t>SW-DAMPER-403-BLADE</t>
        </is>
      </c>
      <c r="B1645" t="inlineStr">
        <is>
          <t>SW-DAMPER-403</t>
        </is>
      </c>
      <c r="C1645" t="inlineStr">
        <is>
          <t>Lá cánh van (2 cánh overlap)</t>
        </is>
      </c>
      <c r="D1645" t="inlineStr">
        <is>
          <t>TÔN_CUỘN_MẠ_KẼM</t>
        </is>
      </c>
      <c r="E1645" t="inlineStr">
        <is>
          <t>MAT-STEEL-PN-0.75</t>
        </is>
      </c>
      <c r="F1645" t="inlineStr">
        <is>
          <t>kg</t>
        </is>
      </c>
      <c r="G1645" s="4" t="n">
        <v>1.297134</v>
      </c>
      <c r="H1645" s="2">
        <f>XLOOKUP(B1645, '00_TONG_HOP_BAO_GIA'!B:B, '00_TONG_HOP_BAO_GIA'!G:G, 1)</f>
        <v/>
      </c>
      <c r="I1645" s="5">
        <f>G1645*H1645</f>
        <v/>
      </c>
      <c r="J1645" s="2">
        <f>XLOOKUP(E1645, '06_BANG_GIA_VAT_TU_AP_DUNG'!B:B, '06_BANG_GIA_VAT_TU_AP_DUNG'!C:C, "LỖI_MÃ_VT")</f>
        <v/>
      </c>
      <c r="K1645" s="2">
        <f>I1645*J1645</f>
        <v/>
      </c>
      <c r="L1645" t="inlineStr">
        <is>
          <t>2 cánh cao 170mm</t>
        </is>
      </c>
    </row>
    <row r="1646">
      <c r="A1646" t="inlineStr">
        <is>
          <t>SW-DAMPER-403-AXLE</t>
        </is>
      </c>
      <c r="B1646" t="inlineStr">
        <is>
          <t>SW-DAMPER-403</t>
        </is>
      </c>
      <c r="C1646" t="inlineStr">
        <is>
          <t>Trục Sus 201 D10</t>
        </is>
      </c>
      <c r="D1646" t="inlineStr">
        <is>
          <t>PHỤ_KIỆN_VAN</t>
        </is>
      </c>
      <c r="E1646" t="inlineStr">
        <is>
          <t>MAT-DAMPER-TRUC-SUS-201-D10</t>
        </is>
      </c>
      <c r="F1646" t="inlineStr">
        <is>
          <t>m</t>
        </is>
      </c>
      <c r="G1646" s="4" t="n">
        <v>1.32</v>
      </c>
      <c r="H1646" s="2">
        <f>XLOOKUP(B1646, '00_TONG_HOP_BAO_GIA'!B:B, '00_TONG_HOP_BAO_GIA'!G:G, 1)</f>
        <v/>
      </c>
      <c r="I1646" s="5">
        <f>G1646*H1646</f>
        <v/>
      </c>
      <c r="J1646" s="2">
        <f>XLOOKUP(E1646, '06_BANG_GIA_VAT_TU_AP_DUNG'!B:B, '06_BANG_GIA_VAT_TU_AP_DUNG'!C:C, "LỖI_MÃ_VT")</f>
        <v/>
      </c>
      <c r="K1646" s="2">
        <f>I1646*J1646</f>
        <v/>
      </c>
      <c r="L1646" t="inlineStr">
        <is>
          <t>2 trục dài 660mm</t>
        </is>
      </c>
    </row>
    <row r="1647">
      <c r="A1647" t="inlineStr">
        <is>
          <t>SW-DAMPER-403-BEARING</t>
        </is>
      </c>
      <c r="B1647" t="inlineStr">
        <is>
          <t>SW-DAMPER-403</t>
        </is>
      </c>
      <c r="C1647" t="inlineStr">
        <is>
          <t>Bạc đồng D10</t>
        </is>
      </c>
      <c r="D1647" t="inlineStr">
        <is>
          <t>PHỤ_KIỆN_VAN</t>
        </is>
      </c>
      <c r="E1647" t="inlineStr">
        <is>
          <t>MAT-DAMPER-BAC-DONG-D10</t>
        </is>
      </c>
      <c r="F1647" t="inlineStr">
        <is>
          <t>Đôi</t>
        </is>
      </c>
      <c r="G1647" s="4" t="n">
        <v>2</v>
      </c>
      <c r="H1647" s="2">
        <f>XLOOKUP(B1647, '00_TONG_HOP_BAO_GIA'!B:B, '00_TONG_HOP_BAO_GIA'!G:G, 1)</f>
        <v/>
      </c>
      <c r="I1647" s="5">
        <f>G1647*H1647</f>
        <v/>
      </c>
      <c r="J1647" s="2">
        <f>XLOOKUP(E1647, '06_BANG_GIA_VAT_TU_AP_DUNG'!B:B, '06_BANG_GIA_VAT_TU_AP_DUNG'!C:C, "LỖI_MÃ_VT")</f>
        <v/>
      </c>
      <c r="K1647" s="2">
        <f>I1647*J1647</f>
        <v/>
      </c>
      <c r="L1647" t="inlineStr">
        <is>
          <t>2 đôi bạc đỡ 2 bên thân</t>
        </is>
      </c>
    </row>
    <row r="1648">
      <c r="A1648" t="inlineStr">
        <is>
          <t>SW-DAMPER-403-GEAR</t>
        </is>
      </c>
      <c r="B1648" t="inlineStr">
        <is>
          <t>SW-DAMPER-403</t>
        </is>
      </c>
      <c r="C1648" t="inlineStr">
        <is>
          <t>Bánh răng van nhôm</t>
        </is>
      </c>
      <c r="D1648" t="inlineStr">
        <is>
          <t>PHỤ_KIỆN_VAN</t>
        </is>
      </c>
      <c r="E1648" t="inlineStr">
        <is>
          <t>MAT-DAMPER-BANH-RANG-VAN-NHOM</t>
        </is>
      </c>
      <c r="F1648" t="inlineStr">
        <is>
          <t>Bộ</t>
        </is>
      </c>
      <c r="G1648" s="4" t="n">
        <v>1</v>
      </c>
      <c r="H1648" s="2">
        <f>XLOOKUP(B1648, '00_TONG_HOP_BAO_GIA'!B:B, '00_TONG_HOP_BAO_GIA'!G:G, 1)</f>
        <v/>
      </c>
      <c r="I1648" s="5">
        <f>G1648*H1648</f>
        <v/>
      </c>
      <c r="J1648" s="2">
        <f>XLOOKUP(E1648, '06_BANG_GIA_VAT_TU_AP_DUNG'!B:B, '06_BANG_GIA_VAT_TU_AP_DUNG'!C:C, "LỖI_MÃ_VT")</f>
        <v/>
      </c>
      <c r="K1648" s="2">
        <f>I1648*J1648</f>
        <v/>
      </c>
      <c r="L1648" t="inlineStr">
        <is>
          <t>Cơ cấu liên động bánh răng van</t>
        </is>
      </c>
    </row>
    <row r="1649">
      <c r="A1649" t="inlineStr">
        <is>
          <t>SW-DAMPER-403-HANDLE</t>
        </is>
      </c>
      <c r="B1649" t="inlineStr">
        <is>
          <t>SW-DAMPER-403</t>
        </is>
      </c>
      <c r="C1649" t="inlineStr">
        <is>
          <t>Tay gạt nhỏ</t>
        </is>
      </c>
      <c r="D1649" t="inlineStr">
        <is>
          <t>PHỤ_KIỆN_VAN</t>
        </is>
      </c>
      <c r="E1649" t="inlineStr">
        <is>
          <t>MAT-DAMPER-TAY-GAT-NHO</t>
        </is>
      </c>
      <c r="F1649" t="inlineStr">
        <is>
          <t>Bộ</t>
        </is>
      </c>
      <c r="G1649" s="4" t="n">
        <v>1</v>
      </c>
      <c r="H1649" s="2">
        <f>XLOOKUP(B1649, '00_TONG_HOP_BAO_GIA'!B:B, '00_TONG_HOP_BAO_GIA'!G:G, 1)</f>
        <v/>
      </c>
      <c r="I1649" s="5">
        <f>G1649*H1649</f>
        <v/>
      </c>
      <c r="J1649" s="2">
        <f>XLOOKUP(E1649, '06_BANG_GIA_VAT_TU_AP_DUNG'!B:B, '06_BANG_GIA_VAT_TU_AP_DUNG'!C:C, "LỖI_MÃ_VT")</f>
        <v/>
      </c>
      <c r="K1649" s="2">
        <f>I1649*J1649</f>
        <v/>
      </c>
      <c r="L1649" t="inlineStr">
        <is>
          <t>Tay gạt khóa vị trí nan (S=0.18m2)</t>
        </is>
      </c>
    </row>
    <row r="1650">
      <c r="A1650" t="inlineStr">
        <is>
          <t>SW-DAMPER-404-BODY</t>
        </is>
      </c>
      <c r="B1650" t="inlineStr">
        <is>
          <t>SW-DAMPER-404</t>
        </is>
      </c>
      <c r="C1650" t="inlineStr">
        <is>
          <t>Thân vỏ van VCD bích TDF (0.75mm)</t>
        </is>
      </c>
      <c r="D1650" t="inlineStr">
        <is>
          <t>TÔN_CUỘN_MẠ_KẼM</t>
        </is>
      </c>
      <c r="E1650" t="inlineStr">
        <is>
          <t>MAT-STEEL-PN-0.75</t>
        </is>
      </c>
      <c r="F1650" t="inlineStr">
        <is>
          <t>kg</t>
        </is>
      </c>
      <c r="G1650" s="4" t="n">
        <v>3.531087</v>
      </c>
      <c r="H1650" s="2">
        <f>XLOOKUP(B1650, '00_TONG_HOP_BAO_GIA'!B:B, '00_TONG_HOP_BAO_GIA'!G:G, 1)</f>
        <v/>
      </c>
      <c r="I1650" s="5">
        <f>G1650*H1650</f>
        <v/>
      </c>
      <c r="J1650" s="2">
        <f>XLOOKUP(E1650, '06_BANG_GIA_VAT_TU_AP_DUNG'!B:B, '06_BANG_GIA_VAT_TU_AP_DUNG'!C:C, "LỖI_MÃ_VT")</f>
        <v/>
      </c>
      <c r="K1650" s="2">
        <f>I1650*J1650</f>
        <v/>
      </c>
      <c r="L1650" t="inlineStr">
        <is>
          <t>Kích thước vỏ 600.0x400.0x210mm</t>
        </is>
      </c>
    </row>
    <row r="1651">
      <c r="A1651" t="inlineStr">
        <is>
          <t>SW-DAMPER-404-BLADE</t>
        </is>
      </c>
      <c r="B1651" t="inlineStr">
        <is>
          <t>SW-DAMPER-404</t>
        </is>
      </c>
      <c r="C1651" t="inlineStr">
        <is>
          <t>Lá cánh van (3 cánh overlap)</t>
        </is>
      </c>
      <c r="D1651" t="inlineStr">
        <is>
          <t>TÔN_CUỘN_MẠ_KẼM</t>
        </is>
      </c>
      <c r="E1651" t="inlineStr">
        <is>
          <t>MAT-STEEL-PN-0.75</t>
        </is>
      </c>
      <c r="F1651" t="inlineStr">
        <is>
          <t>kg</t>
        </is>
      </c>
      <c r="G1651" s="4" t="n">
        <v>1.754946</v>
      </c>
      <c r="H1651" s="2">
        <f>XLOOKUP(B1651, '00_TONG_HOP_BAO_GIA'!B:B, '00_TONG_HOP_BAO_GIA'!G:G, 1)</f>
        <v/>
      </c>
      <c r="I1651" s="5">
        <f>G1651*H1651</f>
        <v/>
      </c>
      <c r="J1651" s="2">
        <f>XLOOKUP(E1651, '06_BANG_GIA_VAT_TU_AP_DUNG'!B:B, '06_BANG_GIA_VAT_TU_AP_DUNG'!C:C, "LỖI_MÃ_VT")</f>
        <v/>
      </c>
      <c r="K1651" s="2">
        <f>I1651*J1651</f>
        <v/>
      </c>
      <c r="L1651" t="inlineStr">
        <is>
          <t>3 cánh cao 153mm</t>
        </is>
      </c>
    </row>
    <row r="1652">
      <c r="A1652" t="inlineStr">
        <is>
          <t>SW-DAMPER-404-AXLE</t>
        </is>
      </c>
      <c r="B1652" t="inlineStr">
        <is>
          <t>SW-DAMPER-404</t>
        </is>
      </c>
      <c r="C1652" t="inlineStr">
        <is>
          <t>Trục Sus 201 D10</t>
        </is>
      </c>
      <c r="D1652" t="inlineStr">
        <is>
          <t>PHỤ_KIỆN_VAN</t>
        </is>
      </c>
      <c r="E1652" t="inlineStr">
        <is>
          <t>MAT-DAMPER-TRUC-SUS-201-D10</t>
        </is>
      </c>
      <c r="F1652" t="inlineStr">
        <is>
          <t>m</t>
        </is>
      </c>
      <c r="G1652" s="4" t="n">
        <v>1.98</v>
      </c>
      <c r="H1652" s="2">
        <f>XLOOKUP(B1652, '00_TONG_HOP_BAO_GIA'!B:B, '00_TONG_HOP_BAO_GIA'!G:G, 1)</f>
        <v/>
      </c>
      <c r="I1652" s="5">
        <f>G1652*H1652</f>
        <v/>
      </c>
      <c r="J1652" s="2">
        <f>XLOOKUP(E1652, '06_BANG_GIA_VAT_TU_AP_DUNG'!B:B, '06_BANG_GIA_VAT_TU_AP_DUNG'!C:C, "LỖI_MÃ_VT")</f>
        <v/>
      </c>
      <c r="K1652" s="2">
        <f>I1652*J1652</f>
        <v/>
      </c>
      <c r="L1652" t="inlineStr">
        <is>
          <t>3 trục dài 660mm</t>
        </is>
      </c>
    </row>
    <row r="1653">
      <c r="A1653" t="inlineStr">
        <is>
          <t>SW-DAMPER-404-BEARING</t>
        </is>
      </c>
      <c r="B1653" t="inlineStr">
        <is>
          <t>SW-DAMPER-404</t>
        </is>
      </c>
      <c r="C1653" t="inlineStr">
        <is>
          <t>Bạc đồng D10</t>
        </is>
      </c>
      <c r="D1653" t="inlineStr">
        <is>
          <t>PHỤ_KIỆN_VAN</t>
        </is>
      </c>
      <c r="E1653" t="inlineStr">
        <is>
          <t>MAT-DAMPER-BAC-DONG-D10</t>
        </is>
      </c>
      <c r="F1653" t="inlineStr">
        <is>
          <t>Đôi</t>
        </is>
      </c>
      <c r="G1653" s="4" t="n">
        <v>3</v>
      </c>
      <c r="H1653" s="2">
        <f>XLOOKUP(B1653, '00_TONG_HOP_BAO_GIA'!B:B, '00_TONG_HOP_BAO_GIA'!G:G, 1)</f>
        <v/>
      </c>
      <c r="I1653" s="5">
        <f>G1653*H1653</f>
        <v/>
      </c>
      <c r="J1653" s="2">
        <f>XLOOKUP(E1653, '06_BANG_GIA_VAT_TU_AP_DUNG'!B:B, '06_BANG_GIA_VAT_TU_AP_DUNG'!C:C, "LỖI_MÃ_VT")</f>
        <v/>
      </c>
      <c r="K1653" s="2">
        <f>I1653*J1653</f>
        <v/>
      </c>
      <c r="L1653" t="inlineStr">
        <is>
          <t>3 đôi bạc đỡ 2 bên thân</t>
        </is>
      </c>
    </row>
    <row r="1654">
      <c r="A1654" t="inlineStr">
        <is>
          <t>SW-DAMPER-404-GEAR</t>
        </is>
      </c>
      <c r="B1654" t="inlineStr">
        <is>
          <t>SW-DAMPER-404</t>
        </is>
      </c>
      <c r="C1654" t="inlineStr">
        <is>
          <t>Bánh răng van nhôm</t>
        </is>
      </c>
      <c r="D1654" t="inlineStr">
        <is>
          <t>PHỤ_KIỆN_VAN</t>
        </is>
      </c>
      <c r="E1654" t="inlineStr">
        <is>
          <t>MAT-DAMPER-BANH-RANG-VAN-NHOM</t>
        </is>
      </c>
      <c r="F1654" t="inlineStr">
        <is>
          <t>Bộ</t>
        </is>
      </c>
      <c r="G1654" s="4" t="n">
        <v>1</v>
      </c>
      <c r="H1654" s="2">
        <f>XLOOKUP(B1654, '00_TONG_HOP_BAO_GIA'!B:B, '00_TONG_HOP_BAO_GIA'!G:G, 1)</f>
        <v/>
      </c>
      <c r="I1654" s="5">
        <f>G1654*H1654</f>
        <v/>
      </c>
      <c r="J1654" s="2">
        <f>XLOOKUP(E1654, '06_BANG_GIA_VAT_TU_AP_DUNG'!B:B, '06_BANG_GIA_VAT_TU_AP_DUNG'!C:C, "LỖI_MÃ_VT")</f>
        <v/>
      </c>
      <c r="K1654" s="2">
        <f>I1654*J1654</f>
        <v/>
      </c>
      <c r="L1654" t="inlineStr">
        <is>
          <t>Cơ cấu liên động bánh răng van</t>
        </is>
      </c>
    </row>
    <row r="1655">
      <c r="A1655" t="inlineStr">
        <is>
          <t>SW-DAMPER-404-HANDLE</t>
        </is>
      </c>
      <c r="B1655" t="inlineStr">
        <is>
          <t>SW-DAMPER-404</t>
        </is>
      </c>
      <c r="C1655" t="inlineStr">
        <is>
          <t>Tay gạt nhỏ</t>
        </is>
      </c>
      <c r="D1655" t="inlineStr">
        <is>
          <t>PHỤ_KIỆN_VAN</t>
        </is>
      </c>
      <c r="E1655" t="inlineStr">
        <is>
          <t>MAT-DAMPER-TAY-GAT-NHO</t>
        </is>
      </c>
      <c r="F1655" t="inlineStr">
        <is>
          <t>Bộ</t>
        </is>
      </c>
      <c r="G1655" s="4" t="n">
        <v>1</v>
      </c>
      <c r="H1655" s="2">
        <f>XLOOKUP(B1655, '00_TONG_HOP_BAO_GIA'!B:B, '00_TONG_HOP_BAO_GIA'!G:G, 1)</f>
        <v/>
      </c>
      <c r="I1655" s="5">
        <f>G1655*H1655</f>
        <v/>
      </c>
      <c r="J1655" s="2">
        <f>XLOOKUP(E1655, '06_BANG_GIA_VAT_TU_AP_DUNG'!B:B, '06_BANG_GIA_VAT_TU_AP_DUNG'!C:C, "LỖI_MÃ_VT")</f>
        <v/>
      </c>
      <c r="K1655" s="2">
        <f>I1655*J1655</f>
        <v/>
      </c>
      <c r="L1655" t="inlineStr">
        <is>
          <t>Tay gạt khóa vị trí nan (S=0.24m2)</t>
        </is>
      </c>
    </row>
    <row r="1656">
      <c r="A1656" t="inlineStr">
        <is>
          <t>SW-DAMPER-405-BODY</t>
        </is>
      </c>
      <c r="B1656" t="inlineStr">
        <is>
          <t>SW-DAMPER-405</t>
        </is>
      </c>
      <c r="C1656" t="inlineStr">
        <is>
          <t>Thân vỏ van VCD bích TDF (0.75mm)</t>
        </is>
      </c>
      <c r="D1656" t="inlineStr">
        <is>
          <t>TÔN_CUỘN_MẠ_KẼM</t>
        </is>
      </c>
      <c r="E1656" t="inlineStr">
        <is>
          <t>MAT-STEEL-PN-0.75</t>
        </is>
      </c>
      <c r="F1656" t="inlineStr">
        <is>
          <t>kg</t>
        </is>
      </c>
      <c r="G1656" s="4" t="n">
        <v>3.184902</v>
      </c>
      <c r="H1656" s="2">
        <f>XLOOKUP(B1656, '00_TONG_HOP_BAO_GIA'!B:B, '00_TONG_HOP_BAO_GIA'!G:G, 1)</f>
        <v/>
      </c>
      <c r="I1656" s="5">
        <f>G1656*H1656</f>
        <v/>
      </c>
      <c r="J1656" s="2">
        <f>XLOOKUP(E1656, '06_BANG_GIA_VAT_TU_AP_DUNG'!B:B, '06_BANG_GIA_VAT_TU_AP_DUNG'!C:C, "LỖI_MÃ_VT")</f>
        <v/>
      </c>
      <c r="K1656" s="2">
        <f>I1656*J1656</f>
        <v/>
      </c>
      <c r="L1656" t="inlineStr">
        <is>
          <t>Kích thước vỏ 650.0x250.0x210mm</t>
        </is>
      </c>
    </row>
    <row r="1657">
      <c r="A1657" t="inlineStr">
        <is>
          <t>SW-DAMPER-405-BLADE</t>
        </is>
      </c>
      <c r="B1657" t="inlineStr">
        <is>
          <t>SW-DAMPER-405</t>
        </is>
      </c>
      <c r="C1657" t="inlineStr">
        <is>
          <t>Lá cánh van (2 cánh overlap)</t>
        </is>
      </c>
      <c r="D1657" t="inlineStr">
        <is>
          <t>TÔN_CUỘN_MẠ_KẼM</t>
        </is>
      </c>
      <c r="E1657" t="inlineStr">
        <is>
          <t>MAT-STEEL-PN-0.75</t>
        </is>
      </c>
      <c r="F1657" t="inlineStr">
        <is>
          <t>kg</t>
        </is>
      </c>
      <c r="G1657" s="4" t="n">
        <v>1.19857725</v>
      </c>
      <c r="H1657" s="2">
        <f>XLOOKUP(B1657, '00_TONG_HOP_BAO_GIA'!B:B, '00_TONG_HOP_BAO_GIA'!G:G, 1)</f>
        <v/>
      </c>
      <c r="I1657" s="5">
        <f>G1657*H1657</f>
        <v/>
      </c>
      <c r="J1657" s="2">
        <f>XLOOKUP(E1657, '06_BANG_GIA_VAT_TU_AP_DUNG'!B:B, '06_BANG_GIA_VAT_TU_AP_DUNG'!C:C, "LỖI_MÃ_VT")</f>
        <v/>
      </c>
      <c r="K1657" s="2">
        <f>I1657*J1657</f>
        <v/>
      </c>
      <c r="L1657" t="inlineStr">
        <is>
          <t>2 cánh cao 145mm</t>
        </is>
      </c>
    </row>
    <row r="1658">
      <c r="A1658" t="inlineStr">
        <is>
          <t>SW-DAMPER-405-AXLE</t>
        </is>
      </c>
      <c r="B1658" t="inlineStr">
        <is>
          <t>SW-DAMPER-405</t>
        </is>
      </c>
      <c r="C1658" t="inlineStr">
        <is>
          <t>Trục Sus 201 D10</t>
        </is>
      </c>
      <c r="D1658" t="inlineStr">
        <is>
          <t>PHỤ_KIỆN_VAN</t>
        </is>
      </c>
      <c r="E1658" t="inlineStr">
        <is>
          <t>MAT-DAMPER-TRUC-SUS-201-D10</t>
        </is>
      </c>
      <c r="F1658" t="inlineStr">
        <is>
          <t>m</t>
        </is>
      </c>
      <c r="G1658" s="4" t="n">
        <v>1.42</v>
      </c>
      <c r="H1658" s="2">
        <f>XLOOKUP(B1658, '00_TONG_HOP_BAO_GIA'!B:B, '00_TONG_HOP_BAO_GIA'!G:G, 1)</f>
        <v/>
      </c>
      <c r="I1658" s="5">
        <f>G1658*H1658</f>
        <v/>
      </c>
      <c r="J1658" s="2">
        <f>XLOOKUP(E1658, '06_BANG_GIA_VAT_TU_AP_DUNG'!B:B, '06_BANG_GIA_VAT_TU_AP_DUNG'!C:C, "LỖI_MÃ_VT")</f>
        <v/>
      </c>
      <c r="K1658" s="2">
        <f>I1658*J1658</f>
        <v/>
      </c>
      <c r="L1658" t="inlineStr">
        <is>
          <t>2 trục dài 710mm</t>
        </is>
      </c>
    </row>
    <row r="1659">
      <c r="A1659" t="inlineStr">
        <is>
          <t>SW-DAMPER-405-BEARING</t>
        </is>
      </c>
      <c r="B1659" t="inlineStr">
        <is>
          <t>SW-DAMPER-405</t>
        </is>
      </c>
      <c r="C1659" t="inlineStr">
        <is>
          <t>Bạc đồng D10</t>
        </is>
      </c>
      <c r="D1659" t="inlineStr">
        <is>
          <t>PHỤ_KIỆN_VAN</t>
        </is>
      </c>
      <c r="E1659" t="inlineStr">
        <is>
          <t>MAT-DAMPER-BAC-DONG-D10</t>
        </is>
      </c>
      <c r="F1659" t="inlineStr">
        <is>
          <t>Đôi</t>
        </is>
      </c>
      <c r="G1659" s="4" t="n">
        <v>2</v>
      </c>
      <c r="H1659" s="2">
        <f>XLOOKUP(B1659, '00_TONG_HOP_BAO_GIA'!B:B, '00_TONG_HOP_BAO_GIA'!G:G, 1)</f>
        <v/>
      </c>
      <c r="I1659" s="5">
        <f>G1659*H1659</f>
        <v/>
      </c>
      <c r="J1659" s="2">
        <f>XLOOKUP(E1659, '06_BANG_GIA_VAT_TU_AP_DUNG'!B:B, '06_BANG_GIA_VAT_TU_AP_DUNG'!C:C, "LỖI_MÃ_VT")</f>
        <v/>
      </c>
      <c r="K1659" s="2">
        <f>I1659*J1659</f>
        <v/>
      </c>
      <c r="L1659" t="inlineStr">
        <is>
          <t>2 đôi bạc đỡ 2 bên thân</t>
        </is>
      </c>
    </row>
    <row r="1660">
      <c r="A1660" t="inlineStr">
        <is>
          <t>SW-DAMPER-405-GEAR</t>
        </is>
      </c>
      <c r="B1660" t="inlineStr">
        <is>
          <t>SW-DAMPER-405</t>
        </is>
      </c>
      <c r="C1660" t="inlineStr">
        <is>
          <t>Bánh răng van nhôm</t>
        </is>
      </c>
      <c r="D1660" t="inlineStr">
        <is>
          <t>PHỤ_KIỆN_VAN</t>
        </is>
      </c>
      <c r="E1660" t="inlineStr">
        <is>
          <t>MAT-DAMPER-BANH-RANG-VAN-NHOM</t>
        </is>
      </c>
      <c r="F1660" t="inlineStr">
        <is>
          <t>Bộ</t>
        </is>
      </c>
      <c r="G1660" s="4" t="n">
        <v>1</v>
      </c>
      <c r="H1660" s="2">
        <f>XLOOKUP(B1660, '00_TONG_HOP_BAO_GIA'!B:B, '00_TONG_HOP_BAO_GIA'!G:G, 1)</f>
        <v/>
      </c>
      <c r="I1660" s="5">
        <f>G1660*H1660</f>
        <v/>
      </c>
      <c r="J1660" s="2">
        <f>XLOOKUP(E1660, '06_BANG_GIA_VAT_TU_AP_DUNG'!B:B, '06_BANG_GIA_VAT_TU_AP_DUNG'!C:C, "LỖI_MÃ_VT")</f>
        <v/>
      </c>
      <c r="K1660" s="2">
        <f>I1660*J1660</f>
        <v/>
      </c>
      <c r="L1660" t="inlineStr">
        <is>
          <t>Cơ cấu liên động bánh răng van</t>
        </is>
      </c>
    </row>
    <row r="1661">
      <c r="A1661" t="inlineStr">
        <is>
          <t>SW-DAMPER-405-HANDLE</t>
        </is>
      </c>
      <c r="B1661" t="inlineStr">
        <is>
          <t>SW-DAMPER-405</t>
        </is>
      </c>
      <c r="C1661" t="inlineStr">
        <is>
          <t>Tay gạt nhỏ</t>
        </is>
      </c>
      <c r="D1661" t="inlineStr">
        <is>
          <t>PHỤ_KIỆN_VAN</t>
        </is>
      </c>
      <c r="E1661" t="inlineStr">
        <is>
          <t>MAT-DAMPER-TAY-GAT-NHO</t>
        </is>
      </c>
      <c r="F1661" t="inlineStr">
        <is>
          <t>Bộ</t>
        </is>
      </c>
      <c r="G1661" s="4" t="n">
        <v>1</v>
      </c>
      <c r="H1661" s="2">
        <f>XLOOKUP(B1661, '00_TONG_HOP_BAO_GIA'!B:B, '00_TONG_HOP_BAO_GIA'!G:G, 1)</f>
        <v/>
      </c>
      <c r="I1661" s="5">
        <f>G1661*H1661</f>
        <v/>
      </c>
      <c r="J1661" s="2">
        <f>XLOOKUP(E1661, '06_BANG_GIA_VAT_TU_AP_DUNG'!B:B, '06_BANG_GIA_VAT_TU_AP_DUNG'!C:C, "LỖI_MÃ_VT")</f>
        <v/>
      </c>
      <c r="K1661" s="2">
        <f>I1661*J1661</f>
        <v/>
      </c>
      <c r="L1661" t="inlineStr">
        <is>
          <t>Tay gạt khóa vị trí nan (S=0.16m2)</t>
        </is>
      </c>
    </row>
    <row r="1662">
      <c r="A1662" t="inlineStr">
        <is>
          <t>SW-DAMPER-406-BODY</t>
        </is>
      </c>
      <c r="B1662" t="inlineStr">
        <is>
          <t>SW-DAMPER-406</t>
        </is>
      </c>
      <c r="C1662" t="inlineStr">
        <is>
          <t>Thân vỏ van VCD bích TDF (0.75mm)</t>
        </is>
      </c>
      <c r="D1662" t="inlineStr">
        <is>
          <t>TÔN_CUỘN_MẠ_KẼM</t>
        </is>
      </c>
      <c r="E1662" t="inlineStr">
        <is>
          <t>MAT-STEEL-PN-0.75</t>
        </is>
      </c>
      <c r="F1662" t="inlineStr">
        <is>
          <t>kg</t>
        </is>
      </c>
      <c r="G1662" s="4" t="n">
        <v>3.3579945</v>
      </c>
      <c r="H1662" s="2">
        <f>XLOOKUP(B1662, '00_TONG_HOP_BAO_GIA'!B:B, '00_TONG_HOP_BAO_GIA'!G:G, 1)</f>
        <v/>
      </c>
      <c r="I1662" s="5">
        <f>G1662*H1662</f>
        <v/>
      </c>
      <c r="J1662" s="2">
        <f>XLOOKUP(E1662, '06_BANG_GIA_VAT_TU_AP_DUNG'!B:B, '06_BANG_GIA_VAT_TU_AP_DUNG'!C:C, "LỖI_MÃ_VT")</f>
        <v/>
      </c>
      <c r="K1662" s="2">
        <f>I1662*J1662</f>
        <v/>
      </c>
      <c r="L1662" t="inlineStr">
        <is>
          <t>Kích thước vỏ 650.0x300.0x210mm</t>
        </is>
      </c>
    </row>
    <row r="1663">
      <c r="A1663" t="inlineStr">
        <is>
          <t>SW-DAMPER-406-BLADE</t>
        </is>
      </c>
      <c r="B1663" t="inlineStr">
        <is>
          <t>SW-DAMPER-406</t>
        </is>
      </c>
      <c r="C1663" t="inlineStr">
        <is>
          <t>Lá cánh van (2 cánh overlap)</t>
        </is>
      </c>
      <c r="D1663" t="inlineStr">
        <is>
          <t>TÔN_CUỘN_MẠ_KẼM</t>
        </is>
      </c>
      <c r="E1663" t="inlineStr">
        <is>
          <t>MAT-STEEL-PN-0.75</t>
        </is>
      </c>
      <c r="F1663" t="inlineStr">
        <is>
          <t>kg</t>
        </is>
      </c>
      <c r="G1663" s="4" t="n">
        <v>1.4052285</v>
      </c>
      <c r="H1663" s="2">
        <f>XLOOKUP(B1663, '00_TONG_HOP_BAO_GIA'!B:B, '00_TONG_HOP_BAO_GIA'!G:G, 1)</f>
        <v/>
      </c>
      <c r="I1663" s="5">
        <f>G1663*H1663</f>
        <v/>
      </c>
      <c r="J1663" s="2">
        <f>XLOOKUP(E1663, '06_BANG_GIA_VAT_TU_AP_DUNG'!B:B, '06_BANG_GIA_VAT_TU_AP_DUNG'!C:C, "LỖI_MÃ_VT")</f>
        <v/>
      </c>
      <c r="K1663" s="2">
        <f>I1663*J1663</f>
        <v/>
      </c>
      <c r="L1663" t="inlineStr">
        <is>
          <t>2 cánh cao 170mm</t>
        </is>
      </c>
    </row>
    <row r="1664">
      <c r="A1664" t="inlineStr">
        <is>
          <t>SW-DAMPER-406-AXLE</t>
        </is>
      </c>
      <c r="B1664" t="inlineStr">
        <is>
          <t>SW-DAMPER-406</t>
        </is>
      </c>
      <c r="C1664" t="inlineStr">
        <is>
          <t>Trục Sus 201 D10</t>
        </is>
      </c>
      <c r="D1664" t="inlineStr">
        <is>
          <t>PHỤ_KIỆN_VAN</t>
        </is>
      </c>
      <c r="E1664" t="inlineStr">
        <is>
          <t>MAT-DAMPER-TRUC-SUS-201-D10</t>
        </is>
      </c>
      <c r="F1664" t="inlineStr">
        <is>
          <t>m</t>
        </is>
      </c>
      <c r="G1664" s="4" t="n">
        <v>1.42</v>
      </c>
      <c r="H1664" s="2">
        <f>XLOOKUP(B1664, '00_TONG_HOP_BAO_GIA'!B:B, '00_TONG_HOP_BAO_GIA'!G:G, 1)</f>
        <v/>
      </c>
      <c r="I1664" s="5">
        <f>G1664*H1664</f>
        <v/>
      </c>
      <c r="J1664" s="2">
        <f>XLOOKUP(E1664, '06_BANG_GIA_VAT_TU_AP_DUNG'!B:B, '06_BANG_GIA_VAT_TU_AP_DUNG'!C:C, "LỖI_MÃ_VT")</f>
        <v/>
      </c>
      <c r="K1664" s="2">
        <f>I1664*J1664</f>
        <v/>
      </c>
      <c r="L1664" t="inlineStr">
        <is>
          <t>2 trục dài 710mm</t>
        </is>
      </c>
    </row>
    <row r="1665">
      <c r="A1665" t="inlineStr">
        <is>
          <t>SW-DAMPER-406-BEARING</t>
        </is>
      </c>
      <c r="B1665" t="inlineStr">
        <is>
          <t>SW-DAMPER-406</t>
        </is>
      </c>
      <c r="C1665" t="inlineStr">
        <is>
          <t>Bạc đồng D10</t>
        </is>
      </c>
      <c r="D1665" t="inlineStr">
        <is>
          <t>PHỤ_KIỆN_VAN</t>
        </is>
      </c>
      <c r="E1665" t="inlineStr">
        <is>
          <t>MAT-DAMPER-BAC-DONG-D10</t>
        </is>
      </c>
      <c r="F1665" t="inlineStr">
        <is>
          <t>Đôi</t>
        </is>
      </c>
      <c r="G1665" s="4" t="n">
        <v>2</v>
      </c>
      <c r="H1665" s="2">
        <f>XLOOKUP(B1665, '00_TONG_HOP_BAO_GIA'!B:B, '00_TONG_HOP_BAO_GIA'!G:G, 1)</f>
        <v/>
      </c>
      <c r="I1665" s="5">
        <f>G1665*H1665</f>
        <v/>
      </c>
      <c r="J1665" s="2">
        <f>XLOOKUP(E1665, '06_BANG_GIA_VAT_TU_AP_DUNG'!B:B, '06_BANG_GIA_VAT_TU_AP_DUNG'!C:C, "LỖI_MÃ_VT")</f>
        <v/>
      </c>
      <c r="K1665" s="2">
        <f>I1665*J1665</f>
        <v/>
      </c>
      <c r="L1665" t="inlineStr">
        <is>
          <t>2 đôi bạc đỡ 2 bên thân</t>
        </is>
      </c>
    </row>
    <row r="1666">
      <c r="A1666" t="inlineStr">
        <is>
          <t>SW-DAMPER-406-GEAR</t>
        </is>
      </c>
      <c r="B1666" t="inlineStr">
        <is>
          <t>SW-DAMPER-406</t>
        </is>
      </c>
      <c r="C1666" t="inlineStr">
        <is>
          <t>Bánh răng van nhôm</t>
        </is>
      </c>
      <c r="D1666" t="inlineStr">
        <is>
          <t>PHỤ_KIỆN_VAN</t>
        </is>
      </c>
      <c r="E1666" t="inlineStr">
        <is>
          <t>MAT-DAMPER-BANH-RANG-VAN-NHOM</t>
        </is>
      </c>
      <c r="F1666" t="inlineStr">
        <is>
          <t>Bộ</t>
        </is>
      </c>
      <c r="G1666" s="4" t="n">
        <v>1</v>
      </c>
      <c r="H1666" s="2">
        <f>XLOOKUP(B1666, '00_TONG_HOP_BAO_GIA'!B:B, '00_TONG_HOP_BAO_GIA'!G:G, 1)</f>
        <v/>
      </c>
      <c r="I1666" s="5">
        <f>G1666*H1666</f>
        <v/>
      </c>
      <c r="J1666" s="2">
        <f>XLOOKUP(E1666, '06_BANG_GIA_VAT_TU_AP_DUNG'!B:B, '06_BANG_GIA_VAT_TU_AP_DUNG'!C:C, "LỖI_MÃ_VT")</f>
        <v/>
      </c>
      <c r="K1666" s="2">
        <f>I1666*J1666</f>
        <v/>
      </c>
      <c r="L1666" t="inlineStr">
        <is>
          <t>Cơ cấu liên động bánh răng van</t>
        </is>
      </c>
    </row>
    <row r="1667">
      <c r="A1667" t="inlineStr">
        <is>
          <t>SW-DAMPER-406-HANDLE</t>
        </is>
      </c>
      <c r="B1667" t="inlineStr">
        <is>
          <t>SW-DAMPER-406</t>
        </is>
      </c>
      <c r="C1667" t="inlineStr">
        <is>
          <t>Tay gạt nhỏ</t>
        </is>
      </c>
      <c r="D1667" t="inlineStr">
        <is>
          <t>PHỤ_KIỆN_VAN</t>
        </is>
      </c>
      <c r="E1667" t="inlineStr">
        <is>
          <t>MAT-DAMPER-TAY-GAT-NHO</t>
        </is>
      </c>
      <c r="F1667" t="inlineStr">
        <is>
          <t>Bộ</t>
        </is>
      </c>
      <c r="G1667" s="4" t="n">
        <v>1</v>
      </c>
      <c r="H1667" s="2">
        <f>XLOOKUP(B1667, '00_TONG_HOP_BAO_GIA'!B:B, '00_TONG_HOP_BAO_GIA'!G:G, 1)</f>
        <v/>
      </c>
      <c r="I1667" s="5">
        <f>G1667*H1667</f>
        <v/>
      </c>
      <c r="J1667" s="2">
        <f>XLOOKUP(E1667, '06_BANG_GIA_VAT_TU_AP_DUNG'!B:B, '06_BANG_GIA_VAT_TU_AP_DUNG'!C:C, "LỖI_MÃ_VT")</f>
        <v/>
      </c>
      <c r="K1667" s="2">
        <f>I1667*J1667</f>
        <v/>
      </c>
      <c r="L1667" t="inlineStr">
        <is>
          <t>Tay gạt khóa vị trí nan (S=0.20m2)</t>
        </is>
      </c>
    </row>
    <row r="1668">
      <c r="A1668" t="inlineStr">
        <is>
          <t>SW-DAMPER-407-BODY</t>
        </is>
      </c>
      <c r="B1668" t="inlineStr">
        <is>
          <t>SW-DAMPER-407</t>
        </is>
      </c>
      <c r="C1668" t="inlineStr">
        <is>
          <t>Thân vỏ van VCD bích TDF (0.75mm)</t>
        </is>
      </c>
      <c r="D1668" t="inlineStr">
        <is>
          <t>TÔN_CUỘN_MẠ_KẼM</t>
        </is>
      </c>
      <c r="E1668" t="inlineStr">
        <is>
          <t>MAT-STEEL-PN-0.75</t>
        </is>
      </c>
      <c r="F1668" t="inlineStr">
        <is>
          <t>kg</t>
        </is>
      </c>
      <c r="G1668" s="4" t="n">
        <v>3.531087</v>
      </c>
      <c r="H1668" s="2">
        <f>XLOOKUP(B1668, '00_TONG_HOP_BAO_GIA'!B:B, '00_TONG_HOP_BAO_GIA'!G:G, 1)</f>
        <v/>
      </c>
      <c r="I1668" s="5">
        <f>G1668*H1668</f>
        <v/>
      </c>
      <c r="J1668" s="2">
        <f>XLOOKUP(E1668, '06_BANG_GIA_VAT_TU_AP_DUNG'!B:B, '06_BANG_GIA_VAT_TU_AP_DUNG'!C:C, "LỖI_MÃ_VT")</f>
        <v/>
      </c>
      <c r="K1668" s="2">
        <f>I1668*J1668</f>
        <v/>
      </c>
      <c r="L1668" t="inlineStr">
        <is>
          <t>Kích thước vỏ 650.0x350.0x210mm</t>
        </is>
      </c>
    </row>
    <row r="1669">
      <c r="A1669" t="inlineStr">
        <is>
          <t>SW-DAMPER-407-BLADE</t>
        </is>
      </c>
      <c r="B1669" t="inlineStr">
        <is>
          <t>SW-DAMPER-407</t>
        </is>
      </c>
      <c r="C1669" t="inlineStr">
        <is>
          <t>Lá cánh van (2 cánh overlap)</t>
        </is>
      </c>
      <c r="D1669" t="inlineStr">
        <is>
          <t>TÔN_CUỘN_MẠ_KẼM</t>
        </is>
      </c>
      <c r="E1669" t="inlineStr">
        <is>
          <t>MAT-STEEL-PN-0.75</t>
        </is>
      </c>
      <c r="F1669" t="inlineStr">
        <is>
          <t>kg</t>
        </is>
      </c>
      <c r="G1669" s="4" t="n">
        <v>1.61187975</v>
      </c>
      <c r="H1669" s="2">
        <f>XLOOKUP(B1669, '00_TONG_HOP_BAO_GIA'!B:B, '00_TONG_HOP_BAO_GIA'!G:G, 1)</f>
        <v/>
      </c>
      <c r="I1669" s="5">
        <f>G1669*H1669</f>
        <v/>
      </c>
      <c r="J1669" s="2">
        <f>XLOOKUP(E1669, '06_BANG_GIA_VAT_TU_AP_DUNG'!B:B, '06_BANG_GIA_VAT_TU_AP_DUNG'!C:C, "LỖI_MÃ_VT")</f>
        <v/>
      </c>
      <c r="K1669" s="2">
        <f>I1669*J1669</f>
        <v/>
      </c>
      <c r="L1669" t="inlineStr">
        <is>
          <t>2 cánh cao 195mm</t>
        </is>
      </c>
    </row>
    <row r="1670">
      <c r="A1670" t="inlineStr">
        <is>
          <t>SW-DAMPER-407-AXLE</t>
        </is>
      </c>
      <c r="B1670" t="inlineStr">
        <is>
          <t>SW-DAMPER-407</t>
        </is>
      </c>
      <c r="C1670" t="inlineStr">
        <is>
          <t>Trục Sus 201 D10</t>
        </is>
      </c>
      <c r="D1670" t="inlineStr">
        <is>
          <t>PHỤ_KIỆN_VAN</t>
        </is>
      </c>
      <c r="E1670" t="inlineStr">
        <is>
          <t>MAT-DAMPER-TRUC-SUS-201-D10</t>
        </is>
      </c>
      <c r="F1670" t="inlineStr">
        <is>
          <t>m</t>
        </is>
      </c>
      <c r="G1670" s="4" t="n">
        <v>1.42</v>
      </c>
      <c r="H1670" s="2">
        <f>XLOOKUP(B1670, '00_TONG_HOP_BAO_GIA'!B:B, '00_TONG_HOP_BAO_GIA'!G:G, 1)</f>
        <v/>
      </c>
      <c r="I1670" s="5">
        <f>G1670*H1670</f>
        <v/>
      </c>
      <c r="J1670" s="2">
        <f>XLOOKUP(E1670, '06_BANG_GIA_VAT_TU_AP_DUNG'!B:B, '06_BANG_GIA_VAT_TU_AP_DUNG'!C:C, "LỖI_MÃ_VT")</f>
        <v/>
      </c>
      <c r="K1670" s="2">
        <f>I1670*J1670</f>
        <v/>
      </c>
      <c r="L1670" t="inlineStr">
        <is>
          <t>2 trục dài 710mm</t>
        </is>
      </c>
    </row>
    <row r="1671">
      <c r="A1671" t="inlineStr">
        <is>
          <t>SW-DAMPER-407-BEARING</t>
        </is>
      </c>
      <c r="B1671" t="inlineStr">
        <is>
          <t>SW-DAMPER-407</t>
        </is>
      </c>
      <c r="C1671" t="inlineStr">
        <is>
          <t>Bạc đồng D10</t>
        </is>
      </c>
      <c r="D1671" t="inlineStr">
        <is>
          <t>PHỤ_KIỆN_VAN</t>
        </is>
      </c>
      <c r="E1671" t="inlineStr">
        <is>
          <t>MAT-DAMPER-BAC-DONG-D10</t>
        </is>
      </c>
      <c r="F1671" t="inlineStr">
        <is>
          <t>Đôi</t>
        </is>
      </c>
      <c r="G1671" s="4" t="n">
        <v>2</v>
      </c>
      <c r="H1671" s="2">
        <f>XLOOKUP(B1671, '00_TONG_HOP_BAO_GIA'!B:B, '00_TONG_HOP_BAO_GIA'!G:G, 1)</f>
        <v/>
      </c>
      <c r="I1671" s="5">
        <f>G1671*H1671</f>
        <v/>
      </c>
      <c r="J1671" s="2">
        <f>XLOOKUP(E1671, '06_BANG_GIA_VAT_TU_AP_DUNG'!B:B, '06_BANG_GIA_VAT_TU_AP_DUNG'!C:C, "LỖI_MÃ_VT")</f>
        <v/>
      </c>
      <c r="K1671" s="2">
        <f>I1671*J1671</f>
        <v/>
      </c>
      <c r="L1671" t="inlineStr">
        <is>
          <t>2 đôi bạc đỡ 2 bên thân</t>
        </is>
      </c>
    </row>
    <row r="1672">
      <c r="A1672" t="inlineStr">
        <is>
          <t>SW-DAMPER-407-GEAR</t>
        </is>
      </c>
      <c r="B1672" t="inlineStr">
        <is>
          <t>SW-DAMPER-407</t>
        </is>
      </c>
      <c r="C1672" t="inlineStr">
        <is>
          <t>Bánh răng van nhôm</t>
        </is>
      </c>
      <c r="D1672" t="inlineStr">
        <is>
          <t>PHỤ_KIỆN_VAN</t>
        </is>
      </c>
      <c r="E1672" t="inlineStr">
        <is>
          <t>MAT-DAMPER-BANH-RANG-VAN-NHOM</t>
        </is>
      </c>
      <c r="F1672" t="inlineStr">
        <is>
          <t>Bộ</t>
        </is>
      </c>
      <c r="G1672" s="4" t="n">
        <v>1</v>
      </c>
      <c r="H1672" s="2">
        <f>XLOOKUP(B1672, '00_TONG_HOP_BAO_GIA'!B:B, '00_TONG_HOP_BAO_GIA'!G:G, 1)</f>
        <v/>
      </c>
      <c r="I1672" s="5">
        <f>G1672*H1672</f>
        <v/>
      </c>
      <c r="J1672" s="2">
        <f>XLOOKUP(E1672, '06_BANG_GIA_VAT_TU_AP_DUNG'!B:B, '06_BANG_GIA_VAT_TU_AP_DUNG'!C:C, "LỖI_MÃ_VT")</f>
        <v/>
      </c>
      <c r="K1672" s="2">
        <f>I1672*J1672</f>
        <v/>
      </c>
      <c r="L1672" t="inlineStr">
        <is>
          <t>Cơ cấu liên động bánh răng van</t>
        </is>
      </c>
    </row>
    <row r="1673">
      <c r="A1673" t="inlineStr">
        <is>
          <t>SW-DAMPER-407-HANDLE</t>
        </is>
      </c>
      <c r="B1673" t="inlineStr">
        <is>
          <t>SW-DAMPER-407</t>
        </is>
      </c>
      <c r="C1673" t="inlineStr">
        <is>
          <t>Tay gạt nhỏ</t>
        </is>
      </c>
      <c r="D1673" t="inlineStr">
        <is>
          <t>PHỤ_KIỆN_VAN</t>
        </is>
      </c>
      <c r="E1673" t="inlineStr">
        <is>
          <t>MAT-DAMPER-TAY-GAT-NHO</t>
        </is>
      </c>
      <c r="F1673" t="inlineStr">
        <is>
          <t>Bộ</t>
        </is>
      </c>
      <c r="G1673" s="4" t="n">
        <v>1</v>
      </c>
      <c r="H1673" s="2">
        <f>XLOOKUP(B1673, '00_TONG_HOP_BAO_GIA'!B:B, '00_TONG_HOP_BAO_GIA'!G:G, 1)</f>
        <v/>
      </c>
      <c r="I1673" s="5">
        <f>G1673*H1673</f>
        <v/>
      </c>
      <c r="J1673" s="2">
        <f>XLOOKUP(E1673, '06_BANG_GIA_VAT_TU_AP_DUNG'!B:B, '06_BANG_GIA_VAT_TU_AP_DUNG'!C:C, "LỖI_MÃ_VT")</f>
        <v/>
      </c>
      <c r="K1673" s="2">
        <f>I1673*J1673</f>
        <v/>
      </c>
      <c r="L1673" t="inlineStr">
        <is>
          <t>Tay gạt khóa vị trí nan (S=0.23m2)</t>
        </is>
      </c>
    </row>
    <row r="1674">
      <c r="A1674" t="inlineStr">
        <is>
          <t>SW-DAMPER-408-BODY</t>
        </is>
      </c>
      <c r="B1674" t="inlineStr">
        <is>
          <t>SW-DAMPER-408</t>
        </is>
      </c>
      <c r="C1674" t="inlineStr">
        <is>
          <t>Thân vỏ van VCD bích TDF (0.75mm)</t>
        </is>
      </c>
      <c r="D1674" t="inlineStr">
        <is>
          <t>TÔN_CUỘN_MẠ_KẼM</t>
        </is>
      </c>
      <c r="E1674" t="inlineStr">
        <is>
          <t>MAT-STEEL-PN-0.75</t>
        </is>
      </c>
      <c r="F1674" t="inlineStr">
        <is>
          <t>kg</t>
        </is>
      </c>
      <c r="G1674" s="4" t="n">
        <v>3.7041795</v>
      </c>
      <c r="H1674" s="2">
        <f>XLOOKUP(B1674, '00_TONG_HOP_BAO_GIA'!B:B, '00_TONG_HOP_BAO_GIA'!G:G, 1)</f>
        <v/>
      </c>
      <c r="I1674" s="5">
        <f>G1674*H1674</f>
        <v/>
      </c>
      <c r="J1674" s="2">
        <f>XLOOKUP(E1674, '06_BANG_GIA_VAT_TU_AP_DUNG'!B:B, '06_BANG_GIA_VAT_TU_AP_DUNG'!C:C, "LỖI_MÃ_VT")</f>
        <v/>
      </c>
      <c r="K1674" s="2">
        <f>I1674*J1674</f>
        <v/>
      </c>
      <c r="L1674" t="inlineStr">
        <is>
          <t>Kích thước vỏ 650.0x400.0x210mm</t>
        </is>
      </c>
    </row>
    <row r="1675">
      <c r="A1675" t="inlineStr">
        <is>
          <t>SW-DAMPER-408-BLADE</t>
        </is>
      </c>
      <c r="B1675" t="inlineStr">
        <is>
          <t>SW-DAMPER-408</t>
        </is>
      </c>
      <c r="C1675" t="inlineStr">
        <is>
          <t>Lá cánh van (3 cánh overlap)</t>
        </is>
      </c>
      <c r="D1675" t="inlineStr">
        <is>
          <t>TÔN_CUỘN_MẠ_KẼM</t>
        </is>
      </c>
      <c r="E1675" t="inlineStr">
        <is>
          <t>MAT-STEEL-PN-0.75</t>
        </is>
      </c>
      <c r="F1675" t="inlineStr">
        <is>
          <t>kg</t>
        </is>
      </c>
      <c r="G1675" s="4" t="n">
        <v>1.9011915</v>
      </c>
      <c r="H1675" s="2">
        <f>XLOOKUP(B1675, '00_TONG_HOP_BAO_GIA'!B:B, '00_TONG_HOP_BAO_GIA'!G:G, 1)</f>
        <v/>
      </c>
      <c r="I1675" s="5">
        <f>G1675*H1675</f>
        <v/>
      </c>
      <c r="J1675" s="2">
        <f>XLOOKUP(E1675, '06_BANG_GIA_VAT_TU_AP_DUNG'!B:B, '06_BANG_GIA_VAT_TU_AP_DUNG'!C:C, "LỖI_MÃ_VT")</f>
        <v/>
      </c>
      <c r="K1675" s="2">
        <f>I1675*J1675</f>
        <v/>
      </c>
      <c r="L1675" t="inlineStr">
        <is>
          <t>3 cánh cao 153mm</t>
        </is>
      </c>
    </row>
    <row r="1676">
      <c r="A1676" t="inlineStr">
        <is>
          <t>SW-DAMPER-408-AXLE</t>
        </is>
      </c>
      <c r="B1676" t="inlineStr">
        <is>
          <t>SW-DAMPER-408</t>
        </is>
      </c>
      <c r="C1676" t="inlineStr">
        <is>
          <t>Trục Sus 201 D10</t>
        </is>
      </c>
      <c r="D1676" t="inlineStr">
        <is>
          <t>PHỤ_KIỆN_VAN</t>
        </is>
      </c>
      <c r="E1676" t="inlineStr">
        <is>
          <t>MAT-DAMPER-TRUC-SUS-201-D10</t>
        </is>
      </c>
      <c r="F1676" t="inlineStr">
        <is>
          <t>m</t>
        </is>
      </c>
      <c r="G1676" s="4" t="n">
        <v>2.13</v>
      </c>
      <c r="H1676" s="2">
        <f>XLOOKUP(B1676, '00_TONG_HOP_BAO_GIA'!B:B, '00_TONG_HOP_BAO_GIA'!G:G, 1)</f>
        <v/>
      </c>
      <c r="I1676" s="5">
        <f>G1676*H1676</f>
        <v/>
      </c>
      <c r="J1676" s="2">
        <f>XLOOKUP(E1676, '06_BANG_GIA_VAT_TU_AP_DUNG'!B:B, '06_BANG_GIA_VAT_TU_AP_DUNG'!C:C, "LỖI_MÃ_VT")</f>
        <v/>
      </c>
      <c r="K1676" s="2">
        <f>I1676*J1676</f>
        <v/>
      </c>
      <c r="L1676" t="inlineStr">
        <is>
          <t>3 trục dài 710mm</t>
        </is>
      </c>
    </row>
    <row r="1677">
      <c r="A1677" t="inlineStr">
        <is>
          <t>SW-DAMPER-408-BEARING</t>
        </is>
      </c>
      <c r="B1677" t="inlineStr">
        <is>
          <t>SW-DAMPER-408</t>
        </is>
      </c>
      <c r="C1677" t="inlineStr">
        <is>
          <t>Bạc đồng D10</t>
        </is>
      </c>
      <c r="D1677" t="inlineStr">
        <is>
          <t>PHỤ_KIỆN_VAN</t>
        </is>
      </c>
      <c r="E1677" t="inlineStr">
        <is>
          <t>MAT-DAMPER-BAC-DONG-D10</t>
        </is>
      </c>
      <c r="F1677" t="inlineStr">
        <is>
          <t>Đôi</t>
        </is>
      </c>
      <c r="G1677" s="4" t="n">
        <v>3</v>
      </c>
      <c r="H1677" s="2">
        <f>XLOOKUP(B1677, '00_TONG_HOP_BAO_GIA'!B:B, '00_TONG_HOP_BAO_GIA'!G:G, 1)</f>
        <v/>
      </c>
      <c r="I1677" s="5">
        <f>G1677*H1677</f>
        <v/>
      </c>
      <c r="J1677" s="2">
        <f>XLOOKUP(E1677, '06_BANG_GIA_VAT_TU_AP_DUNG'!B:B, '06_BANG_GIA_VAT_TU_AP_DUNG'!C:C, "LỖI_MÃ_VT")</f>
        <v/>
      </c>
      <c r="K1677" s="2">
        <f>I1677*J1677</f>
        <v/>
      </c>
      <c r="L1677" t="inlineStr">
        <is>
          <t>3 đôi bạc đỡ 2 bên thân</t>
        </is>
      </c>
    </row>
    <row r="1678">
      <c r="A1678" t="inlineStr">
        <is>
          <t>SW-DAMPER-408-GEAR</t>
        </is>
      </c>
      <c r="B1678" t="inlineStr">
        <is>
          <t>SW-DAMPER-408</t>
        </is>
      </c>
      <c r="C1678" t="inlineStr">
        <is>
          <t>Bánh răng van nhôm</t>
        </is>
      </c>
      <c r="D1678" t="inlineStr">
        <is>
          <t>PHỤ_KIỆN_VAN</t>
        </is>
      </c>
      <c r="E1678" t="inlineStr">
        <is>
          <t>MAT-DAMPER-BANH-RANG-VAN-NHOM</t>
        </is>
      </c>
      <c r="F1678" t="inlineStr">
        <is>
          <t>Bộ</t>
        </is>
      </c>
      <c r="G1678" s="4" t="n">
        <v>1</v>
      </c>
      <c r="H1678" s="2">
        <f>XLOOKUP(B1678, '00_TONG_HOP_BAO_GIA'!B:B, '00_TONG_HOP_BAO_GIA'!G:G, 1)</f>
        <v/>
      </c>
      <c r="I1678" s="5">
        <f>G1678*H1678</f>
        <v/>
      </c>
      <c r="J1678" s="2">
        <f>XLOOKUP(E1678, '06_BANG_GIA_VAT_TU_AP_DUNG'!B:B, '06_BANG_GIA_VAT_TU_AP_DUNG'!C:C, "LỖI_MÃ_VT")</f>
        <v/>
      </c>
      <c r="K1678" s="2">
        <f>I1678*J1678</f>
        <v/>
      </c>
      <c r="L1678" t="inlineStr">
        <is>
          <t>Cơ cấu liên động bánh răng van</t>
        </is>
      </c>
    </row>
    <row r="1679">
      <c r="A1679" t="inlineStr">
        <is>
          <t>SW-DAMPER-408-HANDLE</t>
        </is>
      </c>
      <c r="B1679" t="inlineStr">
        <is>
          <t>SW-DAMPER-408</t>
        </is>
      </c>
      <c r="C1679" t="inlineStr">
        <is>
          <t>Tay gạt nhỏ</t>
        </is>
      </c>
      <c r="D1679" t="inlineStr">
        <is>
          <t>PHỤ_KIỆN_VAN</t>
        </is>
      </c>
      <c r="E1679" t="inlineStr">
        <is>
          <t>MAT-DAMPER-TAY-GAT-NHO</t>
        </is>
      </c>
      <c r="F1679" t="inlineStr">
        <is>
          <t>Bộ</t>
        </is>
      </c>
      <c r="G1679" s="4" t="n">
        <v>1</v>
      </c>
      <c r="H1679" s="2">
        <f>XLOOKUP(B1679, '00_TONG_HOP_BAO_GIA'!B:B, '00_TONG_HOP_BAO_GIA'!G:G, 1)</f>
        <v/>
      </c>
      <c r="I1679" s="5">
        <f>G1679*H1679</f>
        <v/>
      </c>
      <c r="J1679" s="2">
        <f>XLOOKUP(E1679, '06_BANG_GIA_VAT_TU_AP_DUNG'!B:B, '06_BANG_GIA_VAT_TU_AP_DUNG'!C:C, "LỖI_MÃ_VT")</f>
        <v/>
      </c>
      <c r="K1679" s="2">
        <f>I1679*J1679</f>
        <v/>
      </c>
      <c r="L1679" t="inlineStr">
        <is>
          <t>Tay gạt khóa vị trí nan (S=0.26m2)</t>
        </is>
      </c>
    </row>
    <row r="1680">
      <c r="A1680" t="inlineStr">
        <is>
          <t>SW-DAMPER-409-BODY</t>
        </is>
      </c>
      <c r="B1680" t="inlineStr">
        <is>
          <t>SW-DAMPER-409</t>
        </is>
      </c>
      <c r="C1680" t="inlineStr">
        <is>
          <t>Thân vỏ van VCD bích TDF (0.75mm)</t>
        </is>
      </c>
      <c r="D1680" t="inlineStr">
        <is>
          <t>TÔN_CUỘN_MẠ_KẼM</t>
        </is>
      </c>
      <c r="E1680" t="inlineStr">
        <is>
          <t>MAT-STEEL-PN-0.75</t>
        </is>
      </c>
      <c r="F1680" t="inlineStr">
        <is>
          <t>kg</t>
        </is>
      </c>
      <c r="G1680" s="4" t="n">
        <v>3.7041795</v>
      </c>
      <c r="H1680" s="2">
        <f>XLOOKUP(B1680, '00_TONG_HOP_BAO_GIA'!B:B, '00_TONG_HOP_BAO_GIA'!G:G, 1)</f>
        <v/>
      </c>
      <c r="I1680" s="5">
        <f>G1680*H1680</f>
        <v/>
      </c>
      <c r="J1680" s="2">
        <f>XLOOKUP(E1680, '06_BANG_GIA_VAT_TU_AP_DUNG'!B:B, '06_BANG_GIA_VAT_TU_AP_DUNG'!C:C, "LỖI_MÃ_VT")</f>
        <v/>
      </c>
      <c r="K1680" s="2">
        <f>I1680*J1680</f>
        <v/>
      </c>
      <c r="L1680" t="inlineStr">
        <is>
          <t>Kích thước vỏ 700.0x350.0x210mm</t>
        </is>
      </c>
    </row>
    <row r="1681">
      <c r="A1681" t="inlineStr">
        <is>
          <t>SW-DAMPER-409-BLADE</t>
        </is>
      </c>
      <c r="B1681" t="inlineStr">
        <is>
          <t>SW-DAMPER-409</t>
        </is>
      </c>
      <c r="C1681" t="inlineStr">
        <is>
          <t>Lá cánh van (2 cánh overlap)</t>
        </is>
      </c>
      <c r="D1681" t="inlineStr">
        <is>
          <t>TÔN_CUỘN_MẠ_KẼM</t>
        </is>
      </c>
      <c r="E1681" t="inlineStr">
        <is>
          <t>MAT-STEEL-PN-0.75</t>
        </is>
      </c>
      <c r="F1681" t="inlineStr">
        <is>
          <t>kg</t>
        </is>
      </c>
      <c r="G1681" s="4" t="n">
        <v>1.7358705</v>
      </c>
      <c r="H1681" s="2">
        <f>XLOOKUP(B1681, '00_TONG_HOP_BAO_GIA'!B:B, '00_TONG_HOP_BAO_GIA'!G:G, 1)</f>
        <v/>
      </c>
      <c r="I1681" s="5">
        <f>G1681*H1681</f>
        <v/>
      </c>
      <c r="J1681" s="2">
        <f>XLOOKUP(E1681, '06_BANG_GIA_VAT_TU_AP_DUNG'!B:B, '06_BANG_GIA_VAT_TU_AP_DUNG'!C:C, "LỖI_MÃ_VT")</f>
        <v/>
      </c>
      <c r="K1681" s="2">
        <f>I1681*J1681</f>
        <v/>
      </c>
      <c r="L1681" t="inlineStr">
        <is>
          <t>2 cánh cao 195mm</t>
        </is>
      </c>
    </row>
    <row r="1682">
      <c r="A1682" t="inlineStr">
        <is>
          <t>SW-DAMPER-409-AXLE</t>
        </is>
      </c>
      <c r="B1682" t="inlineStr">
        <is>
          <t>SW-DAMPER-409</t>
        </is>
      </c>
      <c r="C1682" t="inlineStr">
        <is>
          <t>Trục Sus 201 D10</t>
        </is>
      </c>
      <c r="D1682" t="inlineStr">
        <is>
          <t>PHỤ_KIỆN_VAN</t>
        </is>
      </c>
      <c r="E1682" t="inlineStr">
        <is>
          <t>MAT-DAMPER-TRUC-SUS-201-D10</t>
        </is>
      </c>
      <c r="F1682" t="inlineStr">
        <is>
          <t>m</t>
        </is>
      </c>
      <c r="G1682" s="4" t="n">
        <v>1.52</v>
      </c>
      <c r="H1682" s="2">
        <f>XLOOKUP(B1682, '00_TONG_HOP_BAO_GIA'!B:B, '00_TONG_HOP_BAO_GIA'!G:G, 1)</f>
        <v/>
      </c>
      <c r="I1682" s="5">
        <f>G1682*H1682</f>
        <v/>
      </c>
      <c r="J1682" s="2">
        <f>XLOOKUP(E1682, '06_BANG_GIA_VAT_TU_AP_DUNG'!B:B, '06_BANG_GIA_VAT_TU_AP_DUNG'!C:C, "LỖI_MÃ_VT")</f>
        <v/>
      </c>
      <c r="K1682" s="2">
        <f>I1682*J1682</f>
        <v/>
      </c>
      <c r="L1682" t="inlineStr">
        <is>
          <t>2 trục dài 760mm</t>
        </is>
      </c>
    </row>
    <row r="1683">
      <c r="A1683" t="inlineStr">
        <is>
          <t>SW-DAMPER-409-BEARING</t>
        </is>
      </c>
      <c r="B1683" t="inlineStr">
        <is>
          <t>SW-DAMPER-409</t>
        </is>
      </c>
      <c r="C1683" t="inlineStr">
        <is>
          <t>Bạc đồng D10</t>
        </is>
      </c>
      <c r="D1683" t="inlineStr">
        <is>
          <t>PHỤ_KIỆN_VAN</t>
        </is>
      </c>
      <c r="E1683" t="inlineStr">
        <is>
          <t>MAT-DAMPER-BAC-DONG-D10</t>
        </is>
      </c>
      <c r="F1683" t="inlineStr">
        <is>
          <t>Đôi</t>
        </is>
      </c>
      <c r="G1683" s="4" t="n">
        <v>2</v>
      </c>
      <c r="H1683" s="2">
        <f>XLOOKUP(B1683, '00_TONG_HOP_BAO_GIA'!B:B, '00_TONG_HOP_BAO_GIA'!G:G, 1)</f>
        <v/>
      </c>
      <c r="I1683" s="5">
        <f>G1683*H1683</f>
        <v/>
      </c>
      <c r="J1683" s="2">
        <f>XLOOKUP(E1683, '06_BANG_GIA_VAT_TU_AP_DUNG'!B:B, '06_BANG_GIA_VAT_TU_AP_DUNG'!C:C, "LỖI_MÃ_VT")</f>
        <v/>
      </c>
      <c r="K1683" s="2">
        <f>I1683*J1683</f>
        <v/>
      </c>
      <c r="L1683" t="inlineStr">
        <is>
          <t>2 đôi bạc đỡ 2 bên thân</t>
        </is>
      </c>
    </row>
    <row r="1684">
      <c r="A1684" t="inlineStr">
        <is>
          <t>SW-DAMPER-409-GEAR</t>
        </is>
      </c>
      <c r="B1684" t="inlineStr">
        <is>
          <t>SW-DAMPER-409</t>
        </is>
      </c>
      <c r="C1684" t="inlineStr">
        <is>
          <t>Bánh răng van nhôm</t>
        </is>
      </c>
      <c r="D1684" t="inlineStr">
        <is>
          <t>PHỤ_KIỆN_VAN</t>
        </is>
      </c>
      <c r="E1684" t="inlineStr">
        <is>
          <t>MAT-DAMPER-BANH-RANG-VAN-NHOM</t>
        </is>
      </c>
      <c r="F1684" t="inlineStr">
        <is>
          <t>Bộ</t>
        </is>
      </c>
      <c r="G1684" s="4" t="n">
        <v>1</v>
      </c>
      <c r="H1684" s="2">
        <f>XLOOKUP(B1684, '00_TONG_HOP_BAO_GIA'!B:B, '00_TONG_HOP_BAO_GIA'!G:G, 1)</f>
        <v/>
      </c>
      <c r="I1684" s="5">
        <f>G1684*H1684</f>
        <v/>
      </c>
      <c r="J1684" s="2">
        <f>XLOOKUP(E1684, '06_BANG_GIA_VAT_TU_AP_DUNG'!B:B, '06_BANG_GIA_VAT_TU_AP_DUNG'!C:C, "LỖI_MÃ_VT")</f>
        <v/>
      </c>
      <c r="K1684" s="2">
        <f>I1684*J1684</f>
        <v/>
      </c>
      <c r="L1684" t="inlineStr">
        <is>
          <t>Cơ cấu liên động bánh răng van</t>
        </is>
      </c>
    </row>
    <row r="1685">
      <c r="A1685" t="inlineStr">
        <is>
          <t>SW-DAMPER-409-HANDLE</t>
        </is>
      </c>
      <c r="B1685" t="inlineStr">
        <is>
          <t>SW-DAMPER-409</t>
        </is>
      </c>
      <c r="C1685" t="inlineStr">
        <is>
          <t>Tay gạt nhỏ</t>
        </is>
      </c>
      <c r="D1685" t="inlineStr">
        <is>
          <t>PHỤ_KIỆN_VAN</t>
        </is>
      </c>
      <c r="E1685" t="inlineStr">
        <is>
          <t>MAT-DAMPER-TAY-GAT-NHO</t>
        </is>
      </c>
      <c r="F1685" t="inlineStr">
        <is>
          <t>Bộ</t>
        </is>
      </c>
      <c r="G1685" s="4" t="n">
        <v>1</v>
      </c>
      <c r="H1685" s="2">
        <f>XLOOKUP(B1685, '00_TONG_HOP_BAO_GIA'!B:B, '00_TONG_HOP_BAO_GIA'!G:G, 1)</f>
        <v/>
      </c>
      <c r="I1685" s="5">
        <f>G1685*H1685</f>
        <v/>
      </c>
      <c r="J1685" s="2">
        <f>XLOOKUP(E1685, '06_BANG_GIA_VAT_TU_AP_DUNG'!B:B, '06_BANG_GIA_VAT_TU_AP_DUNG'!C:C, "LỖI_MÃ_VT")</f>
        <v/>
      </c>
      <c r="K1685" s="2">
        <f>I1685*J1685</f>
        <v/>
      </c>
      <c r="L1685" t="inlineStr">
        <is>
          <t>Tay gạt khóa vị trí nan (S=0.24m2)</t>
        </is>
      </c>
    </row>
    <row r="1686">
      <c r="A1686" t="inlineStr">
        <is>
          <t>SW-DAMPER-410-BODY</t>
        </is>
      </c>
      <c r="B1686" t="inlineStr">
        <is>
          <t>SW-DAMPER-410</t>
        </is>
      </c>
      <c r="C1686" t="inlineStr">
        <is>
          <t>Thân vỏ van VCD bích TDF (0.75mm)</t>
        </is>
      </c>
      <c r="D1686" t="inlineStr">
        <is>
          <t>TÔN_CUỘN_MẠ_KẼM</t>
        </is>
      </c>
      <c r="E1686" t="inlineStr">
        <is>
          <t>MAT-STEEL-PN-0.75</t>
        </is>
      </c>
      <c r="F1686" t="inlineStr">
        <is>
          <t>kg</t>
        </is>
      </c>
      <c r="G1686" s="4" t="n">
        <v>3.877272</v>
      </c>
      <c r="H1686" s="2">
        <f>XLOOKUP(B1686, '00_TONG_HOP_BAO_GIA'!B:B, '00_TONG_HOP_BAO_GIA'!G:G, 1)</f>
        <v/>
      </c>
      <c r="I1686" s="5">
        <f>G1686*H1686</f>
        <v/>
      </c>
      <c r="J1686" s="2">
        <f>XLOOKUP(E1686, '06_BANG_GIA_VAT_TU_AP_DUNG'!B:B, '06_BANG_GIA_VAT_TU_AP_DUNG'!C:C, "LỖI_MÃ_VT")</f>
        <v/>
      </c>
      <c r="K1686" s="2">
        <f>I1686*J1686</f>
        <v/>
      </c>
      <c r="L1686" t="inlineStr">
        <is>
          <t>Kích thước vỏ 700.0x400.0x210mm</t>
        </is>
      </c>
    </row>
    <row r="1687">
      <c r="A1687" t="inlineStr">
        <is>
          <t>SW-DAMPER-410-BLADE</t>
        </is>
      </c>
      <c r="B1687" t="inlineStr">
        <is>
          <t>SW-DAMPER-410</t>
        </is>
      </c>
      <c r="C1687" t="inlineStr">
        <is>
          <t>Lá cánh van (3 cánh overlap)</t>
        </is>
      </c>
      <c r="D1687" t="inlineStr">
        <is>
          <t>TÔN_CUỘN_MẠ_KẼM</t>
        </is>
      </c>
      <c r="E1687" t="inlineStr">
        <is>
          <t>MAT-STEEL-PN-0.75</t>
        </is>
      </c>
      <c r="F1687" t="inlineStr">
        <is>
          <t>kg</t>
        </is>
      </c>
      <c r="G1687" s="4" t="n">
        <v>2.047437</v>
      </c>
      <c r="H1687" s="2">
        <f>XLOOKUP(B1687, '00_TONG_HOP_BAO_GIA'!B:B, '00_TONG_HOP_BAO_GIA'!G:G, 1)</f>
        <v/>
      </c>
      <c r="I1687" s="5">
        <f>G1687*H1687</f>
        <v/>
      </c>
      <c r="J1687" s="2">
        <f>XLOOKUP(E1687, '06_BANG_GIA_VAT_TU_AP_DUNG'!B:B, '06_BANG_GIA_VAT_TU_AP_DUNG'!C:C, "LỖI_MÃ_VT")</f>
        <v/>
      </c>
      <c r="K1687" s="2">
        <f>I1687*J1687</f>
        <v/>
      </c>
      <c r="L1687" t="inlineStr">
        <is>
          <t>3 cánh cao 153mm</t>
        </is>
      </c>
    </row>
    <row r="1688">
      <c r="A1688" t="inlineStr">
        <is>
          <t>SW-DAMPER-410-AXLE</t>
        </is>
      </c>
      <c r="B1688" t="inlineStr">
        <is>
          <t>SW-DAMPER-410</t>
        </is>
      </c>
      <c r="C1688" t="inlineStr">
        <is>
          <t>Trục Sus 201 D10</t>
        </is>
      </c>
      <c r="D1688" t="inlineStr">
        <is>
          <t>PHỤ_KIỆN_VAN</t>
        </is>
      </c>
      <c r="E1688" t="inlineStr">
        <is>
          <t>MAT-DAMPER-TRUC-SUS-201-D10</t>
        </is>
      </c>
      <c r="F1688" t="inlineStr">
        <is>
          <t>m</t>
        </is>
      </c>
      <c r="G1688" s="4" t="n">
        <v>2.28</v>
      </c>
      <c r="H1688" s="2">
        <f>XLOOKUP(B1688, '00_TONG_HOP_BAO_GIA'!B:B, '00_TONG_HOP_BAO_GIA'!G:G, 1)</f>
        <v/>
      </c>
      <c r="I1688" s="5">
        <f>G1688*H1688</f>
        <v/>
      </c>
      <c r="J1688" s="2">
        <f>XLOOKUP(E1688, '06_BANG_GIA_VAT_TU_AP_DUNG'!B:B, '06_BANG_GIA_VAT_TU_AP_DUNG'!C:C, "LỖI_MÃ_VT")</f>
        <v/>
      </c>
      <c r="K1688" s="2">
        <f>I1688*J1688</f>
        <v/>
      </c>
      <c r="L1688" t="inlineStr">
        <is>
          <t>3 trục dài 760mm</t>
        </is>
      </c>
    </row>
    <row r="1689">
      <c r="A1689" t="inlineStr">
        <is>
          <t>SW-DAMPER-410-BEARING</t>
        </is>
      </c>
      <c r="B1689" t="inlineStr">
        <is>
          <t>SW-DAMPER-410</t>
        </is>
      </c>
      <c r="C1689" t="inlineStr">
        <is>
          <t>Bạc đồng D10</t>
        </is>
      </c>
      <c r="D1689" t="inlineStr">
        <is>
          <t>PHỤ_KIỆN_VAN</t>
        </is>
      </c>
      <c r="E1689" t="inlineStr">
        <is>
          <t>MAT-DAMPER-BAC-DONG-D10</t>
        </is>
      </c>
      <c r="F1689" t="inlineStr">
        <is>
          <t>Đôi</t>
        </is>
      </c>
      <c r="G1689" s="4" t="n">
        <v>3</v>
      </c>
      <c r="H1689" s="2">
        <f>XLOOKUP(B1689, '00_TONG_HOP_BAO_GIA'!B:B, '00_TONG_HOP_BAO_GIA'!G:G, 1)</f>
        <v/>
      </c>
      <c r="I1689" s="5">
        <f>G1689*H1689</f>
        <v/>
      </c>
      <c r="J1689" s="2">
        <f>XLOOKUP(E1689, '06_BANG_GIA_VAT_TU_AP_DUNG'!B:B, '06_BANG_GIA_VAT_TU_AP_DUNG'!C:C, "LỖI_MÃ_VT")</f>
        <v/>
      </c>
      <c r="K1689" s="2">
        <f>I1689*J1689</f>
        <v/>
      </c>
      <c r="L1689" t="inlineStr">
        <is>
          <t>3 đôi bạc đỡ 2 bên thân</t>
        </is>
      </c>
    </row>
    <row r="1690">
      <c r="A1690" t="inlineStr">
        <is>
          <t>SW-DAMPER-410-GEAR</t>
        </is>
      </c>
      <c r="B1690" t="inlineStr">
        <is>
          <t>SW-DAMPER-410</t>
        </is>
      </c>
      <c r="C1690" t="inlineStr">
        <is>
          <t>Bánh răng van nhôm</t>
        </is>
      </c>
      <c r="D1690" t="inlineStr">
        <is>
          <t>PHỤ_KIỆN_VAN</t>
        </is>
      </c>
      <c r="E1690" t="inlineStr">
        <is>
          <t>MAT-DAMPER-BANH-RANG-VAN-NHOM</t>
        </is>
      </c>
      <c r="F1690" t="inlineStr">
        <is>
          <t>Bộ</t>
        </is>
      </c>
      <c r="G1690" s="4" t="n">
        <v>1</v>
      </c>
      <c r="H1690" s="2">
        <f>XLOOKUP(B1690, '00_TONG_HOP_BAO_GIA'!B:B, '00_TONG_HOP_BAO_GIA'!G:G, 1)</f>
        <v/>
      </c>
      <c r="I1690" s="5">
        <f>G1690*H1690</f>
        <v/>
      </c>
      <c r="J1690" s="2">
        <f>XLOOKUP(E1690, '06_BANG_GIA_VAT_TU_AP_DUNG'!B:B, '06_BANG_GIA_VAT_TU_AP_DUNG'!C:C, "LỖI_MÃ_VT")</f>
        <v/>
      </c>
      <c r="K1690" s="2">
        <f>I1690*J1690</f>
        <v/>
      </c>
      <c r="L1690" t="inlineStr">
        <is>
          <t>Cơ cấu liên động bánh răng van</t>
        </is>
      </c>
    </row>
    <row r="1691">
      <c r="A1691" t="inlineStr">
        <is>
          <t>SW-DAMPER-410-HANDLE</t>
        </is>
      </c>
      <c r="B1691" t="inlineStr">
        <is>
          <t>SW-DAMPER-410</t>
        </is>
      </c>
      <c r="C1691" t="inlineStr">
        <is>
          <t>Tay gạt nhỏ</t>
        </is>
      </c>
      <c r="D1691" t="inlineStr">
        <is>
          <t>PHỤ_KIỆN_VAN</t>
        </is>
      </c>
      <c r="E1691" t="inlineStr">
        <is>
          <t>MAT-DAMPER-TAY-GAT-NHO</t>
        </is>
      </c>
      <c r="F1691" t="inlineStr">
        <is>
          <t>Bộ</t>
        </is>
      </c>
      <c r="G1691" s="4" t="n">
        <v>1</v>
      </c>
      <c r="H1691" s="2">
        <f>XLOOKUP(B1691, '00_TONG_HOP_BAO_GIA'!B:B, '00_TONG_HOP_BAO_GIA'!G:G, 1)</f>
        <v/>
      </c>
      <c r="I1691" s="5">
        <f>G1691*H1691</f>
        <v/>
      </c>
      <c r="J1691" s="2">
        <f>XLOOKUP(E1691, '06_BANG_GIA_VAT_TU_AP_DUNG'!B:B, '06_BANG_GIA_VAT_TU_AP_DUNG'!C:C, "LỖI_MÃ_VT")</f>
        <v/>
      </c>
      <c r="K1691" s="2">
        <f>I1691*J1691</f>
        <v/>
      </c>
      <c r="L1691" t="inlineStr">
        <is>
          <t>Tay gạt khóa vị trí nan (S=0.28m2)</t>
        </is>
      </c>
    </row>
    <row r="1692">
      <c r="A1692" t="inlineStr">
        <is>
          <t>SW-DAMPER-411-BODY</t>
        </is>
      </c>
      <c r="B1692" t="inlineStr">
        <is>
          <t>SW-DAMPER-411</t>
        </is>
      </c>
      <c r="C1692" t="inlineStr">
        <is>
          <t>Thân vỏ van VCD bích TDF (0.75mm)</t>
        </is>
      </c>
      <c r="D1692" t="inlineStr">
        <is>
          <t>TÔN_CUỘN_MẠ_KẼM</t>
        </is>
      </c>
      <c r="E1692" t="inlineStr">
        <is>
          <t>MAT-STEEL-PN-0.75</t>
        </is>
      </c>
      <c r="F1692" t="inlineStr">
        <is>
          <t>kg</t>
        </is>
      </c>
      <c r="G1692" s="4" t="n">
        <v>4.915826999999999</v>
      </c>
      <c r="H1692" s="2">
        <f>XLOOKUP(B1692, '00_TONG_HOP_BAO_GIA'!B:B, '00_TONG_HOP_BAO_GIA'!G:G, 1)</f>
        <v/>
      </c>
      <c r="I1692" s="5">
        <f>G1692*H1692</f>
        <v/>
      </c>
      <c r="J1692" s="2">
        <f>XLOOKUP(E1692, '06_BANG_GIA_VAT_TU_AP_DUNG'!B:B, '06_BANG_GIA_VAT_TU_AP_DUNG'!C:C, "LỖI_MÃ_VT")</f>
        <v/>
      </c>
      <c r="K1692" s="2">
        <f>I1692*J1692</f>
        <v/>
      </c>
      <c r="L1692" t="inlineStr">
        <is>
          <t>Kích thước vỏ 800.0x600.0x210mm</t>
        </is>
      </c>
    </row>
    <row r="1693">
      <c r="A1693" t="inlineStr">
        <is>
          <t>SW-DAMPER-411-BLADE</t>
        </is>
      </c>
      <c r="B1693" t="inlineStr">
        <is>
          <t>SW-DAMPER-411</t>
        </is>
      </c>
      <c r="C1693" t="inlineStr">
        <is>
          <t>Lá cánh van (4 cánh overlap)</t>
        </is>
      </c>
      <c r="D1693" t="inlineStr">
        <is>
          <t>TÔN_CUỘN_MẠ_KẼM</t>
        </is>
      </c>
      <c r="E1693" t="inlineStr">
        <is>
          <t>MAT-STEEL-PN-0.75</t>
        </is>
      </c>
      <c r="F1693" t="inlineStr">
        <is>
          <t>kg</t>
        </is>
      </c>
      <c r="G1693" s="4" t="n">
        <v>3.459024</v>
      </c>
      <c r="H1693" s="2">
        <f>XLOOKUP(B1693, '00_TONG_HOP_BAO_GIA'!B:B, '00_TONG_HOP_BAO_GIA'!G:G, 1)</f>
        <v/>
      </c>
      <c r="I1693" s="5">
        <f>G1693*H1693</f>
        <v/>
      </c>
      <c r="J1693" s="2">
        <f>XLOOKUP(E1693, '06_BANG_GIA_VAT_TU_AP_DUNG'!B:B, '06_BANG_GIA_VAT_TU_AP_DUNG'!C:C, "LỖI_MÃ_VT")</f>
        <v/>
      </c>
      <c r="K1693" s="2">
        <f>I1693*J1693</f>
        <v/>
      </c>
      <c r="L1693" t="inlineStr">
        <is>
          <t>4 cánh cao 170mm</t>
        </is>
      </c>
    </row>
    <row r="1694">
      <c r="A1694" t="inlineStr">
        <is>
          <t>SW-DAMPER-411-AXLE</t>
        </is>
      </c>
      <c r="B1694" t="inlineStr">
        <is>
          <t>SW-DAMPER-411</t>
        </is>
      </c>
      <c r="C1694" t="inlineStr">
        <is>
          <t>Trục Sus 201 D10</t>
        </is>
      </c>
      <c r="D1694" t="inlineStr">
        <is>
          <t>PHỤ_KIỆN_VAN</t>
        </is>
      </c>
      <c r="E1694" t="inlineStr">
        <is>
          <t>MAT-DAMPER-TRUC-SUS-201-D10</t>
        </is>
      </c>
      <c r="F1694" t="inlineStr">
        <is>
          <t>m</t>
        </is>
      </c>
      <c r="G1694" s="4" t="n">
        <v>3.44</v>
      </c>
      <c r="H1694" s="2">
        <f>XLOOKUP(B1694, '00_TONG_HOP_BAO_GIA'!B:B, '00_TONG_HOP_BAO_GIA'!G:G, 1)</f>
        <v/>
      </c>
      <c r="I1694" s="5">
        <f>G1694*H1694</f>
        <v/>
      </c>
      <c r="J1694" s="2">
        <f>XLOOKUP(E1694, '06_BANG_GIA_VAT_TU_AP_DUNG'!B:B, '06_BANG_GIA_VAT_TU_AP_DUNG'!C:C, "LỖI_MÃ_VT")</f>
        <v/>
      </c>
      <c r="K1694" s="2">
        <f>I1694*J1694</f>
        <v/>
      </c>
      <c r="L1694" t="inlineStr">
        <is>
          <t>4 trục dài 860mm</t>
        </is>
      </c>
    </row>
    <row r="1695">
      <c r="A1695" t="inlineStr">
        <is>
          <t>SW-DAMPER-411-BEARING</t>
        </is>
      </c>
      <c r="B1695" t="inlineStr">
        <is>
          <t>SW-DAMPER-411</t>
        </is>
      </c>
      <c r="C1695" t="inlineStr">
        <is>
          <t>Bạc đồng D10</t>
        </is>
      </c>
      <c r="D1695" t="inlineStr">
        <is>
          <t>PHỤ_KIỆN_VAN</t>
        </is>
      </c>
      <c r="E1695" t="inlineStr">
        <is>
          <t>MAT-DAMPER-BAC-DONG-D10</t>
        </is>
      </c>
      <c r="F1695" t="inlineStr">
        <is>
          <t>Đôi</t>
        </is>
      </c>
      <c r="G1695" s="4" t="n">
        <v>4</v>
      </c>
      <c r="H1695" s="2">
        <f>XLOOKUP(B1695, '00_TONG_HOP_BAO_GIA'!B:B, '00_TONG_HOP_BAO_GIA'!G:G, 1)</f>
        <v/>
      </c>
      <c r="I1695" s="5">
        <f>G1695*H1695</f>
        <v/>
      </c>
      <c r="J1695" s="2">
        <f>XLOOKUP(E1695, '06_BANG_GIA_VAT_TU_AP_DUNG'!B:B, '06_BANG_GIA_VAT_TU_AP_DUNG'!C:C, "LỖI_MÃ_VT")</f>
        <v/>
      </c>
      <c r="K1695" s="2">
        <f>I1695*J1695</f>
        <v/>
      </c>
      <c r="L1695" t="inlineStr">
        <is>
          <t>4 đôi bạc đỡ 2 bên thân</t>
        </is>
      </c>
    </row>
    <row r="1696">
      <c r="A1696" t="inlineStr">
        <is>
          <t>SW-DAMPER-411-GEAR</t>
        </is>
      </c>
      <c r="B1696" t="inlineStr">
        <is>
          <t>SW-DAMPER-411</t>
        </is>
      </c>
      <c r="C1696" t="inlineStr">
        <is>
          <t>Bánh răng van nhôm</t>
        </is>
      </c>
      <c r="D1696" t="inlineStr">
        <is>
          <t>PHỤ_KIỆN_VAN</t>
        </is>
      </c>
      <c r="E1696" t="inlineStr">
        <is>
          <t>MAT-DAMPER-BANH-RANG-VAN-NHOM</t>
        </is>
      </c>
      <c r="F1696" t="inlineStr">
        <is>
          <t>Bộ</t>
        </is>
      </c>
      <c r="G1696" s="4" t="n">
        <v>1</v>
      </c>
      <c r="H1696" s="2">
        <f>XLOOKUP(B1696, '00_TONG_HOP_BAO_GIA'!B:B, '00_TONG_HOP_BAO_GIA'!G:G, 1)</f>
        <v/>
      </c>
      <c r="I1696" s="5">
        <f>G1696*H1696</f>
        <v/>
      </c>
      <c r="J1696" s="2">
        <f>XLOOKUP(E1696, '06_BANG_GIA_VAT_TU_AP_DUNG'!B:B, '06_BANG_GIA_VAT_TU_AP_DUNG'!C:C, "LỖI_MÃ_VT")</f>
        <v/>
      </c>
      <c r="K1696" s="2">
        <f>I1696*J1696</f>
        <v/>
      </c>
      <c r="L1696" t="inlineStr">
        <is>
          <t>Cơ cấu liên động bánh răng van</t>
        </is>
      </c>
    </row>
    <row r="1697">
      <c r="A1697" t="inlineStr">
        <is>
          <t>SW-DAMPER-411-HANDLE</t>
        </is>
      </c>
      <c r="B1697" t="inlineStr">
        <is>
          <t>SW-DAMPER-411</t>
        </is>
      </c>
      <c r="C1697" t="inlineStr">
        <is>
          <t>Tay gạt nhỏ</t>
        </is>
      </c>
      <c r="D1697" t="inlineStr">
        <is>
          <t>PHỤ_KIỆN_VAN</t>
        </is>
      </c>
      <c r="E1697" t="inlineStr">
        <is>
          <t>MAT-DAMPER-TAY-GAT-NHO</t>
        </is>
      </c>
      <c r="F1697" t="inlineStr">
        <is>
          <t>Bộ</t>
        </is>
      </c>
      <c r="G1697" s="4" t="n">
        <v>1</v>
      </c>
      <c r="H1697" s="2">
        <f>XLOOKUP(B1697, '00_TONG_HOP_BAO_GIA'!B:B, '00_TONG_HOP_BAO_GIA'!G:G, 1)</f>
        <v/>
      </c>
      <c r="I1697" s="5">
        <f>G1697*H1697</f>
        <v/>
      </c>
      <c r="J1697" s="2">
        <f>XLOOKUP(E1697, '06_BANG_GIA_VAT_TU_AP_DUNG'!B:B, '06_BANG_GIA_VAT_TU_AP_DUNG'!C:C, "LỖI_MÃ_VT")</f>
        <v/>
      </c>
      <c r="K1697" s="2">
        <f>I1697*J1697</f>
        <v/>
      </c>
      <c r="L1697" t="inlineStr">
        <is>
          <t>Tay gạt khóa vị trí nan (S=0.48m2)</t>
        </is>
      </c>
    </row>
    <row r="1698">
      <c r="A1698" t="inlineStr">
        <is>
          <t>SW-DAMPER-412-BODY</t>
        </is>
      </c>
      <c r="B1698" t="inlineStr">
        <is>
          <t>SW-DAMPER-412</t>
        </is>
      </c>
      <c r="C1698" t="inlineStr">
        <is>
          <t>Thân vỏ van VCD bích TDF (0.95mm)</t>
        </is>
      </c>
      <c r="D1698" t="inlineStr">
        <is>
          <t>TÔN_CUỘN_MẠ_KẼM</t>
        </is>
      </c>
      <c r="E1698" t="inlineStr">
        <is>
          <t>MAT-STEEL-PN-0.95</t>
        </is>
      </c>
      <c r="F1698" t="inlineStr">
        <is>
          <t>kg</t>
        </is>
      </c>
      <c r="G1698" s="4" t="n">
        <v>6.2267142</v>
      </c>
      <c r="H1698" s="2">
        <f>XLOOKUP(B1698, '00_TONG_HOP_BAO_GIA'!B:B, '00_TONG_HOP_BAO_GIA'!G:G, 1)</f>
        <v/>
      </c>
      <c r="I1698" s="5">
        <f>G1698*H1698</f>
        <v/>
      </c>
      <c r="J1698" s="2">
        <f>XLOOKUP(E1698, '06_BANG_GIA_VAT_TU_AP_DUNG'!B:B, '06_BANG_GIA_VAT_TU_AP_DUNG'!C:C, "LỖI_MÃ_VT")</f>
        <v/>
      </c>
      <c r="K1698" s="2">
        <f>I1698*J1698</f>
        <v/>
      </c>
      <c r="L1698" t="inlineStr">
        <is>
          <t>Kích thước vỏ 900.0x500.0x210mm</t>
        </is>
      </c>
    </row>
    <row r="1699">
      <c r="A1699" t="inlineStr">
        <is>
          <t>SW-DAMPER-412-BLADE</t>
        </is>
      </c>
      <c r="B1699" t="inlineStr">
        <is>
          <t>SW-DAMPER-412</t>
        </is>
      </c>
      <c r="C1699" t="inlineStr">
        <is>
          <t>Lá cánh van (3 cánh overlap)</t>
        </is>
      </c>
      <c r="D1699" t="inlineStr">
        <is>
          <t>TÔN_CUỘN_MẠ_KẼM</t>
        </is>
      </c>
      <c r="E1699" t="inlineStr">
        <is>
          <t>MAT-STEEL-PN-0.75</t>
        </is>
      </c>
      <c r="F1699" t="inlineStr">
        <is>
          <t>kg</t>
        </is>
      </c>
      <c r="G1699" s="4" t="n">
        <v>3.204684</v>
      </c>
      <c r="H1699" s="2">
        <f>XLOOKUP(B1699, '00_TONG_HOP_BAO_GIA'!B:B, '00_TONG_HOP_BAO_GIA'!G:G, 1)</f>
        <v/>
      </c>
      <c r="I1699" s="5">
        <f>G1699*H1699</f>
        <v/>
      </c>
      <c r="J1699" s="2">
        <f>XLOOKUP(E1699, '06_BANG_GIA_VAT_TU_AP_DUNG'!B:B, '06_BANG_GIA_VAT_TU_AP_DUNG'!C:C, "LỖI_MÃ_VT")</f>
        <v/>
      </c>
      <c r="K1699" s="2">
        <f>I1699*J1699</f>
        <v/>
      </c>
      <c r="L1699" t="inlineStr">
        <is>
          <t>3 cánh cao 187mm</t>
        </is>
      </c>
    </row>
    <row r="1700">
      <c r="A1700" t="inlineStr">
        <is>
          <t>SW-DAMPER-412-AXLE</t>
        </is>
      </c>
      <c r="B1700" t="inlineStr">
        <is>
          <t>SW-DAMPER-412</t>
        </is>
      </c>
      <c r="C1700" t="inlineStr">
        <is>
          <t>Trục Sus 201 D10</t>
        </is>
      </c>
      <c r="D1700" t="inlineStr">
        <is>
          <t>PHỤ_KIỆN_VAN</t>
        </is>
      </c>
      <c r="E1700" t="inlineStr">
        <is>
          <t>MAT-DAMPER-TRUC-SUS-201-D10</t>
        </is>
      </c>
      <c r="F1700" t="inlineStr">
        <is>
          <t>m</t>
        </is>
      </c>
      <c r="G1700" s="4" t="n">
        <v>2.88</v>
      </c>
      <c r="H1700" s="2">
        <f>XLOOKUP(B1700, '00_TONG_HOP_BAO_GIA'!B:B, '00_TONG_HOP_BAO_GIA'!G:G, 1)</f>
        <v/>
      </c>
      <c r="I1700" s="5">
        <f>G1700*H1700</f>
        <v/>
      </c>
      <c r="J1700" s="2">
        <f>XLOOKUP(E1700, '06_BANG_GIA_VAT_TU_AP_DUNG'!B:B, '06_BANG_GIA_VAT_TU_AP_DUNG'!C:C, "LỖI_MÃ_VT")</f>
        <v/>
      </c>
      <c r="K1700" s="2">
        <f>I1700*J1700</f>
        <v/>
      </c>
      <c r="L1700" t="inlineStr">
        <is>
          <t>3 trục dài 960mm</t>
        </is>
      </c>
    </row>
    <row r="1701">
      <c r="A1701" t="inlineStr">
        <is>
          <t>SW-DAMPER-412-BEARING</t>
        </is>
      </c>
      <c r="B1701" t="inlineStr">
        <is>
          <t>SW-DAMPER-412</t>
        </is>
      </c>
      <c r="C1701" t="inlineStr">
        <is>
          <t>Bạc đồng D10</t>
        </is>
      </c>
      <c r="D1701" t="inlineStr">
        <is>
          <t>PHỤ_KIỆN_VAN</t>
        </is>
      </c>
      <c r="E1701" t="inlineStr">
        <is>
          <t>MAT-DAMPER-BAC-DONG-D10</t>
        </is>
      </c>
      <c r="F1701" t="inlineStr">
        <is>
          <t>Đôi</t>
        </is>
      </c>
      <c r="G1701" s="4" t="n">
        <v>3</v>
      </c>
      <c r="H1701" s="2">
        <f>XLOOKUP(B1701, '00_TONG_HOP_BAO_GIA'!B:B, '00_TONG_HOP_BAO_GIA'!G:G, 1)</f>
        <v/>
      </c>
      <c r="I1701" s="5">
        <f>G1701*H1701</f>
        <v/>
      </c>
      <c r="J1701" s="2">
        <f>XLOOKUP(E1701, '06_BANG_GIA_VAT_TU_AP_DUNG'!B:B, '06_BANG_GIA_VAT_TU_AP_DUNG'!C:C, "LỖI_MÃ_VT")</f>
        <v/>
      </c>
      <c r="K1701" s="2">
        <f>I1701*J1701</f>
        <v/>
      </c>
      <c r="L1701" t="inlineStr">
        <is>
          <t>3 đôi bạc đỡ 2 bên thân</t>
        </is>
      </c>
    </row>
    <row r="1702">
      <c r="A1702" t="inlineStr">
        <is>
          <t>SW-DAMPER-412-GEAR</t>
        </is>
      </c>
      <c r="B1702" t="inlineStr">
        <is>
          <t>SW-DAMPER-412</t>
        </is>
      </c>
      <c r="C1702" t="inlineStr">
        <is>
          <t>Bánh răng van nhôm</t>
        </is>
      </c>
      <c r="D1702" t="inlineStr">
        <is>
          <t>PHỤ_KIỆN_VAN</t>
        </is>
      </c>
      <c r="E1702" t="inlineStr">
        <is>
          <t>MAT-DAMPER-BANH-RANG-VAN-NHOM</t>
        </is>
      </c>
      <c r="F1702" t="inlineStr">
        <is>
          <t>Bộ</t>
        </is>
      </c>
      <c r="G1702" s="4" t="n">
        <v>1</v>
      </c>
      <c r="H1702" s="2">
        <f>XLOOKUP(B1702, '00_TONG_HOP_BAO_GIA'!B:B, '00_TONG_HOP_BAO_GIA'!G:G, 1)</f>
        <v/>
      </c>
      <c r="I1702" s="5">
        <f>G1702*H1702</f>
        <v/>
      </c>
      <c r="J1702" s="2">
        <f>XLOOKUP(E1702, '06_BANG_GIA_VAT_TU_AP_DUNG'!B:B, '06_BANG_GIA_VAT_TU_AP_DUNG'!C:C, "LỖI_MÃ_VT")</f>
        <v/>
      </c>
      <c r="K1702" s="2">
        <f>I1702*J1702</f>
        <v/>
      </c>
      <c r="L1702" t="inlineStr">
        <is>
          <t>Cơ cấu liên động bánh răng van</t>
        </is>
      </c>
    </row>
    <row r="1703">
      <c r="A1703" t="inlineStr">
        <is>
          <t>SW-DAMPER-412-HANDLE</t>
        </is>
      </c>
      <c r="B1703" t="inlineStr">
        <is>
          <t>SW-DAMPER-412</t>
        </is>
      </c>
      <c r="C1703" t="inlineStr">
        <is>
          <t>Tay gạt nhỏ</t>
        </is>
      </c>
      <c r="D1703" t="inlineStr">
        <is>
          <t>PHỤ_KIỆN_VAN</t>
        </is>
      </c>
      <c r="E1703" t="inlineStr">
        <is>
          <t>MAT-DAMPER-TAY-GAT-NHO</t>
        </is>
      </c>
      <c r="F1703" t="inlineStr">
        <is>
          <t>Bộ</t>
        </is>
      </c>
      <c r="G1703" s="4" t="n">
        <v>1</v>
      </c>
      <c r="H1703" s="2">
        <f>XLOOKUP(B1703, '00_TONG_HOP_BAO_GIA'!B:B, '00_TONG_HOP_BAO_GIA'!G:G, 1)</f>
        <v/>
      </c>
      <c r="I1703" s="5">
        <f>G1703*H1703</f>
        <v/>
      </c>
      <c r="J1703" s="2">
        <f>XLOOKUP(E1703, '06_BANG_GIA_VAT_TU_AP_DUNG'!B:B, '06_BANG_GIA_VAT_TU_AP_DUNG'!C:C, "LỖI_MÃ_VT")</f>
        <v/>
      </c>
      <c r="K1703" s="2">
        <f>I1703*J1703</f>
        <v/>
      </c>
      <c r="L1703" t="inlineStr">
        <is>
          <t>Tay gạt khóa vị trí nan (S=0.45m2)</t>
        </is>
      </c>
    </row>
    <row r="1704">
      <c r="A1704" t="inlineStr">
        <is>
          <t>SW-DAMPER-413-BODY</t>
        </is>
      </c>
      <c r="B1704" t="inlineStr">
        <is>
          <t>SW-DAMPER-413</t>
        </is>
      </c>
      <c r="C1704" t="inlineStr">
        <is>
          <t>Thân vỏ van VCD bích TDF (0.95mm)</t>
        </is>
      </c>
      <c r="D1704" t="inlineStr">
        <is>
          <t>TÔN_CUỘN_MẠ_KẼM</t>
        </is>
      </c>
      <c r="E1704" t="inlineStr">
        <is>
          <t>MAT-STEEL-PN-0.95</t>
        </is>
      </c>
      <c r="F1704" t="inlineStr">
        <is>
          <t>kg</t>
        </is>
      </c>
      <c r="G1704" s="4" t="n">
        <v>6.4459647</v>
      </c>
      <c r="H1704" s="2">
        <f>XLOOKUP(B1704, '00_TONG_HOP_BAO_GIA'!B:B, '00_TONG_HOP_BAO_GIA'!G:G, 1)</f>
        <v/>
      </c>
      <c r="I1704" s="5">
        <f>G1704*H1704</f>
        <v/>
      </c>
      <c r="J1704" s="2">
        <f>XLOOKUP(E1704, '06_BANG_GIA_VAT_TU_AP_DUNG'!B:B, '06_BANG_GIA_VAT_TU_AP_DUNG'!C:C, "LỖI_MÃ_VT")</f>
        <v/>
      </c>
      <c r="K1704" s="2">
        <f>I1704*J1704</f>
        <v/>
      </c>
      <c r="L1704" t="inlineStr">
        <is>
          <t>Kích thước vỏ 950.0x500.0x210mm</t>
        </is>
      </c>
    </row>
    <row r="1705">
      <c r="A1705" t="inlineStr">
        <is>
          <t>SW-DAMPER-413-BLADE</t>
        </is>
      </c>
      <c r="B1705" t="inlineStr">
        <is>
          <t>SW-DAMPER-413</t>
        </is>
      </c>
      <c r="C1705" t="inlineStr">
        <is>
          <t>Lá cánh van (3 cánh overlap)</t>
        </is>
      </c>
      <c r="D1705" t="inlineStr">
        <is>
          <t>TÔN_CUỘN_MẠ_KẼM</t>
        </is>
      </c>
      <c r="E1705" t="inlineStr">
        <is>
          <t>MAT-STEEL-PN-0.75</t>
        </is>
      </c>
      <c r="F1705" t="inlineStr">
        <is>
          <t>kg</t>
        </is>
      </c>
      <c r="G1705" s="4" t="n">
        <v>3.382721999999999</v>
      </c>
      <c r="H1705" s="2">
        <f>XLOOKUP(B1705, '00_TONG_HOP_BAO_GIA'!B:B, '00_TONG_HOP_BAO_GIA'!G:G, 1)</f>
        <v/>
      </c>
      <c r="I1705" s="5">
        <f>G1705*H1705</f>
        <v/>
      </c>
      <c r="J1705" s="2">
        <f>XLOOKUP(E1705, '06_BANG_GIA_VAT_TU_AP_DUNG'!B:B, '06_BANG_GIA_VAT_TU_AP_DUNG'!C:C, "LỖI_MÃ_VT")</f>
        <v/>
      </c>
      <c r="K1705" s="2">
        <f>I1705*J1705</f>
        <v/>
      </c>
      <c r="L1705" t="inlineStr">
        <is>
          <t>3 cánh cao 187mm</t>
        </is>
      </c>
    </row>
    <row r="1706">
      <c r="A1706" t="inlineStr">
        <is>
          <t>SW-DAMPER-413-AXLE</t>
        </is>
      </c>
      <c r="B1706" t="inlineStr">
        <is>
          <t>SW-DAMPER-413</t>
        </is>
      </c>
      <c r="C1706" t="inlineStr">
        <is>
          <t>Trục Sus 201 D10</t>
        </is>
      </c>
      <c r="D1706" t="inlineStr">
        <is>
          <t>PHỤ_KIỆN_VAN</t>
        </is>
      </c>
      <c r="E1706" t="inlineStr">
        <is>
          <t>MAT-DAMPER-TRUC-SUS-201-D10</t>
        </is>
      </c>
      <c r="F1706" t="inlineStr">
        <is>
          <t>m</t>
        </is>
      </c>
      <c r="G1706" s="4" t="n">
        <v>3.03</v>
      </c>
      <c r="H1706" s="2">
        <f>XLOOKUP(B1706, '00_TONG_HOP_BAO_GIA'!B:B, '00_TONG_HOP_BAO_GIA'!G:G, 1)</f>
        <v/>
      </c>
      <c r="I1706" s="5">
        <f>G1706*H1706</f>
        <v/>
      </c>
      <c r="J1706" s="2">
        <f>XLOOKUP(E1706, '06_BANG_GIA_VAT_TU_AP_DUNG'!B:B, '06_BANG_GIA_VAT_TU_AP_DUNG'!C:C, "LỖI_MÃ_VT")</f>
        <v/>
      </c>
      <c r="K1706" s="2">
        <f>I1706*J1706</f>
        <v/>
      </c>
      <c r="L1706" t="inlineStr">
        <is>
          <t>3 trục dài 1010mm</t>
        </is>
      </c>
    </row>
    <row r="1707">
      <c r="A1707" t="inlineStr">
        <is>
          <t>SW-DAMPER-413-BEARING</t>
        </is>
      </c>
      <c r="B1707" t="inlineStr">
        <is>
          <t>SW-DAMPER-413</t>
        </is>
      </c>
      <c r="C1707" t="inlineStr">
        <is>
          <t>Bạc đồng D10</t>
        </is>
      </c>
      <c r="D1707" t="inlineStr">
        <is>
          <t>PHỤ_KIỆN_VAN</t>
        </is>
      </c>
      <c r="E1707" t="inlineStr">
        <is>
          <t>MAT-DAMPER-BAC-DONG-D10</t>
        </is>
      </c>
      <c r="F1707" t="inlineStr">
        <is>
          <t>Đôi</t>
        </is>
      </c>
      <c r="G1707" s="4" t="n">
        <v>3</v>
      </c>
      <c r="H1707" s="2">
        <f>XLOOKUP(B1707, '00_TONG_HOP_BAO_GIA'!B:B, '00_TONG_HOP_BAO_GIA'!G:G, 1)</f>
        <v/>
      </c>
      <c r="I1707" s="5">
        <f>G1707*H1707</f>
        <v/>
      </c>
      <c r="J1707" s="2">
        <f>XLOOKUP(E1707, '06_BANG_GIA_VAT_TU_AP_DUNG'!B:B, '06_BANG_GIA_VAT_TU_AP_DUNG'!C:C, "LỖI_MÃ_VT")</f>
        <v/>
      </c>
      <c r="K1707" s="2">
        <f>I1707*J1707</f>
        <v/>
      </c>
      <c r="L1707" t="inlineStr">
        <is>
          <t>3 đôi bạc đỡ 2 bên thân</t>
        </is>
      </c>
    </row>
    <row r="1708">
      <c r="A1708" t="inlineStr">
        <is>
          <t>SW-DAMPER-413-GEAR</t>
        </is>
      </c>
      <c r="B1708" t="inlineStr">
        <is>
          <t>SW-DAMPER-413</t>
        </is>
      </c>
      <c r="C1708" t="inlineStr">
        <is>
          <t>Bánh răng van nhôm</t>
        </is>
      </c>
      <c r="D1708" t="inlineStr">
        <is>
          <t>PHỤ_KIỆN_VAN</t>
        </is>
      </c>
      <c r="E1708" t="inlineStr">
        <is>
          <t>MAT-DAMPER-BANH-RANG-VAN-NHOM</t>
        </is>
      </c>
      <c r="F1708" t="inlineStr">
        <is>
          <t>Bộ</t>
        </is>
      </c>
      <c r="G1708" s="4" t="n">
        <v>1</v>
      </c>
      <c r="H1708" s="2">
        <f>XLOOKUP(B1708, '00_TONG_HOP_BAO_GIA'!B:B, '00_TONG_HOP_BAO_GIA'!G:G, 1)</f>
        <v/>
      </c>
      <c r="I1708" s="5">
        <f>G1708*H1708</f>
        <v/>
      </c>
      <c r="J1708" s="2">
        <f>XLOOKUP(E1708, '06_BANG_GIA_VAT_TU_AP_DUNG'!B:B, '06_BANG_GIA_VAT_TU_AP_DUNG'!C:C, "LỖI_MÃ_VT")</f>
        <v/>
      </c>
      <c r="K1708" s="2">
        <f>I1708*J1708</f>
        <v/>
      </c>
      <c r="L1708" t="inlineStr">
        <is>
          <t>Cơ cấu liên động bánh răng van</t>
        </is>
      </c>
    </row>
    <row r="1709">
      <c r="A1709" t="inlineStr">
        <is>
          <t>SW-DAMPER-413-HANDLE</t>
        </is>
      </c>
      <c r="B1709" t="inlineStr">
        <is>
          <t>SW-DAMPER-413</t>
        </is>
      </c>
      <c r="C1709" t="inlineStr">
        <is>
          <t>Tay gạt nhỏ</t>
        </is>
      </c>
      <c r="D1709" t="inlineStr">
        <is>
          <t>PHỤ_KIỆN_VAN</t>
        </is>
      </c>
      <c r="E1709" t="inlineStr">
        <is>
          <t>MAT-DAMPER-TAY-GAT-NHO</t>
        </is>
      </c>
      <c r="F1709" t="inlineStr">
        <is>
          <t>Bộ</t>
        </is>
      </c>
      <c r="G1709" s="4" t="n">
        <v>1</v>
      </c>
      <c r="H1709" s="2">
        <f>XLOOKUP(B1709, '00_TONG_HOP_BAO_GIA'!B:B, '00_TONG_HOP_BAO_GIA'!G:G, 1)</f>
        <v/>
      </c>
      <c r="I1709" s="5">
        <f>G1709*H1709</f>
        <v/>
      </c>
      <c r="J1709" s="2">
        <f>XLOOKUP(E1709, '06_BANG_GIA_VAT_TU_AP_DUNG'!B:B, '06_BANG_GIA_VAT_TU_AP_DUNG'!C:C, "LỖI_MÃ_VT")</f>
        <v/>
      </c>
      <c r="K1709" s="2">
        <f>I1709*J1709</f>
        <v/>
      </c>
      <c r="L1709" t="inlineStr">
        <is>
          <t>Tay gạt khóa vị trí nan (S=0.47m2)</t>
        </is>
      </c>
    </row>
    <row r="1710">
      <c r="A1710" t="inlineStr">
        <is>
          <t>SW-DAMPER-414-BODY</t>
        </is>
      </c>
      <c r="B1710" t="inlineStr">
        <is>
          <t>SW-DAMPER-414</t>
        </is>
      </c>
      <c r="C1710" t="inlineStr">
        <is>
          <t>Thân vỏ van VCD bích TDF (0.95mm)</t>
        </is>
      </c>
      <c r="D1710" t="inlineStr">
        <is>
          <t>TÔN_CUỘN_MẠ_KẼM</t>
        </is>
      </c>
      <c r="E1710" t="inlineStr">
        <is>
          <t>MAT-STEEL-PN-0.95</t>
        </is>
      </c>
      <c r="F1710" t="inlineStr">
        <is>
          <t>kg</t>
        </is>
      </c>
      <c r="G1710" s="4" t="n">
        <v>8.857720200000003</v>
      </c>
      <c r="H1710" s="2">
        <f>XLOOKUP(B1710, '00_TONG_HOP_BAO_GIA'!B:B, '00_TONG_HOP_BAO_GIA'!G:G, 1)</f>
        <v/>
      </c>
      <c r="I1710" s="5">
        <f>G1710*H1710</f>
        <v/>
      </c>
      <c r="J1710" s="2">
        <f>XLOOKUP(E1710, '06_BANG_GIA_VAT_TU_AP_DUNG'!B:B, '06_BANG_GIA_VAT_TU_AP_DUNG'!C:C, "LỖI_MÃ_VT")</f>
        <v/>
      </c>
      <c r="K1710" s="2">
        <f>I1710*J1710</f>
        <v/>
      </c>
      <c r="L1710" t="inlineStr">
        <is>
          <t>Kích thước vỏ 1000.0x1000.0x210mm</t>
        </is>
      </c>
    </row>
    <row r="1711">
      <c r="A1711" t="inlineStr">
        <is>
          <t>SW-DAMPER-414-BLADE</t>
        </is>
      </c>
      <c r="B1711" t="inlineStr">
        <is>
          <t>SW-DAMPER-414</t>
        </is>
      </c>
      <c r="C1711" t="inlineStr">
        <is>
          <t>Lá cánh van (6 cánh overlap)</t>
        </is>
      </c>
      <c r="D1711" t="inlineStr">
        <is>
          <t>TÔN_CUỘN_MẠ_KẼM</t>
        </is>
      </c>
      <c r="E1711" t="inlineStr">
        <is>
          <t>MAT-STEEL-PN-0.75</t>
        </is>
      </c>
      <c r="F1711" t="inlineStr">
        <is>
          <t>kg</t>
        </is>
      </c>
      <c r="G1711" s="4" t="n">
        <v>7.121519999999999</v>
      </c>
      <c r="H1711" s="2">
        <f>XLOOKUP(B1711, '00_TONG_HOP_BAO_GIA'!B:B, '00_TONG_HOP_BAO_GIA'!G:G, 1)</f>
        <v/>
      </c>
      <c r="I1711" s="5">
        <f>G1711*H1711</f>
        <v/>
      </c>
      <c r="J1711" s="2">
        <f>XLOOKUP(E1711, '06_BANG_GIA_VAT_TU_AP_DUNG'!B:B, '06_BANG_GIA_VAT_TU_AP_DUNG'!C:C, "LỖI_MÃ_VT")</f>
        <v/>
      </c>
      <c r="K1711" s="2">
        <f>I1711*J1711</f>
        <v/>
      </c>
      <c r="L1711" t="inlineStr">
        <is>
          <t>6 cánh cao 187mm</t>
        </is>
      </c>
    </row>
    <row r="1712">
      <c r="A1712" t="inlineStr">
        <is>
          <t>SW-DAMPER-414-AXLE</t>
        </is>
      </c>
      <c r="B1712" t="inlineStr">
        <is>
          <t>SW-DAMPER-414</t>
        </is>
      </c>
      <c r="C1712" t="inlineStr">
        <is>
          <t>Trục Sus 201 D10</t>
        </is>
      </c>
      <c r="D1712" t="inlineStr">
        <is>
          <t>PHỤ_KIỆN_VAN</t>
        </is>
      </c>
      <c r="E1712" t="inlineStr">
        <is>
          <t>MAT-DAMPER-TRUC-SUS-201-D10</t>
        </is>
      </c>
      <c r="F1712" t="inlineStr">
        <is>
          <t>m</t>
        </is>
      </c>
      <c r="G1712" s="4" t="n">
        <v>6.36</v>
      </c>
      <c r="H1712" s="2">
        <f>XLOOKUP(B1712, '00_TONG_HOP_BAO_GIA'!B:B, '00_TONG_HOP_BAO_GIA'!G:G, 1)</f>
        <v/>
      </c>
      <c r="I1712" s="5">
        <f>G1712*H1712</f>
        <v/>
      </c>
      <c r="J1712" s="2">
        <f>XLOOKUP(E1712, '06_BANG_GIA_VAT_TU_AP_DUNG'!B:B, '06_BANG_GIA_VAT_TU_AP_DUNG'!C:C, "LỖI_MÃ_VT")</f>
        <v/>
      </c>
      <c r="K1712" s="2">
        <f>I1712*J1712</f>
        <v/>
      </c>
      <c r="L1712" t="inlineStr">
        <is>
          <t>6 trục dài 1060mm</t>
        </is>
      </c>
    </row>
    <row r="1713">
      <c r="A1713" t="inlineStr">
        <is>
          <t>SW-DAMPER-414-BEARING</t>
        </is>
      </c>
      <c r="B1713" t="inlineStr">
        <is>
          <t>SW-DAMPER-414</t>
        </is>
      </c>
      <c r="C1713" t="inlineStr">
        <is>
          <t>Bạc đồng D10</t>
        </is>
      </c>
      <c r="D1713" t="inlineStr">
        <is>
          <t>PHỤ_KIỆN_VAN</t>
        </is>
      </c>
      <c r="E1713" t="inlineStr">
        <is>
          <t>MAT-DAMPER-BAC-DONG-D10</t>
        </is>
      </c>
      <c r="F1713" t="inlineStr">
        <is>
          <t>Đôi</t>
        </is>
      </c>
      <c r="G1713" s="4" t="n">
        <v>6</v>
      </c>
      <c r="H1713" s="2">
        <f>XLOOKUP(B1713, '00_TONG_HOP_BAO_GIA'!B:B, '00_TONG_HOP_BAO_GIA'!G:G, 1)</f>
        <v/>
      </c>
      <c r="I1713" s="5">
        <f>G1713*H1713</f>
        <v/>
      </c>
      <c r="J1713" s="2">
        <f>XLOOKUP(E1713, '06_BANG_GIA_VAT_TU_AP_DUNG'!B:B, '06_BANG_GIA_VAT_TU_AP_DUNG'!C:C, "LỖI_MÃ_VT")</f>
        <v/>
      </c>
      <c r="K1713" s="2">
        <f>I1713*J1713</f>
        <v/>
      </c>
      <c r="L1713" t="inlineStr">
        <is>
          <t>6 đôi bạc đỡ 2 bên thân</t>
        </is>
      </c>
    </row>
    <row r="1714">
      <c r="A1714" t="inlineStr">
        <is>
          <t>SW-DAMPER-414-GEAR</t>
        </is>
      </c>
      <c r="B1714" t="inlineStr">
        <is>
          <t>SW-DAMPER-414</t>
        </is>
      </c>
      <c r="C1714" t="inlineStr">
        <is>
          <t>Bánh răng van nhôm</t>
        </is>
      </c>
      <c r="D1714" t="inlineStr">
        <is>
          <t>PHỤ_KIỆN_VAN</t>
        </is>
      </c>
      <c r="E1714" t="inlineStr">
        <is>
          <t>MAT-DAMPER-BANH-RANG-VAN-NHOM</t>
        </is>
      </c>
      <c r="F1714" t="inlineStr">
        <is>
          <t>Bộ</t>
        </is>
      </c>
      <c r="G1714" s="4" t="n">
        <v>1</v>
      </c>
      <c r="H1714" s="2">
        <f>XLOOKUP(B1714, '00_TONG_HOP_BAO_GIA'!B:B, '00_TONG_HOP_BAO_GIA'!G:G, 1)</f>
        <v/>
      </c>
      <c r="I1714" s="5">
        <f>G1714*H1714</f>
        <v/>
      </c>
      <c r="J1714" s="2">
        <f>XLOOKUP(E1714, '06_BANG_GIA_VAT_TU_AP_DUNG'!B:B, '06_BANG_GIA_VAT_TU_AP_DUNG'!C:C, "LỖI_MÃ_VT")</f>
        <v/>
      </c>
      <c r="K1714" s="2">
        <f>I1714*J1714</f>
        <v/>
      </c>
      <c r="L1714" t="inlineStr">
        <is>
          <t>Cơ cấu liên động bánh răng van</t>
        </is>
      </c>
    </row>
    <row r="1715">
      <c r="A1715" t="inlineStr">
        <is>
          <t>SW-DAMPER-414-HANDLE</t>
        </is>
      </c>
      <c r="B1715" t="inlineStr">
        <is>
          <t>SW-DAMPER-414</t>
        </is>
      </c>
      <c r="C1715" t="inlineStr">
        <is>
          <t>Tay gạt trung bình</t>
        </is>
      </c>
      <c r="D1715" t="inlineStr">
        <is>
          <t>PHỤ_KIỆN_VAN</t>
        </is>
      </c>
      <c r="E1715" t="inlineStr">
        <is>
          <t>MAT-DAMPER-TAY-GAT-TRUNG-BINH</t>
        </is>
      </c>
      <c r="F1715" t="inlineStr">
        <is>
          <t>Bộ</t>
        </is>
      </c>
      <c r="G1715" s="4" t="n">
        <v>1</v>
      </c>
      <c r="H1715" s="2">
        <f>XLOOKUP(B1715, '00_TONG_HOP_BAO_GIA'!B:B, '00_TONG_HOP_BAO_GIA'!G:G, 1)</f>
        <v/>
      </c>
      <c r="I1715" s="5">
        <f>G1715*H1715</f>
        <v/>
      </c>
      <c r="J1715" s="2">
        <f>XLOOKUP(E1715, '06_BANG_GIA_VAT_TU_AP_DUNG'!B:B, '06_BANG_GIA_VAT_TU_AP_DUNG'!C:C, "LỖI_MÃ_VT")</f>
        <v/>
      </c>
      <c r="K1715" s="2">
        <f>I1715*J1715</f>
        <v/>
      </c>
      <c r="L1715" t="inlineStr">
        <is>
          <t>Tay gạt khóa vị trí nan (S=1.00m2)</t>
        </is>
      </c>
    </row>
    <row r="1716">
      <c r="A1716" t="inlineStr">
        <is>
          <t>SW-DAMPER-415-BODY</t>
        </is>
      </c>
      <c r="B1716" t="inlineStr">
        <is>
          <t>SW-DAMPER-415</t>
        </is>
      </c>
      <c r="C1716" t="inlineStr">
        <is>
          <t>Thân vỏ van VCD bích TDF (0.95mm)</t>
        </is>
      </c>
      <c r="D1716" t="inlineStr">
        <is>
          <t>TÔN_CUỘN_MẠ_KẼM</t>
        </is>
      </c>
      <c r="E1716" t="inlineStr">
        <is>
          <t>MAT-STEEL-PN-0.95</t>
        </is>
      </c>
      <c r="F1716" t="inlineStr">
        <is>
          <t>kg</t>
        </is>
      </c>
      <c r="G1716" s="4" t="n">
        <v>11.0502252</v>
      </c>
      <c r="H1716" s="2">
        <f>XLOOKUP(B1716, '00_TONG_HOP_BAO_GIA'!B:B, '00_TONG_HOP_BAO_GIA'!G:G, 1)</f>
        <v/>
      </c>
      <c r="I1716" s="5">
        <f>G1716*H1716</f>
        <v/>
      </c>
      <c r="J1716" s="2">
        <f>XLOOKUP(E1716, '06_BANG_GIA_VAT_TU_AP_DUNG'!B:B, '06_BANG_GIA_VAT_TU_AP_DUNG'!C:C, "LỖI_MÃ_VT")</f>
        <v/>
      </c>
      <c r="K1716" s="2">
        <f>I1716*J1716</f>
        <v/>
      </c>
      <c r="L1716" t="inlineStr">
        <is>
          <t>Kích thước vỏ 1900.0x600.0x210mm</t>
        </is>
      </c>
    </row>
    <row r="1717">
      <c r="A1717" t="inlineStr">
        <is>
          <t>SW-DAMPER-415-BLADE</t>
        </is>
      </c>
      <c r="B1717" t="inlineStr">
        <is>
          <t>SW-DAMPER-415</t>
        </is>
      </c>
      <c r="C1717" t="inlineStr">
        <is>
          <t>Lá cánh van (4 cánh overlap)</t>
        </is>
      </c>
      <c r="D1717" t="inlineStr">
        <is>
          <t>TÔN_CUỘN_MẠ_KẼM</t>
        </is>
      </c>
      <c r="E1717" t="inlineStr">
        <is>
          <t>MAT-STEEL-PN-0.75</t>
        </is>
      </c>
      <c r="F1717" t="inlineStr">
        <is>
          <t>kg</t>
        </is>
      </c>
      <c r="G1717" s="4" t="n">
        <v>8.215182</v>
      </c>
      <c r="H1717" s="2">
        <f>XLOOKUP(B1717, '00_TONG_HOP_BAO_GIA'!B:B, '00_TONG_HOP_BAO_GIA'!G:G, 1)</f>
        <v/>
      </c>
      <c r="I1717" s="5">
        <f>G1717*H1717</f>
        <v/>
      </c>
      <c r="J1717" s="2">
        <f>XLOOKUP(E1717, '06_BANG_GIA_VAT_TU_AP_DUNG'!B:B, '06_BANG_GIA_VAT_TU_AP_DUNG'!C:C, "LỖI_MÃ_VT")</f>
        <v/>
      </c>
      <c r="K1717" s="2">
        <f>I1717*J1717</f>
        <v/>
      </c>
      <c r="L1717" t="inlineStr">
        <is>
          <t>4 cánh cao 170mm</t>
        </is>
      </c>
    </row>
    <row r="1718">
      <c r="A1718" t="inlineStr">
        <is>
          <t>SW-DAMPER-415-AXLE</t>
        </is>
      </c>
      <c r="B1718" t="inlineStr">
        <is>
          <t>SW-DAMPER-415</t>
        </is>
      </c>
      <c r="C1718" t="inlineStr">
        <is>
          <t>Trục Sus 201 D10</t>
        </is>
      </c>
      <c r="D1718" t="inlineStr">
        <is>
          <t>PHỤ_KIỆN_VAN</t>
        </is>
      </c>
      <c r="E1718" t="inlineStr">
        <is>
          <t>MAT-DAMPER-TRUC-SUS-201-D10</t>
        </is>
      </c>
      <c r="F1718" t="inlineStr">
        <is>
          <t>m</t>
        </is>
      </c>
      <c r="G1718" s="4" t="n">
        <v>7.84</v>
      </c>
      <c r="H1718" s="2">
        <f>XLOOKUP(B1718, '00_TONG_HOP_BAO_GIA'!B:B, '00_TONG_HOP_BAO_GIA'!G:G, 1)</f>
        <v/>
      </c>
      <c r="I1718" s="5">
        <f>G1718*H1718</f>
        <v/>
      </c>
      <c r="J1718" s="2">
        <f>XLOOKUP(E1718, '06_BANG_GIA_VAT_TU_AP_DUNG'!B:B, '06_BANG_GIA_VAT_TU_AP_DUNG'!C:C, "LỖI_MÃ_VT")</f>
        <v/>
      </c>
      <c r="K1718" s="2">
        <f>I1718*J1718</f>
        <v/>
      </c>
      <c r="L1718" t="inlineStr">
        <is>
          <t>4 trục dài 1960mm</t>
        </is>
      </c>
    </row>
    <row r="1719">
      <c r="A1719" t="inlineStr">
        <is>
          <t>SW-DAMPER-415-BEARING</t>
        </is>
      </c>
      <c r="B1719" t="inlineStr">
        <is>
          <t>SW-DAMPER-415</t>
        </is>
      </c>
      <c r="C1719" t="inlineStr">
        <is>
          <t>Bạc đồng D10</t>
        </is>
      </c>
      <c r="D1719" t="inlineStr">
        <is>
          <t>PHỤ_KIỆN_VAN</t>
        </is>
      </c>
      <c r="E1719" t="inlineStr">
        <is>
          <t>MAT-DAMPER-BAC-DONG-D10</t>
        </is>
      </c>
      <c r="F1719" t="inlineStr">
        <is>
          <t>Đôi</t>
        </is>
      </c>
      <c r="G1719" s="4" t="n">
        <v>4</v>
      </c>
      <c r="H1719" s="2">
        <f>XLOOKUP(B1719, '00_TONG_HOP_BAO_GIA'!B:B, '00_TONG_HOP_BAO_GIA'!G:G, 1)</f>
        <v/>
      </c>
      <c r="I1719" s="5">
        <f>G1719*H1719</f>
        <v/>
      </c>
      <c r="J1719" s="2">
        <f>XLOOKUP(E1719, '06_BANG_GIA_VAT_TU_AP_DUNG'!B:B, '06_BANG_GIA_VAT_TU_AP_DUNG'!C:C, "LỖI_MÃ_VT")</f>
        <v/>
      </c>
      <c r="K1719" s="2">
        <f>I1719*J1719</f>
        <v/>
      </c>
      <c r="L1719" t="inlineStr">
        <is>
          <t>4 đôi bạc đỡ 2 bên thân</t>
        </is>
      </c>
    </row>
    <row r="1720">
      <c r="A1720" t="inlineStr">
        <is>
          <t>SW-DAMPER-415-GEAR</t>
        </is>
      </c>
      <c r="B1720" t="inlineStr">
        <is>
          <t>SW-DAMPER-415</t>
        </is>
      </c>
      <c r="C1720" t="inlineStr">
        <is>
          <t>Bánh răng van nhôm</t>
        </is>
      </c>
      <c r="D1720" t="inlineStr">
        <is>
          <t>PHỤ_KIỆN_VAN</t>
        </is>
      </c>
      <c r="E1720" t="inlineStr">
        <is>
          <t>MAT-DAMPER-BANH-RANG-VAN-NHOM</t>
        </is>
      </c>
      <c r="F1720" t="inlineStr">
        <is>
          <t>Bộ</t>
        </is>
      </c>
      <c r="G1720" s="4" t="n">
        <v>1</v>
      </c>
      <c r="H1720" s="2">
        <f>XLOOKUP(B1720, '00_TONG_HOP_BAO_GIA'!B:B, '00_TONG_HOP_BAO_GIA'!G:G, 1)</f>
        <v/>
      </c>
      <c r="I1720" s="5">
        <f>G1720*H1720</f>
        <v/>
      </c>
      <c r="J1720" s="2">
        <f>XLOOKUP(E1720, '06_BANG_GIA_VAT_TU_AP_DUNG'!B:B, '06_BANG_GIA_VAT_TU_AP_DUNG'!C:C, "LỖI_MÃ_VT")</f>
        <v/>
      </c>
      <c r="K1720" s="2">
        <f>I1720*J1720</f>
        <v/>
      </c>
      <c r="L1720" t="inlineStr">
        <is>
          <t>Cơ cấu liên động bánh răng van</t>
        </is>
      </c>
    </row>
    <row r="1721">
      <c r="A1721" t="inlineStr">
        <is>
          <t>SW-DAMPER-415-HANDLE</t>
        </is>
      </c>
      <c r="B1721" t="inlineStr">
        <is>
          <t>SW-DAMPER-415</t>
        </is>
      </c>
      <c r="C1721" t="inlineStr">
        <is>
          <t>Tay gạt 1 &gt;1m2</t>
        </is>
      </c>
      <c r="D1721" t="inlineStr">
        <is>
          <t>PHỤ_KIỆN_VAN</t>
        </is>
      </c>
      <c r="E1721" t="inlineStr">
        <is>
          <t>MAT-DAMPER-TAY-GAT-1-1M2</t>
        </is>
      </c>
      <c r="F1721" t="inlineStr">
        <is>
          <t>Cái</t>
        </is>
      </c>
      <c r="G1721" s="4" t="n">
        <v>1</v>
      </c>
      <c r="H1721" s="2">
        <f>XLOOKUP(B1721, '00_TONG_HOP_BAO_GIA'!B:B, '00_TONG_HOP_BAO_GIA'!G:G, 1)</f>
        <v/>
      </c>
      <c r="I1721" s="5">
        <f>G1721*H1721</f>
        <v/>
      </c>
      <c r="J1721" s="2">
        <f>XLOOKUP(E1721, '06_BANG_GIA_VAT_TU_AP_DUNG'!B:B, '06_BANG_GIA_VAT_TU_AP_DUNG'!C:C, "LỖI_MÃ_VT")</f>
        <v/>
      </c>
      <c r="K1721" s="2">
        <f>I1721*J1721</f>
        <v/>
      </c>
      <c r="L1721" t="inlineStr">
        <is>
          <t>Tay gạt khóa vị trí nan (S=1.14m2)</t>
        </is>
      </c>
    </row>
    <row r="1722">
      <c r="A1722" t="inlineStr">
        <is>
          <t>SW-DAMPER-416-BODY</t>
        </is>
      </c>
      <c r="B1722" t="inlineStr">
        <is>
          <t>SW-DAMPER-416</t>
        </is>
      </c>
      <c r="C1722" t="inlineStr">
        <is>
          <t>Thân vỏ van FD bích TDF (0.75mm)</t>
        </is>
      </c>
      <c r="D1722" t="inlineStr">
        <is>
          <t>TÔN_CUỘN_MẠ_KẼM</t>
        </is>
      </c>
      <c r="E1722" t="inlineStr">
        <is>
          <t>MAT-STEEL-PN-0.75</t>
        </is>
      </c>
      <c r="F1722" t="inlineStr">
        <is>
          <t>kg</t>
        </is>
      </c>
      <c r="G1722" s="4" t="n">
        <v>1.266048</v>
      </c>
      <c r="H1722" s="2">
        <f>XLOOKUP(B1722, '00_TONG_HOP_BAO_GIA'!B:B, '00_TONG_HOP_BAO_GIA'!G:G, 1)</f>
        <v/>
      </c>
      <c r="I1722" s="5">
        <f>G1722*H1722</f>
        <v/>
      </c>
      <c r="J1722" s="2">
        <f>XLOOKUP(E1722, '06_BANG_GIA_VAT_TU_AP_DUNG'!B:B, '06_BANG_GIA_VAT_TU_AP_DUNG'!C:C, "LỖI_MÃ_VT")</f>
        <v/>
      </c>
      <c r="K1722" s="2">
        <f>I1722*J1722</f>
        <v/>
      </c>
      <c r="L1722" t="inlineStr">
        <is>
          <t>Kích thước vỏ 150.0x150.0x250mm</t>
        </is>
      </c>
    </row>
    <row r="1723">
      <c r="A1723" t="inlineStr">
        <is>
          <t>SW-DAMPER-416-BLADE</t>
        </is>
      </c>
      <c r="B1723" t="inlineStr">
        <is>
          <t>SW-DAMPER-416</t>
        </is>
      </c>
      <c r="C1723" t="inlineStr">
        <is>
          <t>Lá cánh van (1 cánh overlap)</t>
        </is>
      </c>
      <c r="D1723" t="inlineStr">
        <is>
          <t>TÔN_CUỘN_MẠ_KẼM</t>
        </is>
      </c>
      <c r="E1723" t="inlineStr">
        <is>
          <t>MAT-STEEL-PN-0.75</t>
        </is>
      </c>
      <c r="F1723" t="inlineStr">
        <is>
          <t>kg</t>
        </is>
      </c>
      <c r="G1723" s="4" t="n">
        <v>0.16214175</v>
      </c>
      <c r="H1723" s="2">
        <f>XLOOKUP(B1723, '00_TONG_HOP_BAO_GIA'!B:B, '00_TONG_HOP_BAO_GIA'!G:G, 1)</f>
        <v/>
      </c>
      <c r="I1723" s="5">
        <f>G1723*H1723</f>
        <v/>
      </c>
      <c r="J1723" s="2">
        <f>XLOOKUP(E1723, '06_BANG_GIA_VAT_TU_AP_DUNG'!B:B, '06_BANG_GIA_VAT_TU_AP_DUNG'!C:C, "LỖI_MÃ_VT")</f>
        <v/>
      </c>
      <c r="K1723" s="2">
        <f>I1723*J1723</f>
        <v/>
      </c>
      <c r="L1723" t="inlineStr">
        <is>
          <t>1 cánh cao 170mm</t>
        </is>
      </c>
    </row>
    <row r="1724">
      <c r="A1724" t="inlineStr">
        <is>
          <t>SW-DAMPER-416-AXLE</t>
        </is>
      </c>
      <c r="B1724" t="inlineStr">
        <is>
          <t>SW-DAMPER-416</t>
        </is>
      </c>
      <c r="C1724" t="inlineStr">
        <is>
          <t>Trục Sus 201 D10</t>
        </is>
      </c>
      <c r="D1724" t="inlineStr">
        <is>
          <t>PHỤ_KIỆN_VAN</t>
        </is>
      </c>
      <c r="E1724" t="inlineStr">
        <is>
          <t>MAT-DAMPER-TRUC-SUS-201-D10</t>
        </is>
      </c>
      <c r="F1724" t="inlineStr">
        <is>
          <t>m</t>
        </is>
      </c>
      <c r="G1724" s="4" t="n">
        <v>0.21</v>
      </c>
      <c r="H1724" s="2">
        <f>XLOOKUP(B1724, '00_TONG_HOP_BAO_GIA'!B:B, '00_TONG_HOP_BAO_GIA'!G:G, 1)</f>
        <v/>
      </c>
      <c r="I1724" s="5">
        <f>G1724*H1724</f>
        <v/>
      </c>
      <c r="J1724" s="2">
        <f>XLOOKUP(E1724, '06_BANG_GIA_VAT_TU_AP_DUNG'!B:B, '06_BANG_GIA_VAT_TU_AP_DUNG'!C:C, "LỖI_MÃ_VT")</f>
        <v/>
      </c>
      <c r="K1724" s="2">
        <f>I1724*J1724</f>
        <v/>
      </c>
      <c r="L1724" t="inlineStr">
        <is>
          <t>1 trục dài 210mm</t>
        </is>
      </c>
    </row>
    <row r="1725">
      <c r="A1725" t="inlineStr">
        <is>
          <t>SW-DAMPER-416-BEARING</t>
        </is>
      </c>
      <c r="B1725" t="inlineStr">
        <is>
          <t>SW-DAMPER-416</t>
        </is>
      </c>
      <c r="C1725" t="inlineStr">
        <is>
          <t>Bạc đồng D10</t>
        </is>
      </c>
      <c r="D1725" t="inlineStr">
        <is>
          <t>PHỤ_KIỆN_VAN</t>
        </is>
      </c>
      <c r="E1725" t="inlineStr">
        <is>
          <t>MAT-DAMPER-BAC-DONG-D10</t>
        </is>
      </c>
      <c r="F1725" t="inlineStr">
        <is>
          <t>Đôi</t>
        </is>
      </c>
      <c r="G1725" s="4" t="n">
        <v>1</v>
      </c>
      <c r="H1725" s="2">
        <f>XLOOKUP(B1725, '00_TONG_HOP_BAO_GIA'!B:B, '00_TONG_HOP_BAO_GIA'!G:G, 1)</f>
        <v/>
      </c>
      <c r="I1725" s="5">
        <f>G1725*H1725</f>
        <v/>
      </c>
      <c r="J1725" s="2">
        <f>XLOOKUP(E1725, '06_BANG_GIA_VAT_TU_AP_DUNG'!B:B, '06_BANG_GIA_VAT_TU_AP_DUNG'!C:C, "LỖI_MÃ_VT")</f>
        <v/>
      </c>
      <c r="K1725" s="2">
        <f>I1725*J1725</f>
        <v/>
      </c>
      <c r="L1725" t="inlineStr">
        <is>
          <t>1 đôi bạc đỡ 2 bên thân</t>
        </is>
      </c>
    </row>
    <row r="1726">
      <c r="A1726" t="inlineStr">
        <is>
          <t>SW-DAMPER-416-FUSE</t>
        </is>
      </c>
      <c r="B1726" t="inlineStr">
        <is>
          <t>SW-DAMPER-416</t>
        </is>
      </c>
      <c r="C1726" t="inlineStr">
        <is>
          <t>Cầu chì nhiệt nóng chảy 70°C (Elsie/USA)</t>
        </is>
      </c>
      <c r="D1726" t="inlineStr">
        <is>
          <t>PHỤ_KIỆN_VAN</t>
        </is>
      </c>
      <c r="E1726" t="inlineStr">
        <is>
          <t>MAT-DAMPER-CAU-CHI-USA-1-400X400</t>
        </is>
      </c>
      <c r="F1726" t="inlineStr">
        <is>
          <t>Cái</t>
        </is>
      </c>
      <c r="G1726" s="4" t="n">
        <v>1</v>
      </c>
      <c r="H1726" s="2">
        <f>XLOOKUP(B1726, '00_TONG_HOP_BAO_GIA'!B:B, '00_TONG_HOP_BAO_GIA'!G:G, 1)</f>
        <v/>
      </c>
      <c r="I1726" s="5">
        <f>G1726*H1726</f>
        <v/>
      </c>
      <c r="J1726" s="2">
        <f>XLOOKUP(E1726, '06_BANG_GIA_VAT_TU_AP_DUNG'!B:B, '06_BANG_GIA_VAT_TU_AP_DUNG'!C:C, "LỖI_MÃ_VT")</f>
        <v/>
      </c>
      <c r="K1726" s="2">
        <f>I1726*J1726</f>
        <v/>
      </c>
      <c r="L1726" t="inlineStr">
        <is>
          <t>Cầu chì kiểm định PCCC</t>
        </is>
      </c>
    </row>
    <row r="1727">
      <c r="A1727" t="inlineStr">
        <is>
          <t>SW-DAMPER-417-BODY</t>
        </is>
      </c>
      <c r="B1727" t="inlineStr">
        <is>
          <t>SW-DAMPER-417</t>
        </is>
      </c>
      <c r="C1727" t="inlineStr">
        <is>
          <t>Thân vỏ van FD bích TDF (0.75mm)</t>
        </is>
      </c>
      <c r="D1727" t="inlineStr">
        <is>
          <t>TÔN_CUỘN_MẠ_KẼM</t>
        </is>
      </c>
      <c r="E1727" t="inlineStr">
        <is>
          <t>MAT-STEEL-PN-0.75</t>
        </is>
      </c>
      <c r="F1727" t="inlineStr">
        <is>
          <t>kg</t>
        </is>
      </c>
      <c r="G1727" s="4" t="n">
        <v>1.266048</v>
      </c>
      <c r="H1727" s="2">
        <f>XLOOKUP(B1727, '00_TONG_HOP_BAO_GIA'!B:B, '00_TONG_HOP_BAO_GIA'!G:G, 1)</f>
        <v/>
      </c>
      <c r="I1727" s="5">
        <f>G1727*H1727</f>
        <v/>
      </c>
      <c r="J1727" s="2">
        <f>XLOOKUP(E1727, '06_BANG_GIA_VAT_TU_AP_DUNG'!B:B, '06_BANG_GIA_VAT_TU_AP_DUNG'!C:C, "LỖI_MÃ_VT")</f>
        <v/>
      </c>
      <c r="K1727" s="2">
        <f>I1727*J1727</f>
        <v/>
      </c>
      <c r="L1727" t="inlineStr">
        <is>
          <t>Kích thước vỏ 150.0x150.0x250mm</t>
        </is>
      </c>
    </row>
    <row r="1728">
      <c r="A1728" t="inlineStr">
        <is>
          <t>SW-DAMPER-417-BLADE</t>
        </is>
      </c>
      <c r="B1728" t="inlineStr">
        <is>
          <t>SW-DAMPER-417</t>
        </is>
      </c>
      <c r="C1728" t="inlineStr">
        <is>
          <t>Lá cánh van (1 cánh overlap)</t>
        </is>
      </c>
      <c r="D1728" t="inlineStr">
        <is>
          <t>TÔN_CUỘN_MẠ_KẼM</t>
        </is>
      </c>
      <c r="E1728" t="inlineStr">
        <is>
          <t>MAT-STEEL-PN-0.75</t>
        </is>
      </c>
      <c r="F1728" t="inlineStr">
        <is>
          <t>kg</t>
        </is>
      </c>
      <c r="G1728" s="4" t="n">
        <v>0.16214175</v>
      </c>
      <c r="H1728" s="2">
        <f>XLOOKUP(B1728, '00_TONG_HOP_BAO_GIA'!B:B, '00_TONG_HOP_BAO_GIA'!G:G, 1)</f>
        <v/>
      </c>
      <c r="I1728" s="5">
        <f>G1728*H1728</f>
        <v/>
      </c>
      <c r="J1728" s="2">
        <f>XLOOKUP(E1728, '06_BANG_GIA_VAT_TU_AP_DUNG'!B:B, '06_BANG_GIA_VAT_TU_AP_DUNG'!C:C, "LỖI_MÃ_VT")</f>
        <v/>
      </c>
      <c r="K1728" s="2">
        <f>I1728*J1728</f>
        <v/>
      </c>
      <c r="L1728" t="inlineStr">
        <is>
          <t>1 cánh cao 170mm</t>
        </is>
      </c>
    </row>
    <row r="1729">
      <c r="A1729" t="inlineStr">
        <is>
          <t>SW-DAMPER-417-AXLE</t>
        </is>
      </c>
      <c r="B1729" t="inlineStr">
        <is>
          <t>SW-DAMPER-417</t>
        </is>
      </c>
      <c r="C1729" t="inlineStr">
        <is>
          <t>Trục Sus 201 D10</t>
        </is>
      </c>
      <c r="D1729" t="inlineStr">
        <is>
          <t>PHỤ_KIỆN_VAN</t>
        </is>
      </c>
      <c r="E1729" t="inlineStr">
        <is>
          <t>MAT-DAMPER-TRUC-SUS-201-D10</t>
        </is>
      </c>
      <c r="F1729" t="inlineStr">
        <is>
          <t>m</t>
        </is>
      </c>
      <c r="G1729" s="4" t="n">
        <v>0.21</v>
      </c>
      <c r="H1729" s="2">
        <f>XLOOKUP(B1729, '00_TONG_HOP_BAO_GIA'!B:B, '00_TONG_HOP_BAO_GIA'!G:G, 1)</f>
        <v/>
      </c>
      <c r="I1729" s="5">
        <f>G1729*H1729</f>
        <v/>
      </c>
      <c r="J1729" s="2">
        <f>XLOOKUP(E1729, '06_BANG_GIA_VAT_TU_AP_DUNG'!B:B, '06_BANG_GIA_VAT_TU_AP_DUNG'!C:C, "LỖI_MÃ_VT")</f>
        <v/>
      </c>
      <c r="K1729" s="2">
        <f>I1729*J1729</f>
        <v/>
      </c>
      <c r="L1729" t="inlineStr">
        <is>
          <t>1 trục dài 210mm</t>
        </is>
      </c>
    </row>
    <row r="1730">
      <c r="A1730" t="inlineStr">
        <is>
          <t>SW-DAMPER-417-BEARING</t>
        </is>
      </c>
      <c r="B1730" t="inlineStr">
        <is>
          <t>SW-DAMPER-417</t>
        </is>
      </c>
      <c r="C1730" t="inlineStr">
        <is>
          <t>Bạc đồng D10</t>
        </is>
      </c>
      <c r="D1730" t="inlineStr">
        <is>
          <t>PHỤ_KIỆN_VAN</t>
        </is>
      </c>
      <c r="E1730" t="inlineStr">
        <is>
          <t>MAT-DAMPER-BAC-DONG-D10</t>
        </is>
      </c>
      <c r="F1730" t="inlineStr">
        <is>
          <t>Đôi</t>
        </is>
      </c>
      <c r="G1730" s="4" t="n">
        <v>1</v>
      </c>
      <c r="H1730" s="2">
        <f>XLOOKUP(B1730, '00_TONG_HOP_BAO_GIA'!B:B, '00_TONG_HOP_BAO_GIA'!G:G, 1)</f>
        <v/>
      </c>
      <c r="I1730" s="5">
        <f>G1730*H1730</f>
        <v/>
      </c>
      <c r="J1730" s="2">
        <f>XLOOKUP(E1730, '06_BANG_GIA_VAT_TU_AP_DUNG'!B:B, '06_BANG_GIA_VAT_TU_AP_DUNG'!C:C, "LỖI_MÃ_VT")</f>
        <v/>
      </c>
      <c r="K1730" s="2">
        <f>I1730*J1730</f>
        <v/>
      </c>
      <c r="L1730" t="inlineStr">
        <is>
          <t>1 đôi bạc đỡ 2 bên thân</t>
        </is>
      </c>
    </row>
    <row r="1731">
      <c r="A1731" t="inlineStr">
        <is>
          <t>SW-DAMPER-417-FUSE</t>
        </is>
      </c>
      <c r="B1731" t="inlineStr">
        <is>
          <t>SW-DAMPER-417</t>
        </is>
      </c>
      <c r="C1731" t="inlineStr">
        <is>
          <t>Cầu chì nhiệt nóng chảy 70°C (Elsie/USA)</t>
        </is>
      </c>
      <c r="D1731" t="inlineStr">
        <is>
          <t>PHỤ_KIỆN_VAN</t>
        </is>
      </c>
      <c r="E1731" t="inlineStr">
        <is>
          <t>MAT-DAMPER-CAU-CHI-USA-1-400X400</t>
        </is>
      </c>
      <c r="F1731" t="inlineStr">
        <is>
          <t>Cái</t>
        </is>
      </c>
      <c r="G1731" s="4" t="n">
        <v>1</v>
      </c>
      <c r="H1731" s="2">
        <f>XLOOKUP(B1731, '00_TONG_HOP_BAO_GIA'!B:B, '00_TONG_HOP_BAO_GIA'!G:G, 1)</f>
        <v/>
      </c>
      <c r="I1731" s="5">
        <f>G1731*H1731</f>
        <v/>
      </c>
      <c r="J1731" s="2">
        <f>XLOOKUP(E1731, '06_BANG_GIA_VAT_TU_AP_DUNG'!B:B, '06_BANG_GIA_VAT_TU_AP_DUNG'!C:C, "LỖI_MÃ_VT")</f>
        <v/>
      </c>
      <c r="K1731" s="2">
        <f>I1731*J1731</f>
        <v/>
      </c>
      <c r="L1731" t="inlineStr">
        <is>
          <t>Cầu chì kiểm định PCCC</t>
        </is>
      </c>
    </row>
    <row r="1732">
      <c r="A1732" t="inlineStr">
        <is>
          <t>SW-DAMPER-418-BODY</t>
        </is>
      </c>
      <c r="B1732" t="inlineStr">
        <is>
          <t>SW-DAMPER-418</t>
        </is>
      </c>
      <c r="C1732" t="inlineStr">
        <is>
          <t>Thân vỏ van FD bích TDF (0.75mm)</t>
        </is>
      </c>
      <c r="D1732" t="inlineStr">
        <is>
          <t>TÔN_CUỘN_MẠ_KẼM</t>
        </is>
      </c>
      <c r="E1732" t="inlineStr">
        <is>
          <t>MAT-STEEL-PN-0.75</t>
        </is>
      </c>
      <c r="F1732" t="inlineStr">
        <is>
          <t>kg</t>
        </is>
      </c>
      <c r="G1732" s="4" t="n">
        <v>1.463868</v>
      </c>
      <c r="H1732" s="2">
        <f>XLOOKUP(B1732, '00_TONG_HOP_BAO_GIA'!B:B, '00_TONG_HOP_BAO_GIA'!G:G, 1)</f>
        <v/>
      </c>
      <c r="I1732" s="5">
        <f>G1732*H1732</f>
        <v/>
      </c>
      <c r="J1732" s="2">
        <f>XLOOKUP(E1732, '06_BANG_GIA_VAT_TU_AP_DUNG'!B:B, '06_BANG_GIA_VAT_TU_AP_DUNG'!C:C, "LỖI_MÃ_VT")</f>
        <v/>
      </c>
      <c r="K1732" s="2">
        <f>I1732*J1732</f>
        <v/>
      </c>
      <c r="L1732" t="inlineStr">
        <is>
          <t>Kích thước vỏ 200.0x150.0x250mm</t>
        </is>
      </c>
    </row>
    <row r="1733">
      <c r="A1733" t="inlineStr">
        <is>
          <t>SW-DAMPER-418-BLADE</t>
        </is>
      </c>
      <c r="B1733" t="inlineStr">
        <is>
          <t>SW-DAMPER-418</t>
        </is>
      </c>
      <c r="C1733" t="inlineStr">
        <is>
          <t>Lá cánh van (1 cánh overlap)</t>
        </is>
      </c>
      <c r="D1733" t="inlineStr">
        <is>
          <t>TÔN_CUỘN_MẠ_KẼM</t>
        </is>
      </c>
      <c r="E1733" t="inlineStr">
        <is>
          <t>MAT-STEEL-PN-0.75</t>
        </is>
      </c>
      <c r="F1733" t="inlineStr">
        <is>
          <t>kg</t>
        </is>
      </c>
      <c r="G1733" s="4" t="n">
        <v>0.216189</v>
      </c>
      <c r="H1733" s="2">
        <f>XLOOKUP(B1733, '00_TONG_HOP_BAO_GIA'!B:B, '00_TONG_HOP_BAO_GIA'!G:G, 1)</f>
        <v/>
      </c>
      <c r="I1733" s="5">
        <f>G1733*H1733</f>
        <v/>
      </c>
      <c r="J1733" s="2">
        <f>XLOOKUP(E1733, '06_BANG_GIA_VAT_TU_AP_DUNG'!B:B, '06_BANG_GIA_VAT_TU_AP_DUNG'!C:C, "LỖI_MÃ_VT")</f>
        <v/>
      </c>
      <c r="K1733" s="2">
        <f>I1733*J1733</f>
        <v/>
      </c>
      <c r="L1733" t="inlineStr">
        <is>
          <t>1 cánh cao 170mm</t>
        </is>
      </c>
    </row>
    <row r="1734">
      <c r="A1734" t="inlineStr">
        <is>
          <t>SW-DAMPER-418-AXLE</t>
        </is>
      </c>
      <c r="B1734" t="inlineStr">
        <is>
          <t>SW-DAMPER-418</t>
        </is>
      </c>
      <c r="C1734" t="inlineStr">
        <is>
          <t>Trục Sus 201 D10</t>
        </is>
      </c>
      <c r="D1734" t="inlineStr">
        <is>
          <t>PHỤ_KIỆN_VAN</t>
        </is>
      </c>
      <c r="E1734" t="inlineStr">
        <is>
          <t>MAT-DAMPER-TRUC-SUS-201-D10</t>
        </is>
      </c>
      <c r="F1734" t="inlineStr">
        <is>
          <t>m</t>
        </is>
      </c>
      <c r="G1734" s="4" t="n">
        <v>0.26</v>
      </c>
      <c r="H1734" s="2">
        <f>XLOOKUP(B1734, '00_TONG_HOP_BAO_GIA'!B:B, '00_TONG_HOP_BAO_GIA'!G:G, 1)</f>
        <v/>
      </c>
      <c r="I1734" s="5">
        <f>G1734*H1734</f>
        <v/>
      </c>
      <c r="J1734" s="2">
        <f>XLOOKUP(E1734, '06_BANG_GIA_VAT_TU_AP_DUNG'!B:B, '06_BANG_GIA_VAT_TU_AP_DUNG'!C:C, "LỖI_MÃ_VT")</f>
        <v/>
      </c>
      <c r="K1734" s="2">
        <f>I1734*J1734</f>
        <v/>
      </c>
      <c r="L1734" t="inlineStr">
        <is>
          <t>1 trục dài 260mm</t>
        </is>
      </c>
    </row>
    <row r="1735">
      <c r="A1735" t="inlineStr">
        <is>
          <t>SW-DAMPER-418-BEARING</t>
        </is>
      </c>
      <c r="B1735" t="inlineStr">
        <is>
          <t>SW-DAMPER-418</t>
        </is>
      </c>
      <c r="C1735" t="inlineStr">
        <is>
          <t>Bạc đồng D10</t>
        </is>
      </c>
      <c r="D1735" t="inlineStr">
        <is>
          <t>PHỤ_KIỆN_VAN</t>
        </is>
      </c>
      <c r="E1735" t="inlineStr">
        <is>
          <t>MAT-DAMPER-BAC-DONG-D10</t>
        </is>
      </c>
      <c r="F1735" t="inlineStr">
        <is>
          <t>Đôi</t>
        </is>
      </c>
      <c r="G1735" s="4" t="n">
        <v>1</v>
      </c>
      <c r="H1735" s="2">
        <f>XLOOKUP(B1735, '00_TONG_HOP_BAO_GIA'!B:B, '00_TONG_HOP_BAO_GIA'!G:G, 1)</f>
        <v/>
      </c>
      <c r="I1735" s="5">
        <f>G1735*H1735</f>
        <v/>
      </c>
      <c r="J1735" s="2">
        <f>XLOOKUP(E1735, '06_BANG_GIA_VAT_TU_AP_DUNG'!B:B, '06_BANG_GIA_VAT_TU_AP_DUNG'!C:C, "LỖI_MÃ_VT")</f>
        <v/>
      </c>
      <c r="K1735" s="2">
        <f>I1735*J1735</f>
        <v/>
      </c>
      <c r="L1735" t="inlineStr">
        <is>
          <t>1 đôi bạc đỡ 2 bên thân</t>
        </is>
      </c>
    </row>
    <row r="1736">
      <c r="A1736" t="inlineStr">
        <is>
          <t>SW-DAMPER-418-FUSE</t>
        </is>
      </c>
      <c r="B1736" t="inlineStr">
        <is>
          <t>SW-DAMPER-418</t>
        </is>
      </c>
      <c r="C1736" t="inlineStr">
        <is>
          <t>Cầu chì nhiệt nóng chảy 70°C (Elsie/USA)</t>
        </is>
      </c>
      <c r="D1736" t="inlineStr">
        <is>
          <t>PHỤ_KIỆN_VAN</t>
        </is>
      </c>
      <c r="E1736" t="inlineStr">
        <is>
          <t>MAT-DAMPER-CAU-CHI-USA-1-400X400</t>
        </is>
      </c>
      <c r="F1736" t="inlineStr">
        <is>
          <t>Cái</t>
        </is>
      </c>
      <c r="G1736" s="4" t="n">
        <v>1</v>
      </c>
      <c r="H1736" s="2">
        <f>XLOOKUP(B1736, '00_TONG_HOP_BAO_GIA'!B:B, '00_TONG_HOP_BAO_GIA'!G:G, 1)</f>
        <v/>
      </c>
      <c r="I1736" s="5">
        <f>G1736*H1736</f>
        <v/>
      </c>
      <c r="J1736" s="2">
        <f>XLOOKUP(E1736, '06_BANG_GIA_VAT_TU_AP_DUNG'!B:B, '06_BANG_GIA_VAT_TU_AP_DUNG'!C:C, "LỖI_MÃ_VT")</f>
        <v/>
      </c>
      <c r="K1736" s="2">
        <f>I1736*J1736</f>
        <v/>
      </c>
      <c r="L1736" t="inlineStr">
        <is>
          <t>Cầu chì kiểm định PCCC</t>
        </is>
      </c>
    </row>
    <row r="1737">
      <c r="A1737" t="inlineStr">
        <is>
          <t>SW-DAMPER-419-BODY</t>
        </is>
      </c>
      <c r="B1737" t="inlineStr">
        <is>
          <t>SW-DAMPER-419</t>
        </is>
      </c>
      <c r="C1737" t="inlineStr">
        <is>
          <t>Thân vỏ van FD bích TDF (0.75mm)</t>
        </is>
      </c>
      <c r="D1737" t="inlineStr">
        <is>
          <t>TÔN_CUỘN_MẠ_KẼM</t>
        </is>
      </c>
      <c r="E1737" t="inlineStr">
        <is>
          <t>MAT-STEEL-PN-0.75</t>
        </is>
      </c>
      <c r="F1737" t="inlineStr">
        <is>
          <t>kg</t>
        </is>
      </c>
      <c r="G1737" s="4" t="n">
        <v>1.463868</v>
      </c>
      <c r="H1737" s="2">
        <f>XLOOKUP(B1737, '00_TONG_HOP_BAO_GIA'!B:B, '00_TONG_HOP_BAO_GIA'!G:G, 1)</f>
        <v/>
      </c>
      <c r="I1737" s="5">
        <f>G1737*H1737</f>
        <v/>
      </c>
      <c r="J1737" s="2">
        <f>XLOOKUP(E1737, '06_BANG_GIA_VAT_TU_AP_DUNG'!B:B, '06_BANG_GIA_VAT_TU_AP_DUNG'!C:C, "LỖI_MÃ_VT")</f>
        <v/>
      </c>
      <c r="K1737" s="2">
        <f>I1737*J1737</f>
        <v/>
      </c>
      <c r="L1737" t="inlineStr">
        <is>
          <t>Kích thước vỏ 200.0x150.0x250mm</t>
        </is>
      </c>
    </row>
    <row r="1738">
      <c r="A1738" t="inlineStr">
        <is>
          <t>SW-DAMPER-419-BLADE</t>
        </is>
      </c>
      <c r="B1738" t="inlineStr">
        <is>
          <t>SW-DAMPER-419</t>
        </is>
      </c>
      <c r="C1738" t="inlineStr">
        <is>
          <t>Lá cánh van (1 cánh overlap)</t>
        </is>
      </c>
      <c r="D1738" t="inlineStr">
        <is>
          <t>TÔN_CUỘN_MẠ_KẼM</t>
        </is>
      </c>
      <c r="E1738" t="inlineStr">
        <is>
          <t>MAT-STEEL-PN-0.75</t>
        </is>
      </c>
      <c r="F1738" t="inlineStr">
        <is>
          <t>kg</t>
        </is>
      </c>
      <c r="G1738" s="4" t="n">
        <v>0.216189</v>
      </c>
      <c r="H1738" s="2">
        <f>XLOOKUP(B1738, '00_TONG_HOP_BAO_GIA'!B:B, '00_TONG_HOP_BAO_GIA'!G:G, 1)</f>
        <v/>
      </c>
      <c r="I1738" s="5">
        <f>G1738*H1738</f>
        <v/>
      </c>
      <c r="J1738" s="2">
        <f>XLOOKUP(E1738, '06_BANG_GIA_VAT_TU_AP_DUNG'!B:B, '06_BANG_GIA_VAT_TU_AP_DUNG'!C:C, "LỖI_MÃ_VT")</f>
        <v/>
      </c>
      <c r="K1738" s="2">
        <f>I1738*J1738</f>
        <v/>
      </c>
      <c r="L1738" t="inlineStr">
        <is>
          <t>1 cánh cao 170mm</t>
        </is>
      </c>
    </row>
    <row r="1739">
      <c r="A1739" t="inlineStr">
        <is>
          <t>SW-DAMPER-419-AXLE</t>
        </is>
      </c>
      <c r="B1739" t="inlineStr">
        <is>
          <t>SW-DAMPER-419</t>
        </is>
      </c>
      <c r="C1739" t="inlineStr">
        <is>
          <t>Trục Sus 201 D10</t>
        </is>
      </c>
      <c r="D1739" t="inlineStr">
        <is>
          <t>PHỤ_KIỆN_VAN</t>
        </is>
      </c>
      <c r="E1739" t="inlineStr">
        <is>
          <t>MAT-DAMPER-TRUC-SUS-201-D10</t>
        </is>
      </c>
      <c r="F1739" t="inlineStr">
        <is>
          <t>m</t>
        </is>
      </c>
      <c r="G1739" s="4" t="n">
        <v>0.26</v>
      </c>
      <c r="H1739" s="2">
        <f>XLOOKUP(B1739, '00_TONG_HOP_BAO_GIA'!B:B, '00_TONG_HOP_BAO_GIA'!G:G, 1)</f>
        <v/>
      </c>
      <c r="I1739" s="5">
        <f>G1739*H1739</f>
        <v/>
      </c>
      <c r="J1739" s="2">
        <f>XLOOKUP(E1739, '06_BANG_GIA_VAT_TU_AP_DUNG'!B:B, '06_BANG_GIA_VAT_TU_AP_DUNG'!C:C, "LỖI_MÃ_VT")</f>
        <v/>
      </c>
      <c r="K1739" s="2">
        <f>I1739*J1739</f>
        <v/>
      </c>
      <c r="L1739" t="inlineStr">
        <is>
          <t>1 trục dài 260mm</t>
        </is>
      </c>
    </row>
    <row r="1740">
      <c r="A1740" t="inlineStr">
        <is>
          <t>SW-DAMPER-419-BEARING</t>
        </is>
      </c>
      <c r="B1740" t="inlineStr">
        <is>
          <t>SW-DAMPER-419</t>
        </is>
      </c>
      <c r="C1740" t="inlineStr">
        <is>
          <t>Bạc đồng D10</t>
        </is>
      </c>
      <c r="D1740" t="inlineStr">
        <is>
          <t>PHỤ_KIỆN_VAN</t>
        </is>
      </c>
      <c r="E1740" t="inlineStr">
        <is>
          <t>MAT-DAMPER-BAC-DONG-D10</t>
        </is>
      </c>
      <c r="F1740" t="inlineStr">
        <is>
          <t>Đôi</t>
        </is>
      </c>
      <c r="G1740" s="4" t="n">
        <v>1</v>
      </c>
      <c r="H1740" s="2">
        <f>XLOOKUP(B1740, '00_TONG_HOP_BAO_GIA'!B:B, '00_TONG_HOP_BAO_GIA'!G:G, 1)</f>
        <v/>
      </c>
      <c r="I1740" s="5">
        <f>G1740*H1740</f>
        <v/>
      </c>
      <c r="J1740" s="2">
        <f>XLOOKUP(E1740, '06_BANG_GIA_VAT_TU_AP_DUNG'!B:B, '06_BANG_GIA_VAT_TU_AP_DUNG'!C:C, "LỖI_MÃ_VT")</f>
        <v/>
      </c>
      <c r="K1740" s="2">
        <f>I1740*J1740</f>
        <v/>
      </c>
      <c r="L1740" t="inlineStr">
        <is>
          <t>1 đôi bạc đỡ 2 bên thân</t>
        </is>
      </c>
    </row>
    <row r="1741">
      <c r="A1741" t="inlineStr">
        <is>
          <t>SW-DAMPER-419-FUSE</t>
        </is>
      </c>
      <c r="B1741" t="inlineStr">
        <is>
          <t>SW-DAMPER-419</t>
        </is>
      </c>
      <c r="C1741" t="inlineStr">
        <is>
          <t>Cầu chì nhiệt nóng chảy 70°C (Elsie/USA)</t>
        </is>
      </c>
      <c r="D1741" t="inlineStr">
        <is>
          <t>PHỤ_KIỆN_VAN</t>
        </is>
      </c>
      <c r="E1741" t="inlineStr">
        <is>
          <t>MAT-DAMPER-CAU-CHI-USA-1-400X400</t>
        </is>
      </c>
      <c r="F1741" t="inlineStr">
        <is>
          <t>Cái</t>
        </is>
      </c>
      <c r="G1741" s="4" t="n">
        <v>1</v>
      </c>
      <c r="H1741" s="2">
        <f>XLOOKUP(B1741, '00_TONG_HOP_BAO_GIA'!B:B, '00_TONG_HOP_BAO_GIA'!G:G, 1)</f>
        <v/>
      </c>
      <c r="I1741" s="5">
        <f>G1741*H1741</f>
        <v/>
      </c>
      <c r="J1741" s="2">
        <f>XLOOKUP(E1741, '06_BANG_GIA_VAT_TU_AP_DUNG'!B:B, '06_BANG_GIA_VAT_TU_AP_DUNG'!C:C, "LỖI_MÃ_VT")</f>
        <v/>
      </c>
      <c r="K1741" s="2">
        <f>I1741*J1741</f>
        <v/>
      </c>
      <c r="L1741" t="inlineStr">
        <is>
          <t>Cầu chì kiểm định PCCC</t>
        </is>
      </c>
    </row>
    <row r="1742">
      <c r="A1742" t="inlineStr">
        <is>
          <t>SW-DAMPER-420-BODY</t>
        </is>
      </c>
      <c r="B1742" t="inlineStr">
        <is>
          <t>SW-DAMPER-420</t>
        </is>
      </c>
      <c r="C1742" t="inlineStr">
        <is>
          <t>Thân vỏ van FD bích TDF (0.75mm)</t>
        </is>
      </c>
      <c r="D1742" t="inlineStr">
        <is>
          <t>TÔN_CUỘN_MẠ_KẼM</t>
        </is>
      </c>
      <c r="E1742" t="inlineStr">
        <is>
          <t>MAT-STEEL-PN-0.75</t>
        </is>
      </c>
      <c r="F1742" t="inlineStr">
        <is>
          <t>kg</t>
        </is>
      </c>
      <c r="G1742" s="4" t="n">
        <v>1.661688</v>
      </c>
      <c r="H1742" s="2">
        <f>XLOOKUP(B1742, '00_TONG_HOP_BAO_GIA'!B:B, '00_TONG_HOP_BAO_GIA'!G:G, 1)</f>
        <v/>
      </c>
      <c r="I1742" s="5">
        <f>G1742*H1742</f>
        <v/>
      </c>
      <c r="J1742" s="2">
        <f>XLOOKUP(E1742, '06_BANG_GIA_VAT_TU_AP_DUNG'!B:B, '06_BANG_GIA_VAT_TU_AP_DUNG'!C:C, "LỖI_MÃ_VT")</f>
        <v/>
      </c>
      <c r="K1742" s="2">
        <f>I1742*J1742</f>
        <v/>
      </c>
      <c r="L1742" t="inlineStr">
        <is>
          <t>Kích thước vỏ 200.0x200.0x250mm</t>
        </is>
      </c>
    </row>
    <row r="1743">
      <c r="A1743" t="inlineStr">
        <is>
          <t>SW-DAMPER-420-BLADE</t>
        </is>
      </c>
      <c r="B1743" t="inlineStr">
        <is>
          <t>SW-DAMPER-420</t>
        </is>
      </c>
      <c r="C1743" t="inlineStr">
        <is>
          <t>Lá cánh van (2 cánh overlap)</t>
        </is>
      </c>
      <c r="D1743" t="inlineStr">
        <is>
          <t>TÔN_CUỘN_MẠ_KẼM</t>
        </is>
      </c>
      <c r="E1743" t="inlineStr">
        <is>
          <t>MAT-STEEL-PN-0.75</t>
        </is>
      </c>
      <c r="F1743" t="inlineStr">
        <is>
          <t>kg</t>
        </is>
      </c>
      <c r="G1743" s="4" t="n">
        <v>0.305208</v>
      </c>
      <c r="H1743" s="2">
        <f>XLOOKUP(B1743, '00_TONG_HOP_BAO_GIA'!B:B, '00_TONG_HOP_BAO_GIA'!G:G, 1)</f>
        <v/>
      </c>
      <c r="I1743" s="5">
        <f>G1743*H1743</f>
        <v/>
      </c>
      <c r="J1743" s="2">
        <f>XLOOKUP(E1743, '06_BANG_GIA_VAT_TU_AP_DUNG'!B:B, '06_BANG_GIA_VAT_TU_AP_DUNG'!C:C, "LỖI_MÃ_VT")</f>
        <v/>
      </c>
      <c r="K1743" s="2">
        <f>I1743*J1743</f>
        <v/>
      </c>
      <c r="L1743" t="inlineStr">
        <is>
          <t>2 cánh cao 120mm</t>
        </is>
      </c>
    </row>
    <row r="1744">
      <c r="A1744" t="inlineStr">
        <is>
          <t>SW-DAMPER-420-AXLE</t>
        </is>
      </c>
      <c r="B1744" t="inlineStr">
        <is>
          <t>SW-DAMPER-420</t>
        </is>
      </c>
      <c r="C1744" t="inlineStr">
        <is>
          <t>Trục Sus 201 D10</t>
        </is>
      </c>
      <c r="D1744" t="inlineStr">
        <is>
          <t>PHỤ_KIỆN_VAN</t>
        </is>
      </c>
      <c r="E1744" t="inlineStr">
        <is>
          <t>MAT-DAMPER-TRUC-SUS-201-D10</t>
        </is>
      </c>
      <c r="F1744" t="inlineStr">
        <is>
          <t>m</t>
        </is>
      </c>
      <c r="G1744" s="4" t="n">
        <v>0.52</v>
      </c>
      <c r="H1744" s="2">
        <f>XLOOKUP(B1744, '00_TONG_HOP_BAO_GIA'!B:B, '00_TONG_HOP_BAO_GIA'!G:G, 1)</f>
        <v/>
      </c>
      <c r="I1744" s="5">
        <f>G1744*H1744</f>
        <v/>
      </c>
      <c r="J1744" s="2">
        <f>XLOOKUP(E1744, '06_BANG_GIA_VAT_TU_AP_DUNG'!B:B, '06_BANG_GIA_VAT_TU_AP_DUNG'!C:C, "LỖI_MÃ_VT")</f>
        <v/>
      </c>
      <c r="K1744" s="2">
        <f>I1744*J1744</f>
        <v/>
      </c>
      <c r="L1744" t="inlineStr">
        <is>
          <t>2 trục dài 260mm</t>
        </is>
      </c>
    </row>
    <row r="1745">
      <c r="A1745" t="inlineStr">
        <is>
          <t>SW-DAMPER-420-BEARING</t>
        </is>
      </c>
      <c r="B1745" t="inlineStr">
        <is>
          <t>SW-DAMPER-420</t>
        </is>
      </c>
      <c r="C1745" t="inlineStr">
        <is>
          <t>Bạc đồng D10</t>
        </is>
      </c>
      <c r="D1745" t="inlineStr">
        <is>
          <t>PHỤ_KIỆN_VAN</t>
        </is>
      </c>
      <c r="E1745" t="inlineStr">
        <is>
          <t>MAT-DAMPER-BAC-DONG-D10</t>
        </is>
      </c>
      <c r="F1745" t="inlineStr">
        <is>
          <t>Đôi</t>
        </is>
      </c>
      <c r="G1745" s="4" t="n">
        <v>2</v>
      </c>
      <c r="H1745" s="2">
        <f>XLOOKUP(B1745, '00_TONG_HOP_BAO_GIA'!B:B, '00_TONG_HOP_BAO_GIA'!G:G, 1)</f>
        <v/>
      </c>
      <c r="I1745" s="5">
        <f>G1745*H1745</f>
        <v/>
      </c>
      <c r="J1745" s="2">
        <f>XLOOKUP(E1745, '06_BANG_GIA_VAT_TU_AP_DUNG'!B:B, '06_BANG_GIA_VAT_TU_AP_DUNG'!C:C, "LỖI_MÃ_VT")</f>
        <v/>
      </c>
      <c r="K1745" s="2">
        <f>I1745*J1745</f>
        <v/>
      </c>
      <c r="L1745" t="inlineStr">
        <is>
          <t>2 đôi bạc đỡ 2 bên thân</t>
        </is>
      </c>
    </row>
    <row r="1746">
      <c r="A1746" t="inlineStr">
        <is>
          <t>SW-DAMPER-420-GEAR</t>
        </is>
      </c>
      <c r="B1746" t="inlineStr">
        <is>
          <t>SW-DAMPER-420</t>
        </is>
      </c>
      <c r="C1746" t="inlineStr">
        <is>
          <t>Bánh răng van nhôm</t>
        </is>
      </c>
      <c r="D1746" t="inlineStr">
        <is>
          <t>PHỤ_KIỆN_VAN</t>
        </is>
      </c>
      <c r="E1746" t="inlineStr">
        <is>
          <t>MAT-DAMPER-BANH-RANG-VAN-NHOM</t>
        </is>
      </c>
      <c r="F1746" t="inlineStr">
        <is>
          <t>Bộ</t>
        </is>
      </c>
      <c r="G1746" s="4" t="n">
        <v>1</v>
      </c>
      <c r="H1746" s="2">
        <f>XLOOKUP(B1746, '00_TONG_HOP_BAO_GIA'!B:B, '00_TONG_HOP_BAO_GIA'!G:G, 1)</f>
        <v/>
      </c>
      <c r="I1746" s="5">
        <f>G1746*H1746</f>
        <v/>
      </c>
      <c r="J1746" s="2">
        <f>XLOOKUP(E1746, '06_BANG_GIA_VAT_TU_AP_DUNG'!B:B, '06_BANG_GIA_VAT_TU_AP_DUNG'!C:C, "LỖI_MÃ_VT")</f>
        <v/>
      </c>
      <c r="K1746" s="2">
        <f>I1746*J1746</f>
        <v/>
      </c>
      <c r="L1746" t="inlineStr">
        <is>
          <t>Cơ cấu liên động bánh răng van</t>
        </is>
      </c>
    </row>
    <row r="1747">
      <c r="A1747" t="inlineStr">
        <is>
          <t>SW-DAMPER-420-FUSE</t>
        </is>
      </c>
      <c r="B1747" t="inlineStr">
        <is>
          <t>SW-DAMPER-420</t>
        </is>
      </c>
      <c r="C1747" t="inlineStr">
        <is>
          <t>Cầu chì nhiệt nóng chảy 70°C (Elsie/USA)</t>
        </is>
      </c>
      <c r="D1747" t="inlineStr">
        <is>
          <t>PHỤ_KIỆN_VAN</t>
        </is>
      </c>
      <c r="E1747" t="inlineStr">
        <is>
          <t>MAT-DAMPER-CAU-CHI-USA-1-400X400</t>
        </is>
      </c>
      <c r="F1747" t="inlineStr">
        <is>
          <t>Cái</t>
        </is>
      </c>
      <c r="G1747" s="4" t="n">
        <v>1</v>
      </c>
      <c r="H1747" s="2">
        <f>XLOOKUP(B1747, '00_TONG_HOP_BAO_GIA'!B:B, '00_TONG_HOP_BAO_GIA'!G:G, 1)</f>
        <v/>
      </c>
      <c r="I1747" s="5">
        <f>G1747*H1747</f>
        <v/>
      </c>
      <c r="J1747" s="2">
        <f>XLOOKUP(E1747, '06_BANG_GIA_VAT_TU_AP_DUNG'!B:B, '06_BANG_GIA_VAT_TU_AP_DUNG'!C:C, "LỖI_MÃ_VT")</f>
        <v/>
      </c>
      <c r="K1747" s="2">
        <f>I1747*J1747</f>
        <v/>
      </c>
      <c r="L1747" t="inlineStr">
        <is>
          <t>Cầu chì kiểm định PCCC</t>
        </is>
      </c>
    </row>
    <row r="1748">
      <c r="A1748" t="inlineStr">
        <is>
          <t>SW-DAMPER-421-BODY</t>
        </is>
      </c>
      <c r="B1748" t="inlineStr">
        <is>
          <t>SW-DAMPER-421</t>
        </is>
      </c>
      <c r="C1748" t="inlineStr">
        <is>
          <t>Thân vỏ van FD bích TDF (0.75mm)</t>
        </is>
      </c>
      <c r="D1748" t="inlineStr">
        <is>
          <t>TÔN_CUỘN_MẠ_KẼM</t>
        </is>
      </c>
      <c r="E1748" t="inlineStr">
        <is>
          <t>MAT-STEEL-PN-0.75</t>
        </is>
      </c>
      <c r="F1748" t="inlineStr">
        <is>
          <t>kg</t>
        </is>
      </c>
      <c r="G1748" s="4" t="n">
        <v>1.661688</v>
      </c>
      <c r="H1748" s="2">
        <f>XLOOKUP(B1748, '00_TONG_HOP_BAO_GIA'!B:B, '00_TONG_HOP_BAO_GIA'!G:G, 1)</f>
        <v/>
      </c>
      <c r="I1748" s="5">
        <f>G1748*H1748</f>
        <v/>
      </c>
      <c r="J1748" s="2">
        <f>XLOOKUP(E1748, '06_BANG_GIA_VAT_TU_AP_DUNG'!B:B, '06_BANG_GIA_VAT_TU_AP_DUNG'!C:C, "LỖI_MÃ_VT")</f>
        <v/>
      </c>
      <c r="K1748" s="2">
        <f>I1748*J1748</f>
        <v/>
      </c>
      <c r="L1748" t="inlineStr">
        <is>
          <t>Kích thước vỏ 250.0x150.0x250mm</t>
        </is>
      </c>
    </row>
    <row r="1749">
      <c r="A1749" t="inlineStr">
        <is>
          <t>SW-DAMPER-421-BLADE</t>
        </is>
      </c>
      <c r="B1749" t="inlineStr">
        <is>
          <t>SW-DAMPER-421</t>
        </is>
      </c>
      <c r="C1749" t="inlineStr">
        <is>
          <t>Lá cánh van (1 cánh overlap)</t>
        </is>
      </c>
      <c r="D1749" t="inlineStr">
        <is>
          <t>TÔN_CUỘN_MẠ_KẼM</t>
        </is>
      </c>
      <c r="E1749" t="inlineStr">
        <is>
          <t>MAT-STEEL-PN-0.75</t>
        </is>
      </c>
      <c r="F1749" t="inlineStr">
        <is>
          <t>kg</t>
        </is>
      </c>
      <c r="G1749" s="4" t="n">
        <v>0.27023625</v>
      </c>
      <c r="H1749" s="2">
        <f>XLOOKUP(B1749, '00_TONG_HOP_BAO_GIA'!B:B, '00_TONG_HOP_BAO_GIA'!G:G, 1)</f>
        <v/>
      </c>
      <c r="I1749" s="5">
        <f>G1749*H1749</f>
        <v/>
      </c>
      <c r="J1749" s="2">
        <f>XLOOKUP(E1749, '06_BANG_GIA_VAT_TU_AP_DUNG'!B:B, '06_BANG_GIA_VAT_TU_AP_DUNG'!C:C, "LỖI_MÃ_VT")</f>
        <v/>
      </c>
      <c r="K1749" s="2">
        <f>I1749*J1749</f>
        <v/>
      </c>
      <c r="L1749" t="inlineStr">
        <is>
          <t>1 cánh cao 170mm</t>
        </is>
      </c>
    </row>
    <row r="1750">
      <c r="A1750" t="inlineStr">
        <is>
          <t>SW-DAMPER-421-AXLE</t>
        </is>
      </c>
      <c r="B1750" t="inlineStr">
        <is>
          <t>SW-DAMPER-421</t>
        </is>
      </c>
      <c r="C1750" t="inlineStr">
        <is>
          <t>Trục Sus 201 D10</t>
        </is>
      </c>
      <c r="D1750" t="inlineStr">
        <is>
          <t>PHỤ_KIỆN_VAN</t>
        </is>
      </c>
      <c r="E1750" t="inlineStr">
        <is>
          <t>MAT-DAMPER-TRUC-SUS-201-D10</t>
        </is>
      </c>
      <c r="F1750" t="inlineStr">
        <is>
          <t>m</t>
        </is>
      </c>
      <c r="G1750" s="4" t="n">
        <v>0.31</v>
      </c>
      <c r="H1750" s="2">
        <f>XLOOKUP(B1750, '00_TONG_HOP_BAO_GIA'!B:B, '00_TONG_HOP_BAO_GIA'!G:G, 1)</f>
        <v/>
      </c>
      <c r="I1750" s="5">
        <f>G1750*H1750</f>
        <v/>
      </c>
      <c r="J1750" s="2">
        <f>XLOOKUP(E1750, '06_BANG_GIA_VAT_TU_AP_DUNG'!B:B, '06_BANG_GIA_VAT_TU_AP_DUNG'!C:C, "LỖI_MÃ_VT")</f>
        <v/>
      </c>
      <c r="K1750" s="2">
        <f>I1750*J1750</f>
        <v/>
      </c>
      <c r="L1750" t="inlineStr">
        <is>
          <t>1 trục dài 310mm</t>
        </is>
      </c>
    </row>
    <row r="1751">
      <c r="A1751" t="inlineStr">
        <is>
          <t>SW-DAMPER-421-BEARING</t>
        </is>
      </c>
      <c r="B1751" t="inlineStr">
        <is>
          <t>SW-DAMPER-421</t>
        </is>
      </c>
      <c r="C1751" t="inlineStr">
        <is>
          <t>Bạc đồng D10</t>
        </is>
      </c>
      <c r="D1751" t="inlineStr">
        <is>
          <t>PHỤ_KIỆN_VAN</t>
        </is>
      </c>
      <c r="E1751" t="inlineStr">
        <is>
          <t>MAT-DAMPER-BAC-DONG-D10</t>
        </is>
      </c>
      <c r="F1751" t="inlineStr">
        <is>
          <t>Đôi</t>
        </is>
      </c>
      <c r="G1751" s="4" t="n">
        <v>1</v>
      </c>
      <c r="H1751" s="2">
        <f>XLOOKUP(B1751, '00_TONG_HOP_BAO_GIA'!B:B, '00_TONG_HOP_BAO_GIA'!G:G, 1)</f>
        <v/>
      </c>
      <c r="I1751" s="5">
        <f>G1751*H1751</f>
        <v/>
      </c>
      <c r="J1751" s="2">
        <f>XLOOKUP(E1751, '06_BANG_GIA_VAT_TU_AP_DUNG'!B:B, '06_BANG_GIA_VAT_TU_AP_DUNG'!C:C, "LỖI_MÃ_VT")</f>
        <v/>
      </c>
      <c r="K1751" s="2">
        <f>I1751*J1751</f>
        <v/>
      </c>
      <c r="L1751" t="inlineStr">
        <is>
          <t>1 đôi bạc đỡ 2 bên thân</t>
        </is>
      </c>
    </row>
    <row r="1752">
      <c r="A1752" t="inlineStr">
        <is>
          <t>SW-DAMPER-421-FUSE</t>
        </is>
      </c>
      <c r="B1752" t="inlineStr">
        <is>
          <t>SW-DAMPER-421</t>
        </is>
      </c>
      <c r="C1752" t="inlineStr">
        <is>
          <t>Cầu chì nhiệt nóng chảy 70°C (Elsie/USA)</t>
        </is>
      </c>
      <c r="D1752" t="inlineStr">
        <is>
          <t>PHỤ_KIỆN_VAN</t>
        </is>
      </c>
      <c r="E1752" t="inlineStr">
        <is>
          <t>MAT-DAMPER-CAU-CHI-USA-1-400X400</t>
        </is>
      </c>
      <c r="F1752" t="inlineStr">
        <is>
          <t>Cái</t>
        </is>
      </c>
      <c r="G1752" s="4" t="n">
        <v>1</v>
      </c>
      <c r="H1752" s="2">
        <f>XLOOKUP(B1752, '00_TONG_HOP_BAO_GIA'!B:B, '00_TONG_HOP_BAO_GIA'!G:G, 1)</f>
        <v/>
      </c>
      <c r="I1752" s="5">
        <f>G1752*H1752</f>
        <v/>
      </c>
      <c r="J1752" s="2">
        <f>XLOOKUP(E1752, '06_BANG_GIA_VAT_TU_AP_DUNG'!B:B, '06_BANG_GIA_VAT_TU_AP_DUNG'!C:C, "LỖI_MÃ_VT")</f>
        <v/>
      </c>
      <c r="K1752" s="2">
        <f>I1752*J1752</f>
        <v/>
      </c>
      <c r="L1752" t="inlineStr">
        <is>
          <t>Cầu chì kiểm định PCCC</t>
        </is>
      </c>
    </row>
    <row r="1753">
      <c r="A1753" t="inlineStr">
        <is>
          <t>SW-DAMPER-422-BODY</t>
        </is>
      </c>
      <c r="B1753" t="inlineStr">
        <is>
          <t>SW-DAMPER-422</t>
        </is>
      </c>
      <c r="C1753" t="inlineStr">
        <is>
          <t>Thân vỏ van FD bích TDF (0.75mm)</t>
        </is>
      </c>
      <c r="D1753" t="inlineStr">
        <is>
          <t>TÔN_CUỘN_MẠ_KẼM</t>
        </is>
      </c>
      <c r="E1753" t="inlineStr">
        <is>
          <t>MAT-STEEL-PN-0.75</t>
        </is>
      </c>
      <c r="F1753" t="inlineStr">
        <is>
          <t>kg</t>
        </is>
      </c>
      <c r="G1753" s="4" t="n">
        <v>2.057328</v>
      </c>
      <c r="H1753" s="2">
        <f>XLOOKUP(B1753, '00_TONG_HOP_BAO_GIA'!B:B, '00_TONG_HOP_BAO_GIA'!G:G, 1)</f>
        <v/>
      </c>
      <c r="I1753" s="5">
        <f>G1753*H1753</f>
        <v/>
      </c>
      <c r="J1753" s="2">
        <f>XLOOKUP(E1753, '06_BANG_GIA_VAT_TU_AP_DUNG'!B:B, '06_BANG_GIA_VAT_TU_AP_DUNG'!C:C, "LỖI_MÃ_VT")</f>
        <v/>
      </c>
      <c r="K1753" s="2">
        <f>I1753*J1753</f>
        <v/>
      </c>
      <c r="L1753" t="inlineStr">
        <is>
          <t>Kích thước vỏ 300.0x200.0x250mm</t>
        </is>
      </c>
    </row>
    <row r="1754">
      <c r="A1754" t="inlineStr">
        <is>
          <t>SW-DAMPER-422-BLADE</t>
        </is>
      </c>
      <c r="B1754" t="inlineStr">
        <is>
          <t>SW-DAMPER-422</t>
        </is>
      </c>
      <c r="C1754" t="inlineStr">
        <is>
          <t>Lá cánh van (2 cánh overlap)</t>
        </is>
      </c>
      <c r="D1754" t="inlineStr">
        <is>
          <t>TÔN_CUỘN_MẠ_KẼM</t>
        </is>
      </c>
      <c r="E1754" t="inlineStr">
        <is>
          <t>MAT-STEEL-PN-0.75</t>
        </is>
      </c>
      <c r="F1754" t="inlineStr">
        <is>
          <t>kg</t>
        </is>
      </c>
      <c r="G1754" s="4" t="n">
        <v>0.4578119999999999</v>
      </c>
      <c r="H1754" s="2">
        <f>XLOOKUP(B1754, '00_TONG_HOP_BAO_GIA'!B:B, '00_TONG_HOP_BAO_GIA'!G:G, 1)</f>
        <v/>
      </c>
      <c r="I1754" s="5">
        <f>G1754*H1754</f>
        <v/>
      </c>
      <c r="J1754" s="2">
        <f>XLOOKUP(E1754, '06_BANG_GIA_VAT_TU_AP_DUNG'!B:B, '06_BANG_GIA_VAT_TU_AP_DUNG'!C:C, "LỖI_MÃ_VT")</f>
        <v/>
      </c>
      <c r="K1754" s="2">
        <f>I1754*J1754</f>
        <v/>
      </c>
      <c r="L1754" t="inlineStr">
        <is>
          <t>2 cánh cao 120mm</t>
        </is>
      </c>
    </row>
    <row r="1755">
      <c r="A1755" t="inlineStr">
        <is>
          <t>SW-DAMPER-422-AXLE</t>
        </is>
      </c>
      <c r="B1755" t="inlineStr">
        <is>
          <t>SW-DAMPER-422</t>
        </is>
      </c>
      <c r="C1755" t="inlineStr">
        <is>
          <t>Trục Sus 201 D10</t>
        </is>
      </c>
      <c r="D1755" t="inlineStr">
        <is>
          <t>PHỤ_KIỆN_VAN</t>
        </is>
      </c>
      <c r="E1755" t="inlineStr">
        <is>
          <t>MAT-DAMPER-TRUC-SUS-201-D10</t>
        </is>
      </c>
      <c r="F1755" t="inlineStr">
        <is>
          <t>m</t>
        </is>
      </c>
      <c r="G1755" s="4" t="n">
        <v>0.72</v>
      </c>
      <c r="H1755" s="2">
        <f>XLOOKUP(B1755, '00_TONG_HOP_BAO_GIA'!B:B, '00_TONG_HOP_BAO_GIA'!G:G, 1)</f>
        <v/>
      </c>
      <c r="I1755" s="5">
        <f>G1755*H1755</f>
        <v/>
      </c>
      <c r="J1755" s="2">
        <f>XLOOKUP(E1755, '06_BANG_GIA_VAT_TU_AP_DUNG'!B:B, '06_BANG_GIA_VAT_TU_AP_DUNG'!C:C, "LỖI_MÃ_VT")</f>
        <v/>
      </c>
      <c r="K1755" s="2">
        <f>I1755*J1755</f>
        <v/>
      </c>
      <c r="L1755" t="inlineStr">
        <is>
          <t>2 trục dài 360mm</t>
        </is>
      </c>
    </row>
    <row r="1756">
      <c r="A1756" t="inlineStr">
        <is>
          <t>SW-DAMPER-422-BEARING</t>
        </is>
      </c>
      <c r="B1756" t="inlineStr">
        <is>
          <t>SW-DAMPER-422</t>
        </is>
      </c>
      <c r="C1756" t="inlineStr">
        <is>
          <t>Bạc đồng D10</t>
        </is>
      </c>
      <c r="D1756" t="inlineStr">
        <is>
          <t>PHỤ_KIỆN_VAN</t>
        </is>
      </c>
      <c r="E1756" t="inlineStr">
        <is>
          <t>MAT-DAMPER-BAC-DONG-D10</t>
        </is>
      </c>
      <c r="F1756" t="inlineStr">
        <is>
          <t>Đôi</t>
        </is>
      </c>
      <c r="G1756" s="4" t="n">
        <v>2</v>
      </c>
      <c r="H1756" s="2">
        <f>XLOOKUP(B1756, '00_TONG_HOP_BAO_GIA'!B:B, '00_TONG_HOP_BAO_GIA'!G:G, 1)</f>
        <v/>
      </c>
      <c r="I1756" s="5">
        <f>G1756*H1756</f>
        <v/>
      </c>
      <c r="J1756" s="2">
        <f>XLOOKUP(E1756, '06_BANG_GIA_VAT_TU_AP_DUNG'!B:B, '06_BANG_GIA_VAT_TU_AP_DUNG'!C:C, "LỖI_MÃ_VT")</f>
        <v/>
      </c>
      <c r="K1756" s="2">
        <f>I1756*J1756</f>
        <v/>
      </c>
      <c r="L1756" t="inlineStr">
        <is>
          <t>2 đôi bạc đỡ 2 bên thân</t>
        </is>
      </c>
    </row>
    <row r="1757">
      <c r="A1757" t="inlineStr">
        <is>
          <t>SW-DAMPER-422-GEAR</t>
        </is>
      </c>
      <c r="B1757" t="inlineStr">
        <is>
          <t>SW-DAMPER-422</t>
        </is>
      </c>
      <c r="C1757" t="inlineStr">
        <is>
          <t>Bánh răng van nhôm</t>
        </is>
      </c>
      <c r="D1757" t="inlineStr">
        <is>
          <t>PHỤ_KIỆN_VAN</t>
        </is>
      </c>
      <c r="E1757" t="inlineStr">
        <is>
          <t>MAT-DAMPER-BANH-RANG-VAN-NHOM</t>
        </is>
      </c>
      <c r="F1757" t="inlineStr">
        <is>
          <t>Bộ</t>
        </is>
      </c>
      <c r="G1757" s="4" t="n">
        <v>1</v>
      </c>
      <c r="H1757" s="2">
        <f>XLOOKUP(B1757, '00_TONG_HOP_BAO_GIA'!B:B, '00_TONG_HOP_BAO_GIA'!G:G, 1)</f>
        <v/>
      </c>
      <c r="I1757" s="5">
        <f>G1757*H1757</f>
        <v/>
      </c>
      <c r="J1757" s="2">
        <f>XLOOKUP(E1757, '06_BANG_GIA_VAT_TU_AP_DUNG'!B:B, '06_BANG_GIA_VAT_TU_AP_DUNG'!C:C, "LỖI_MÃ_VT")</f>
        <v/>
      </c>
      <c r="K1757" s="2">
        <f>I1757*J1757</f>
        <v/>
      </c>
      <c r="L1757" t="inlineStr">
        <is>
          <t>Cơ cấu liên động bánh răng van</t>
        </is>
      </c>
    </row>
    <row r="1758">
      <c r="A1758" t="inlineStr">
        <is>
          <t>SW-DAMPER-422-FUSE</t>
        </is>
      </c>
      <c r="B1758" t="inlineStr">
        <is>
          <t>SW-DAMPER-422</t>
        </is>
      </c>
      <c r="C1758" t="inlineStr">
        <is>
          <t>Cầu chì nhiệt nóng chảy 70°C (Elsie/USA)</t>
        </is>
      </c>
      <c r="D1758" t="inlineStr">
        <is>
          <t>PHỤ_KIỆN_VAN</t>
        </is>
      </c>
      <c r="E1758" t="inlineStr">
        <is>
          <t>MAT-DAMPER-CAU-CHI-USA-1-400X400</t>
        </is>
      </c>
      <c r="F1758" t="inlineStr">
        <is>
          <t>Cái</t>
        </is>
      </c>
      <c r="G1758" s="4" t="n">
        <v>1</v>
      </c>
      <c r="H1758" s="2">
        <f>XLOOKUP(B1758, '00_TONG_HOP_BAO_GIA'!B:B, '00_TONG_HOP_BAO_GIA'!G:G, 1)</f>
        <v/>
      </c>
      <c r="I1758" s="5">
        <f>G1758*H1758</f>
        <v/>
      </c>
      <c r="J1758" s="2">
        <f>XLOOKUP(E1758, '06_BANG_GIA_VAT_TU_AP_DUNG'!B:B, '06_BANG_GIA_VAT_TU_AP_DUNG'!C:C, "LỖI_MÃ_VT")</f>
        <v/>
      </c>
      <c r="K1758" s="2">
        <f>I1758*J1758</f>
        <v/>
      </c>
      <c r="L1758" t="inlineStr">
        <is>
          <t>Cầu chì kiểm định PCCC</t>
        </is>
      </c>
    </row>
    <row r="1759">
      <c r="A1759" t="inlineStr">
        <is>
          <t>SW-DAMPER-423-BODY</t>
        </is>
      </c>
      <c r="B1759" t="inlineStr">
        <is>
          <t>SW-DAMPER-423</t>
        </is>
      </c>
      <c r="C1759" t="inlineStr">
        <is>
          <t>Thân vỏ van FD bích TDF (0.75mm)</t>
        </is>
      </c>
      <c r="D1759" t="inlineStr">
        <is>
          <t>TÔN_CUỘN_MẠ_KẼM</t>
        </is>
      </c>
      <c r="E1759" t="inlineStr">
        <is>
          <t>MAT-STEEL-PN-0.75</t>
        </is>
      </c>
      <c r="F1759" t="inlineStr">
        <is>
          <t>kg</t>
        </is>
      </c>
      <c r="G1759" s="4" t="n">
        <v>2.255148</v>
      </c>
      <c r="H1759" s="2">
        <f>XLOOKUP(B1759, '00_TONG_HOP_BAO_GIA'!B:B, '00_TONG_HOP_BAO_GIA'!G:G, 1)</f>
        <v/>
      </c>
      <c r="I1759" s="5">
        <f>G1759*H1759</f>
        <v/>
      </c>
      <c r="J1759" s="2">
        <f>XLOOKUP(E1759, '06_BANG_GIA_VAT_TU_AP_DUNG'!B:B, '06_BANG_GIA_VAT_TU_AP_DUNG'!C:C, "LỖI_MÃ_VT")</f>
        <v/>
      </c>
      <c r="K1759" s="2">
        <f>I1759*J1759</f>
        <v/>
      </c>
      <c r="L1759" t="inlineStr">
        <is>
          <t>Kích thước vỏ 300.0x250.0x250mm</t>
        </is>
      </c>
    </row>
    <row r="1760">
      <c r="A1760" t="inlineStr">
        <is>
          <t>SW-DAMPER-423-BLADE</t>
        </is>
      </c>
      <c r="B1760" t="inlineStr">
        <is>
          <t>SW-DAMPER-423</t>
        </is>
      </c>
      <c r="C1760" t="inlineStr">
        <is>
          <t>Lá cánh van (2 cánh overlap)</t>
        </is>
      </c>
      <c r="D1760" t="inlineStr">
        <is>
          <t>TÔN_CUỘN_MẠ_KẼM</t>
        </is>
      </c>
      <c r="E1760" t="inlineStr">
        <is>
          <t>MAT-STEEL-PN-0.75</t>
        </is>
      </c>
      <c r="F1760" t="inlineStr">
        <is>
          <t>kg</t>
        </is>
      </c>
      <c r="G1760" s="4" t="n">
        <v>0.5531894999999999</v>
      </c>
      <c r="H1760" s="2">
        <f>XLOOKUP(B1760, '00_TONG_HOP_BAO_GIA'!B:B, '00_TONG_HOP_BAO_GIA'!G:G, 1)</f>
        <v/>
      </c>
      <c r="I1760" s="5">
        <f>G1760*H1760</f>
        <v/>
      </c>
      <c r="J1760" s="2">
        <f>XLOOKUP(E1760, '06_BANG_GIA_VAT_TU_AP_DUNG'!B:B, '06_BANG_GIA_VAT_TU_AP_DUNG'!C:C, "LỖI_MÃ_VT")</f>
        <v/>
      </c>
      <c r="K1760" s="2">
        <f>I1760*J1760</f>
        <v/>
      </c>
      <c r="L1760" t="inlineStr">
        <is>
          <t>2 cánh cao 145mm</t>
        </is>
      </c>
    </row>
    <row r="1761">
      <c r="A1761" t="inlineStr">
        <is>
          <t>SW-DAMPER-423-AXLE</t>
        </is>
      </c>
      <c r="B1761" t="inlineStr">
        <is>
          <t>SW-DAMPER-423</t>
        </is>
      </c>
      <c r="C1761" t="inlineStr">
        <is>
          <t>Trục Sus 201 D10</t>
        </is>
      </c>
      <c r="D1761" t="inlineStr">
        <is>
          <t>PHỤ_KIỆN_VAN</t>
        </is>
      </c>
      <c r="E1761" t="inlineStr">
        <is>
          <t>MAT-DAMPER-TRUC-SUS-201-D10</t>
        </is>
      </c>
      <c r="F1761" t="inlineStr">
        <is>
          <t>m</t>
        </is>
      </c>
      <c r="G1761" s="4" t="n">
        <v>0.72</v>
      </c>
      <c r="H1761" s="2">
        <f>XLOOKUP(B1761, '00_TONG_HOP_BAO_GIA'!B:B, '00_TONG_HOP_BAO_GIA'!G:G, 1)</f>
        <v/>
      </c>
      <c r="I1761" s="5">
        <f>G1761*H1761</f>
        <v/>
      </c>
      <c r="J1761" s="2">
        <f>XLOOKUP(E1761, '06_BANG_GIA_VAT_TU_AP_DUNG'!B:B, '06_BANG_GIA_VAT_TU_AP_DUNG'!C:C, "LỖI_MÃ_VT")</f>
        <v/>
      </c>
      <c r="K1761" s="2">
        <f>I1761*J1761</f>
        <v/>
      </c>
      <c r="L1761" t="inlineStr">
        <is>
          <t>2 trục dài 360mm</t>
        </is>
      </c>
    </row>
    <row r="1762">
      <c r="A1762" t="inlineStr">
        <is>
          <t>SW-DAMPER-423-BEARING</t>
        </is>
      </c>
      <c r="B1762" t="inlineStr">
        <is>
          <t>SW-DAMPER-423</t>
        </is>
      </c>
      <c r="C1762" t="inlineStr">
        <is>
          <t>Bạc đồng D10</t>
        </is>
      </c>
      <c r="D1762" t="inlineStr">
        <is>
          <t>PHỤ_KIỆN_VAN</t>
        </is>
      </c>
      <c r="E1762" t="inlineStr">
        <is>
          <t>MAT-DAMPER-BAC-DONG-D10</t>
        </is>
      </c>
      <c r="F1762" t="inlineStr">
        <is>
          <t>Đôi</t>
        </is>
      </c>
      <c r="G1762" s="4" t="n">
        <v>2</v>
      </c>
      <c r="H1762" s="2">
        <f>XLOOKUP(B1762, '00_TONG_HOP_BAO_GIA'!B:B, '00_TONG_HOP_BAO_GIA'!G:G, 1)</f>
        <v/>
      </c>
      <c r="I1762" s="5">
        <f>G1762*H1762</f>
        <v/>
      </c>
      <c r="J1762" s="2">
        <f>XLOOKUP(E1762, '06_BANG_GIA_VAT_TU_AP_DUNG'!B:B, '06_BANG_GIA_VAT_TU_AP_DUNG'!C:C, "LỖI_MÃ_VT")</f>
        <v/>
      </c>
      <c r="K1762" s="2">
        <f>I1762*J1762</f>
        <v/>
      </c>
      <c r="L1762" t="inlineStr">
        <is>
          <t>2 đôi bạc đỡ 2 bên thân</t>
        </is>
      </c>
    </row>
    <row r="1763">
      <c r="A1763" t="inlineStr">
        <is>
          <t>SW-DAMPER-423-GEAR</t>
        </is>
      </c>
      <c r="B1763" t="inlineStr">
        <is>
          <t>SW-DAMPER-423</t>
        </is>
      </c>
      <c r="C1763" t="inlineStr">
        <is>
          <t>Bánh răng van nhôm</t>
        </is>
      </c>
      <c r="D1763" t="inlineStr">
        <is>
          <t>PHỤ_KIỆN_VAN</t>
        </is>
      </c>
      <c r="E1763" t="inlineStr">
        <is>
          <t>MAT-DAMPER-BANH-RANG-VAN-NHOM</t>
        </is>
      </c>
      <c r="F1763" t="inlineStr">
        <is>
          <t>Bộ</t>
        </is>
      </c>
      <c r="G1763" s="4" t="n">
        <v>1</v>
      </c>
      <c r="H1763" s="2">
        <f>XLOOKUP(B1763, '00_TONG_HOP_BAO_GIA'!B:B, '00_TONG_HOP_BAO_GIA'!G:G, 1)</f>
        <v/>
      </c>
      <c r="I1763" s="5">
        <f>G1763*H1763</f>
        <v/>
      </c>
      <c r="J1763" s="2">
        <f>XLOOKUP(E1763, '06_BANG_GIA_VAT_TU_AP_DUNG'!B:B, '06_BANG_GIA_VAT_TU_AP_DUNG'!C:C, "LỖI_MÃ_VT")</f>
        <v/>
      </c>
      <c r="K1763" s="2">
        <f>I1763*J1763</f>
        <v/>
      </c>
      <c r="L1763" t="inlineStr">
        <is>
          <t>Cơ cấu liên động bánh răng van</t>
        </is>
      </c>
    </row>
    <row r="1764">
      <c r="A1764" t="inlineStr">
        <is>
          <t>SW-DAMPER-423-FUSE</t>
        </is>
      </c>
      <c r="B1764" t="inlineStr">
        <is>
          <t>SW-DAMPER-423</t>
        </is>
      </c>
      <c r="C1764" t="inlineStr">
        <is>
          <t>Cầu chì nhiệt nóng chảy 70°C (Elsie/USA)</t>
        </is>
      </c>
      <c r="D1764" t="inlineStr">
        <is>
          <t>PHỤ_KIỆN_VAN</t>
        </is>
      </c>
      <c r="E1764" t="inlineStr">
        <is>
          <t>MAT-DAMPER-CAU-CHI-USA-1-400X400</t>
        </is>
      </c>
      <c r="F1764" t="inlineStr">
        <is>
          <t>Cái</t>
        </is>
      </c>
      <c r="G1764" s="4" t="n">
        <v>1</v>
      </c>
      <c r="H1764" s="2">
        <f>XLOOKUP(B1764, '00_TONG_HOP_BAO_GIA'!B:B, '00_TONG_HOP_BAO_GIA'!G:G, 1)</f>
        <v/>
      </c>
      <c r="I1764" s="5">
        <f>G1764*H1764</f>
        <v/>
      </c>
      <c r="J1764" s="2">
        <f>XLOOKUP(E1764, '06_BANG_GIA_VAT_TU_AP_DUNG'!B:B, '06_BANG_GIA_VAT_TU_AP_DUNG'!C:C, "LỖI_MÃ_VT")</f>
        <v/>
      </c>
      <c r="K1764" s="2">
        <f>I1764*J1764</f>
        <v/>
      </c>
      <c r="L1764" t="inlineStr">
        <is>
          <t>Cầu chì kiểm định PCCC</t>
        </is>
      </c>
    </row>
    <row r="1765">
      <c r="A1765" t="inlineStr">
        <is>
          <t>SW-DAMPER-424-BODY</t>
        </is>
      </c>
      <c r="B1765" t="inlineStr">
        <is>
          <t>SW-DAMPER-424</t>
        </is>
      </c>
      <c r="C1765" t="inlineStr">
        <is>
          <t>Thân vỏ van FD bích TDF (0.75mm)</t>
        </is>
      </c>
      <c r="D1765" t="inlineStr">
        <is>
          <t>TÔN_CUỘN_MẠ_KẼM</t>
        </is>
      </c>
      <c r="E1765" t="inlineStr">
        <is>
          <t>MAT-STEEL-PN-0.75</t>
        </is>
      </c>
      <c r="F1765" t="inlineStr">
        <is>
          <t>kg</t>
        </is>
      </c>
      <c r="G1765" s="4" t="n">
        <v>2.057328</v>
      </c>
      <c r="H1765" s="2">
        <f>XLOOKUP(B1765, '00_TONG_HOP_BAO_GIA'!B:B, '00_TONG_HOP_BAO_GIA'!G:G, 1)</f>
        <v/>
      </c>
      <c r="I1765" s="5">
        <f>G1765*H1765</f>
        <v/>
      </c>
      <c r="J1765" s="2">
        <f>XLOOKUP(E1765, '06_BANG_GIA_VAT_TU_AP_DUNG'!B:B, '06_BANG_GIA_VAT_TU_AP_DUNG'!C:C, "LỖI_MÃ_VT")</f>
        <v/>
      </c>
      <c r="K1765" s="2">
        <f>I1765*J1765</f>
        <v/>
      </c>
      <c r="L1765" t="inlineStr">
        <is>
          <t>Kích thước vỏ 350.0x150.0x250mm</t>
        </is>
      </c>
    </row>
    <row r="1766">
      <c r="A1766" t="inlineStr">
        <is>
          <t>SW-DAMPER-424-BLADE</t>
        </is>
      </c>
      <c r="B1766" t="inlineStr">
        <is>
          <t>SW-DAMPER-424</t>
        </is>
      </c>
      <c r="C1766" t="inlineStr">
        <is>
          <t>Lá cánh van (1 cánh overlap)</t>
        </is>
      </c>
      <c r="D1766" t="inlineStr">
        <is>
          <t>TÔN_CUỘN_MẠ_KẼM</t>
        </is>
      </c>
      <c r="E1766" t="inlineStr">
        <is>
          <t>MAT-STEEL-PN-0.75</t>
        </is>
      </c>
      <c r="F1766" t="inlineStr">
        <is>
          <t>kg</t>
        </is>
      </c>
      <c r="G1766" s="4" t="n">
        <v>0.3783307499999999</v>
      </c>
      <c r="H1766" s="2">
        <f>XLOOKUP(B1766, '00_TONG_HOP_BAO_GIA'!B:B, '00_TONG_HOP_BAO_GIA'!G:G, 1)</f>
        <v/>
      </c>
      <c r="I1766" s="5">
        <f>G1766*H1766</f>
        <v/>
      </c>
      <c r="J1766" s="2">
        <f>XLOOKUP(E1766, '06_BANG_GIA_VAT_TU_AP_DUNG'!B:B, '06_BANG_GIA_VAT_TU_AP_DUNG'!C:C, "LỖI_MÃ_VT")</f>
        <v/>
      </c>
      <c r="K1766" s="2">
        <f>I1766*J1766</f>
        <v/>
      </c>
      <c r="L1766" t="inlineStr">
        <is>
          <t>1 cánh cao 170mm</t>
        </is>
      </c>
    </row>
    <row r="1767">
      <c r="A1767" t="inlineStr">
        <is>
          <t>SW-DAMPER-424-AXLE</t>
        </is>
      </c>
      <c r="B1767" t="inlineStr">
        <is>
          <t>SW-DAMPER-424</t>
        </is>
      </c>
      <c r="C1767" t="inlineStr">
        <is>
          <t>Trục Sus 201 D10</t>
        </is>
      </c>
      <c r="D1767" t="inlineStr">
        <is>
          <t>PHỤ_KIỆN_VAN</t>
        </is>
      </c>
      <c r="E1767" t="inlineStr">
        <is>
          <t>MAT-DAMPER-TRUC-SUS-201-D10</t>
        </is>
      </c>
      <c r="F1767" t="inlineStr">
        <is>
          <t>m</t>
        </is>
      </c>
      <c r="G1767" s="4" t="n">
        <v>0.41</v>
      </c>
      <c r="H1767" s="2">
        <f>XLOOKUP(B1767, '00_TONG_HOP_BAO_GIA'!B:B, '00_TONG_HOP_BAO_GIA'!G:G, 1)</f>
        <v/>
      </c>
      <c r="I1767" s="5">
        <f>G1767*H1767</f>
        <v/>
      </c>
      <c r="J1767" s="2">
        <f>XLOOKUP(E1767, '06_BANG_GIA_VAT_TU_AP_DUNG'!B:B, '06_BANG_GIA_VAT_TU_AP_DUNG'!C:C, "LỖI_MÃ_VT")</f>
        <v/>
      </c>
      <c r="K1767" s="2">
        <f>I1767*J1767</f>
        <v/>
      </c>
      <c r="L1767" t="inlineStr">
        <is>
          <t>1 trục dài 410mm</t>
        </is>
      </c>
    </row>
    <row r="1768">
      <c r="A1768" t="inlineStr">
        <is>
          <t>SW-DAMPER-424-BEARING</t>
        </is>
      </c>
      <c r="B1768" t="inlineStr">
        <is>
          <t>SW-DAMPER-424</t>
        </is>
      </c>
      <c r="C1768" t="inlineStr">
        <is>
          <t>Bạc đồng D10</t>
        </is>
      </c>
      <c r="D1768" t="inlineStr">
        <is>
          <t>PHỤ_KIỆN_VAN</t>
        </is>
      </c>
      <c r="E1768" t="inlineStr">
        <is>
          <t>MAT-DAMPER-BAC-DONG-D10</t>
        </is>
      </c>
      <c r="F1768" t="inlineStr">
        <is>
          <t>Đôi</t>
        </is>
      </c>
      <c r="G1768" s="4" t="n">
        <v>1</v>
      </c>
      <c r="H1768" s="2">
        <f>XLOOKUP(B1768, '00_TONG_HOP_BAO_GIA'!B:B, '00_TONG_HOP_BAO_GIA'!G:G, 1)</f>
        <v/>
      </c>
      <c r="I1768" s="5">
        <f>G1768*H1768</f>
        <v/>
      </c>
      <c r="J1768" s="2">
        <f>XLOOKUP(E1768, '06_BANG_GIA_VAT_TU_AP_DUNG'!B:B, '06_BANG_GIA_VAT_TU_AP_DUNG'!C:C, "LỖI_MÃ_VT")</f>
        <v/>
      </c>
      <c r="K1768" s="2">
        <f>I1768*J1768</f>
        <v/>
      </c>
      <c r="L1768" t="inlineStr">
        <is>
          <t>1 đôi bạc đỡ 2 bên thân</t>
        </is>
      </c>
    </row>
    <row r="1769">
      <c r="A1769" t="inlineStr">
        <is>
          <t>SW-DAMPER-424-FUSE</t>
        </is>
      </c>
      <c r="B1769" t="inlineStr">
        <is>
          <t>SW-DAMPER-424</t>
        </is>
      </c>
      <c r="C1769" t="inlineStr">
        <is>
          <t>Cầu chì nhiệt nóng chảy 70°C (Elsie/USA)</t>
        </is>
      </c>
      <c r="D1769" t="inlineStr">
        <is>
          <t>PHỤ_KIỆN_VAN</t>
        </is>
      </c>
      <c r="E1769" t="inlineStr">
        <is>
          <t>MAT-DAMPER-CAU-CHI-USA-1-400X400</t>
        </is>
      </c>
      <c r="F1769" t="inlineStr">
        <is>
          <t>Cái</t>
        </is>
      </c>
      <c r="G1769" s="4" t="n">
        <v>1</v>
      </c>
      <c r="H1769" s="2">
        <f>XLOOKUP(B1769, '00_TONG_HOP_BAO_GIA'!B:B, '00_TONG_HOP_BAO_GIA'!G:G, 1)</f>
        <v/>
      </c>
      <c r="I1769" s="5">
        <f>G1769*H1769</f>
        <v/>
      </c>
      <c r="J1769" s="2">
        <f>XLOOKUP(E1769, '06_BANG_GIA_VAT_TU_AP_DUNG'!B:B, '06_BANG_GIA_VAT_TU_AP_DUNG'!C:C, "LỖI_MÃ_VT")</f>
        <v/>
      </c>
      <c r="K1769" s="2">
        <f>I1769*J1769</f>
        <v/>
      </c>
      <c r="L1769" t="inlineStr">
        <is>
          <t>Cầu chì kiểm định PCCC</t>
        </is>
      </c>
    </row>
    <row r="1770">
      <c r="A1770" t="inlineStr">
        <is>
          <t>SW-DAMPER-425-BODY</t>
        </is>
      </c>
      <c r="B1770" t="inlineStr">
        <is>
          <t>SW-DAMPER-425</t>
        </is>
      </c>
      <c r="C1770" t="inlineStr">
        <is>
          <t>Thân vỏ van FD bích TDF (0.75mm)</t>
        </is>
      </c>
      <c r="D1770" t="inlineStr">
        <is>
          <t>TÔN_CUỘN_MẠ_KẼM</t>
        </is>
      </c>
      <c r="E1770" t="inlineStr">
        <is>
          <t>MAT-STEEL-PN-0.75</t>
        </is>
      </c>
      <c r="F1770" t="inlineStr">
        <is>
          <t>kg</t>
        </is>
      </c>
      <c r="G1770" s="4" t="n">
        <v>2.255148</v>
      </c>
      <c r="H1770" s="2">
        <f>XLOOKUP(B1770, '00_TONG_HOP_BAO_GIA'!B:B, '00_TONG_HOP_BAO_GIA'!G:G, 1)</f>
        <v/>
      </c>
      <c r="I1770" s="5">
        <f>G1770*H1770</f>
        <v/>
      </c>
      <c r="J1770" s="2">
        <f>XLOOKUP(E1770, '06_BANG_GIA_VAT_TU_AP_DUNG'!B:B, '06_BANG_GIA_VAT_TU_AP_DUNG'!C:C, "LỖI_MÃ_VT")</f>
        <v/>
      </c>
      <c r="K1770" s="2">
        <f>I1770*J1770</f>
        <v/>
      </c>
      <c r="L1770" t="inlineStr">
        <is>
          <t>Kích thước vỏ 350.0x200.0x250mm</t>
        </is>
      </c>
    </row>
    <row r="1771">
      <c r="A1771" t="inlineStr">
        <is>
          <t>SW-DAMPER-425-BLADE</t>
        </is>
      </c>
      <c r="B1771" t="inlineStr">
        <is>
          <t>SW-DAMPER-425</t>
        </is>
      </c>
      <c r="C1771" t="inlineStr">
        <is>
          <t>Lá cánh van (2 cánh overlap)</t>
        </is>
      </c>
      <c r="D1771" t="inlineStr">
        <is>
          <t>TÔN_CUỘN_MẠ_KẼM</t>
        </is>
      </c>
      <c r="E1771" t="inlineStr">
        <is>
          <t>MAT-STEEL-PN-0.75</t>
        </is>
      </c>
      <c r="F1771" t="inlineStr">
        <is>
          <t>kg</t>
        </is>
      </c>
      <c r="G1771" s="4" t="n">
        <v>0.5341139999999999</v>
      </c>
      <c r="H1771" s="2">
        <f>XLOOKUP(B1771, '00_TONG_HOP_BAO_GIA'!B:B, '00_TONG_HOP_BAO_GIA'!G:G, 1)</f>
        <v/>
      </c>
      <c r="I1771" s="5">
        <f>G1771*H1771</f>
        <v/>
      </c>
      <c r="J1771" s="2">
        <f>XLOOKUP(E1771, '06_BANG_GIA_VAT_TU_AP_DUNG'!B:B, '06_BANG_GIA_VAT_TU_AP_DUNG'!C:C, "LỖI_MÃ_VT")</f>
        <v/>
      </c>
      <c r="K1771" s="2">
        <f>I1771*J1771</f>
        <v/>
      </c>
      <c r="L1771" t="inlineStr">
        <is>
          <t>2 cánh cao 120mm</t>
        </is>
      </c>
    </row>
    <row r="1772">
      <c r="A1772" t="inlineStr">
        <is>
          <t>SW-DAMPER-425-AXLE</t>
        </is>
      </c>
      <c r="B1772" t="inlineStr">
        <is>
          <t>SW-DAMPER-425</t>
        </is>
      </c>
      <c r="C1772" t="inlineStr">
        <is>
          <t>Trục Sus 201 D10</t>
        </is>
      </c>
      <c r="D1772" t="inlineStr">
        <is>
          <t>PHỤ_KIỆN_VAN</t>
        </is>
      </c>
      <c r="E1772" t="inlineStr">
        <is>
          <t>MAT-DAMPER-TRUC-SUS-201-D10</t>
        </is>
      </c>
      <c r="F1772" t="inlineStr">
        <is>
          <t>m</t>
        </is>
      </c>
      <c r="G1772" s="4" t="n">
        <v>0.82</v>
      </c>
      <c r="H1772" s="2">
        <f>XLOOKUP(B1772, '00_TONG_HOP_BAO_GIA'!B:B, '00_TONG_HOP_BAO_GIA'!G:G, 1)</f>
        <v/>
      </c>
      <c r="I1772" s="5">
        <f>G1772*H1772</f>
        <v/>
      </c>
      <c r="J1772" s="2">
        <f>XLOOKUP(E1772, '06_BANG_GIA_VAT_TU_AP_DUNG'!B:B, '06_BANG_GIA_VAT_TU_AP_DUNG'!C:C, "LỖI_MÃ_VT")</f>
        <v/>
      </c>
      <c r="K1772" s="2">
        <f>I1772*J1772</f>
        <v/>
      </c>
      <c r="L1772" t="inlineStr">
        <is>
          <t>2 trục dài 410mm</t>
        </is>
      </c>
    </row>
    <row r="1773">
      <c r="A1773" t="inlineStr">
        <is>
          <t>SW-DAMPER-425-BEARING</t>
        </is>
      </c>
      <c r="B1773" t="inlineStr">
        <is>
          <t>SW-DAMPER-425</t>
        </is>
      </c>
      <c r="C1773" t="inlineStr">
        <is>
          <t>Bạc đồng D10</t>
        </is>
      </c>
      <c r="D1773" t="inlineStr">
        <is>
          <t>PHỤ_KIỆN_VAN</t>
        </is>
      </c>
      <c r="E1773" t="inlineStr">
        <is>
          <t>MAT-DAMPER-BAC-DONG-D10</t>
        </is>
      </c>
      <c r="F1773" t="inlineStr">
        <is>
          <t>Đôi</t>
        </is>
      </c>
      <c r="G1773" s="4" t="n">
        <v>2</v>
      </c>
      <c r="H1773" s="2">
        <f>XLOOKUP(B1773, '00_TONG_HOP_BAO_GIA'!B:B, '00_TONG_HOP_BAO_GIA'!G:G, 1)</f>
        <v/>
      </c>
      <c r="I1773" s="5">
        <f>G1773*H1773</f>
        <v/>
      </c>
      <c r="J1773" s="2">
        <f>XLOOKUP(E1773, '06_BANG_GIA_VAT_TU_AP_DUNG'!B:B, '06_BANG_GIA_VAT_TU_AP_DUNG'!C:C, "LỖI_MÃ_VT")</f>
        <v/>
      </c>
      <c r="K1773" s="2">
        <f>I1773*J1773</f>
        <v/>
      </c>
      <c r="L1773" t="inlineStr">
        <is>
          <t>2 đôi bạc đỡ 2 bên thân</t>
        </is>
      </c>
    </row>
    <row r="1774">
      <c r="A1774" t="inlineStr">
        <is>
          <t>SW-DAMPER-425-GEAR</t>
        </is>
      </c>
      <c r="B1774" t="inlineStr">
        <is>
          <t>SW-DAMPER-425</t>
        </is>
      </c>
      <c r="C1774" t="inlineStr">
        <is>
          <t>Bánh răng van nhôm</t>
        </is>
      </c>
      <c r="D1774" t="inlineStr">
        <is>
          <t>PHỤ_KIỆN_VAN</t>
        </is>
      </c>
      <c r="E1774" t="inlineStr">
        <is>
          <t>MAT-DAMPER-BANH-RANG-VAN-NHOM</t>
        </is>
      </c>
      <c r="F1774" t="inlineStr">
        <is>
          <t>Bộ</t>
        </is>
      </c>
      <c r="G1774" s="4" t="n">
        <v>1</v>
      </c>
      <c r="H1774" s="2">
        <f>XLOOKUP(B1774, '00_TONG_HOP_BAO_GIA'!B:B, '00_TONG_HOP_BAO_GIA'!G:G, 1)</f>
        <v/>
      </c>
      <c r="I1774" s="5">
        <f>G1774*H1774</f>
        <v/>
      </c>
      <c r="J1774" s="2">
        <f>XLOOKUP(E1774, '06_BANG_GIA_VAT_TU_AP_DUNG'!B:B, '06_BANG_GIA_VAT_TU_AP_DUNG'!C:C, "LỖI_MÃ_VT")</f>
        <v/>
      </c>
      <c r="K1774" s="2">
        <f>I1774*J1774</f>
        <v/>
      </c>
      <c r="L1774" t="inlineStr">
        <is>
          <t>Cơ cấu liên động bánh răng van</t>
        </is>
      </c>
    </row>
    <row r="1775">
      <c r="A1775" t="inlineStr">
        <is>
          <t>SW-DAMPER-425-FUSE</t>
        </is>
      </c>
      <c r="B1775" t="inlineStr">
        <is>
          <t>SW-DAMPER-425</t>
        </is>
      </c>
      <c r="C1775" t="inlineStr">
        <is>
          <t>Cầu chì nhiệt nóng chảy 70°C (Elsie/USA)</t>
        </is>
      </c>
      <c r="D1775" t="inlineStr">
        <is>
          <t>PHỤ_KIỆN_VAN</t>
        </is>
      </c>
      <c r="E1775" t="inlineStr">
        <is>
          <t>MAT-DAMPER-CAU-CHI-USA-1-400X400</t>
        </is>
      </c>
      <c r="F1775" t="inlineStr">
        <is>
          <t>Cái</t>
        </is>
      </c>
      <c r="G1775" s="4" t="n">
        <v>1</v>
      </c>
      <c r="H1775" s="2">
        <f>XLOOKUP(B1775, '00_TONG_HOP_BAO_GIA'!B:B, '00_TONG_HOP_BAO_GIA'!G:G, 1)</f>
        <v/>
      </c>
      <c r="I1775" s="5">
        <f>G1775*H1775</f>
        <v/>
      </c>
      <c r="J1775" s="2">
        <f>XLOOKUP(E1775, '06_BANG_GIA_VAT_TU_AP_DUNG'!B:B, '06_BANG_GIA_VAT_TU_AP_DUNG'!C:C, "LỖI_MÃ_VT")</f>
        <v/>
      </c>
      <c r="K1775" s="2">
        <f>I1775*J1775</f>
        <v/>
      </c>
      <c r="L1775" t="inlineStr">
        <is>
          <t>Cầu chì kiểm định PCCC</t>
        </is>
      </c>
    </row>
    <row r="1776">
      <c r="A1776" t="inlineStr">
        <is>
          <t>SW-DAMPER-426-BODY</t>
        </is>
      </c>
      <c r="B1776" t="inlineStr">
        <is>
          <t>SW-DAMPER-426</t>
        </is>
      </c>
      <c r="C1776" t="inlineStr">
        <is>
          <t>Thân vỏ van FD bích TDF (0.75mm)</t>
        </is>
      </c>
      <c r="D1776" t="inlineStr">
        <is>
          <t>TÔN_CUỘN_MẠ_KẼM</t>
        </is>
      </c>
      <c r="E1776" t="inlineStr">
        <is>
          <t>MAT-STEEL-PN-0.75</t>
        </is>
      </c>
      <c r="F1776" t="inlineStr">
        <is>
          <t>kg</t>
        </is>
      </c>
      <c r="G1776" s="4" t="n">
        <v>2.452968</v>
      </c>
      <c r="H1776" s="2">
        <f>XLOOKUP(B1776, '00_TONG_HOP_BAO_GIA'!B:B, '00_TONG_HOP_BAO_GIA'!G:G, 1)</f>
        <v/>
      </c>
      <c r="I1776" s="5">
        <f>G1776*H1776</f>
        <v/>
      </c>
      <c r="J1776" s="2">
        <f>XLOOKUP(E1776, '06_BANG_GIA_VAT_TU_AP_DUNG'!B:B, '06_BANG_GIA_VAT_TU_AP_DUNG'!C:C, "LỖI_MÃ_VT")</f>
        <v/>
      </c>
      <c r="K1776" s="2">
        <f>I1776*J1776</f>
        <v/>
      </c>
      <c r="L1776" t="inlineStr">
        <is>
          <t>Kích thước vỏ 350.0x250.0x250mm</t>
        </is>
      </c>
    </row>
    <row r="1777">
      <c r="A1777" t="inlineStr">
        <is>
          <t>SW-DAMPER-426-BLADE</t>
        </is>
      </c>
      <c r="B1777" t="inlineStr">
        <is>
          <t>SW-DAMPER-426</t>
        </is>
      </c>
      <c r="C1777" t="inlineStr">
        <is>
          <t>Lá cánh van (2 cánh overlap)</t>
        </is>
      </c>
      <c r="D1777" t="inlineStr">
        <is>
          <t>TÔN_CUỘN_MẠ_KẼM</t>
        </is>
      </c>
      <c r="E1777" t="inlineStr">
        <is>
          <t>MAT-STEEL-PN-0.75</t>
        </is>
      </c>
      <c r="F1777" t="inlineStr">
        <is>
          <t>kg</t>
        </is>
      </c>
      <c r="G1777" s="4" t="n">
        <v>0.6453877499999999</v>
      </c>
      <c r="H1777" s="2">
        <f>XLOOKUP(B1777, '00_TONG_HOP_BAO_GIA'!B:B, '00_TONG_HOP_BAO_GIA'!G:G, 1)</f>
        <v/>
      </c>
      <c r="I1777" s="5">
        <f>G1777*H1777</f>
        <v/>
      </c>
      <c r="J1777" s="2">
        <f>XLOOKUP(E1777, '06_BANG_GIA_VAT_TU_AP_DUNG'!B:B, '06_BANG_GIA_VAT_TU_AP_DUNG'!C:C, "LỖI_MÃ_VT")</f>
        <v/>
      </c>
      <c r="K1777" s="2">
        <f>I1777*J1777</f>
        <v/>
      </c>
      <c r="L1777" t="inlineStr">
        <is>
          <t>2 cánh cao 145mm</t>
        </is>
      </c>
    </row>
    <row r="1778">
      <c r="A1778" t="inlineStr">
        <is>
          <t>SW-DAMPER-426-AXLE</t>
        </is>
      </c>
      <c r="B1778" t="inlineStr">
        <is>
          <t>SW-DAMPER-426</t>
        </is>
      </c>
      <c r="C1778" t="inlineStr">
        <is>
          <t>Trục Sus 201 D10</t>
        </is>
      </c>
      <c r="D1778" t="inlineStr">
        <is>
          <t>PHỤ_KIỆN_VAN</t>
        </is>
      </c>
      <c r="E1778" t="inlineStr">
        <is>
          <t>MAT-DAMPER-TRUC-SUS-201-D10</t>
        </is>
      </c>
      <c r="F1778" t="inlineStr">
        <is>
          <t>m</t>
        </is>
      </c>
      <c r="G1778" s="4" t="n">
        <v>0.82</v>
      </c>
      <c r="H1778" s="2">
        <f>XLOOKUP(B1778, '00_TONG_HOP_BAO_GIA'!B:B, '00_TONG_HOP_BAO_GIA'!G:G, 1)</f>
        <v/>
      </c>
      <c r="I1778" s="5">
        <f>G1778*H1778</f>
        <v/>
      </c>
      <c r="J1778" s="2">
        <f>XLOOKUP(E1778, '06_BANG_GIA_VAT_TU_AP_DUNG'!B:B, '06_BANG_GIA_VAT_TU_AP_DUNG'!C:C, "LỖI_MÃ_VT")</f>
        <v/>
      </c>
      <c r="K1778" s="2">
        <f>I1778*J1778</f>
        <v/>
      </c>
      <c r="L1778" t="inlineStr">
        <is>
          <t>2 trục dài 410mm</t>
        </is>
      </c>
    </row>
    <row r="1779">
      <c r="A1779" t="inlineStr">
        <is>
          <t>SW-DAMPER-426-BEARING</t>
        </is>
      </c>
      <c r="B1779" t="inlineStr">
        <is>
          <t>SW-DAMPER-426</t>
        </is>
      </c>
      <c r="C1779" t="inlineStr">
        <is>
          <t>Bạc đồng D10</t>
        </is>
      </c>
      <c r="D1779" t="inlineStr">
        <is>
          <t>PHỤ_KIỆN_VAN</t>
        </is>
      </c>
      <c r="E1779" t="inlineStr">
        <is>
          <t>MAT-DAMPER-BAC-DONG-D10</t>
        </is>
      </c>
      <c r="F1779" t="inlineStr">
        <is>
          <t>Đôi</t>
        </is>
      </c>
      <c r="G1779" s="4" t="n">
        <v>2</v>
      </c>
      <c r="H1779" s="2">
        <f>XLOOKUP(B1779, '00_TONG_HOP_BAO_GIA'!B:B, '00_TONG_HOP_BAO_GIA'!G:G, 1)</f>
        <v/>
      </c>
      <c r="I1779" s="5">
        <f>G1779*H1779</f>
        <v/>
      </c>
      <c r="J1779" s="2">
        <f>XLOOKUP(E1779, '06_BANG_GIA_VAT_TU_AP_DUNG'!B:B, '06_BANG_GIA_VAT_TU_AP_DUNG'!C:C, "LỖI_MÃ_VT")</f>
        <v/>
      </c>
      <c r="K1779" s="2">
        <f>I1779*J1779</f>
        <v/>
      </c>
      <c r="L1779" t="inlineStr">
        <is>
          <t>2 đôi bạc đỡ 2 bên thân</t>
        </is>
      </c>
    </row>
    <row r="1780">
      <c r="A1780" t="inlineStr">
        <is>
          <t>SW-DAMPER-426-GEAR</t>
        </is>
      </c>
      <c r="B1780" t="inlineStr">
        <is>
          <t>SW-DAMPER-426</t>
        </is>
      </c>
      <c r="C1780" t="inlineStr">
        <is>
          <t>Bánh răng van nhôm</t>
        </is>
      </c>
      <c r="D1780" t="inlineStr">
        <is>
          <t>PHỤ_KIỆN_VAN</t>
        </is>
      </c>
      <c r="E1780" t="inlineStr">
        <is>
          <t>MAT-DAMPER-BANH-RANG-VAN-NHOM</t>
        </is>
      </c>
      <c r="F1780" t="inlineStr">
        <is>
          <t>Bộ</t>
        </is>
      </c>
      <c r="G1780" s="4" t="n">
        <v>1</v>
      </c>
      <c r="H1780" s="2">
        <f>XLOOKUP(B1780, '00_TONG_HOP_BAO_GIA'!B:B, '00_TONG_HOP_BAO_GIA'!G:G, 1)</f>
        <v/>
      </c>
      <c r="I1780" s="5">
        <f>G1780*H1780</f>
        <v/>
      </c>
      <c r="J1780" s="2">
        <f>XLOOKUP(E1780, '06_BANG_GIA_VAT_TU_AP_DUNG'!B:B, '06_BANG_GIA_VAT_TU_AP_DUNG'!C:C, "LỖI_MÃ_VT")</f>
        <v/>
      </c>
      <c r="K1780" s="2">
        <f>I1780*J1780</f>
        <v/>
      </c>
      <c r="L1780" t="inlineStr">
        <is>
          <t>Cơ cấu liên động bánh răng van</t>
        </is>
      </c>
    </row>
    <row r="1781">
      <c r="A1781" t="inlineStr">
        <is>
          <t>SW-DAMPER-426-FUSE</t>
        </is>
      </c>
      <c r="B1781" t="inlineStr">
        <is>
          <t>SW-DAMPER-426</t>
        </is>
      </c>
      <c r="C1781" t="inlineStr">
        <is>
          <t>Cầu chì nhiệt nóng chảy 70°C (Elsie/USA)</t>
        </is>
      </c>
      <c r="D1781" t="inlineStr">
        <is>
          <t>PHỤ_KIỆN_VAN</t>
        </is>
      </c>
      <c r="E1781" t="inlineStr">
        <is>
          <t>MAT-DAMPER-CAU-CHI-USA-1-400X400</t>
        </is>
      </c>
      <c r="F1781" t="inlineStr">
        <is>
          <t>Cái</t>
        </is>
      </c>
      <c r="G1781" s="4" t="n">
        <v>1</v>
      </c>
      <c r="H1781" s="2">
        <f>XLOOKUP(B1781, '00_TONG_HOP_BAO_GIA'!B:B, '00_TONG_HOP_BAO_GIA'!G:G, 1)</f>
        <v/>
      </c>
      <c r="I1781" s="5">
        <f>G1781*H1781</f>
        <v/>
      </c>
      <c r="J1781" s="2">
        <f>XLOOKUP(E1781, '06_BANG_GIA_VAT_TU_AP_DUNG'!B:B, '06_BANG_GIA_VAT_TU_AP_DUNG'!C:C, "LỖI_MÃ_VT")</f>
        <v/>
      </c>
      <c r="K1781" s="2">
        <f>I1781*J1781</f>
        <v/>
      </c>
      <c r="L1781" t="inlineStr">
        <is>
          <t>Cầu chì kiểm định PCCC</t>
        </is>
      </c>
    </row>
    <row r="1782">
      <c r="A1782" t="inlineStr">
        <is>
          <t>SW-DAMPER-427-BODY</t>
        </is>
      </c>
      <c r="B1782" t="inlineStr">
        <is>
          <t>SW-DAMPER-427</t>
        </is>
      </c>
      <c r="C1782" t="inlineStr">
        <is>
          <t>Thân vỏ van FD bích TDF (0.75mm)</t>
        </is>
      </c>
      <c r="D1782" t="inlineStr">
        <is>
          <t>TÔN_CUỘN_MẠ_KẼM</t>
        </is>
      </c>
      <c r="E1782" t="inlineStr">
        <is>
          <t>MAT-STEEL-PN-0.75</t>
        </is>
      </c>
      <c r="F1782" t="inlineStr">
        <is>
          <t>kg</t>
        </is>
      </c>
      <c r="G1782" s="4" t="n">
        <v>2.650788</v>
      </c>
      <c r="H1782" s="2">
        <f>XLOOKUP(B1782, '00_TONG_HOP_BAO_GIA'!B:B, '00_TONG_HOP_BAO_GIA'!G:G, 1)</f>
        <v/>
      </c>
      <c r="I1782" s="5">
        <f>G1782*H1782</f>
        <v/>
      </c>
      <c r="J1782" s="2">
        <f>XLOOKUP(E1782, '06_BANG_GIA_VAT_TU_AP_DUNG'!B:B, '06_BANG_GIA_VAT_TU_AP_DUNG'!C:C, "LỖI_MÃ_VT")</f>
        <v/>
      </c>
      <c r="K1782" s="2">
        <f>I1782*J1782</f>
        <v/>
      </c>
      <c r="L1782" t="inlineStr">
        <is>
          <t>Kích thước vỏ 350.0x300.0x250mm</t>
        </is>
      </c>
    </row>
    <row r="1783">
      <c r="A1783" t="inlineStr">
        <is>
          <t>SW-DAMPER-427-BLADE</t>
        </is>
      </c>
      <c r="B1783" t="inlineStr">
        <is>
          <t>SW-DAMPER-427</t>
        </is>
      </c>
      <c r="C1783" t="inlineStr">
        <is>
          <t>Lá cánh van (2 cánh overlap)</t>
        </is>
      </c>
      <c r="D1783" t="inlineStr">
        <is>
          <t>TÔN_CUỘN_MẠ_KẼM</t>
        </is>
      </c>
      <c r="E1783" t="inlineStr">
        <is>
          <t>MAT-STEEL-PN-0.75</t>
        </is>
      </c>
      <c r="F1783" t="inlineStr">
        <is>
          <t>kg</t>
        </is>
      </c>
      <c r="G1783" s="4" t="n">
        <v>0.7566614999999999</v>
      </c>
      <c r="H1783" s="2">
        <f>XLOOKUP(B1783, '00_TONG_HOP_BAO_GIA'!B:B, '00_TONG_HOP_BAO_GIA'!G:G, 1)</f>
        <v/>
      </c>
      <c r="I1783" s="5">
        <f>G1783*H1783</f>
        <v/>
      </c>
      <c r="J1783" s="2">
        <f>XLOOKUP(E1783, '06_BANG_GIA_VAT_TU_AP_DUNG'!B:B, '06_BANG_GIA_VAT_TU_AP_DUNG'!C:C, "LỖI_MÃ_VT")</f>
        <v/>
      </c>
      <c r="K1783" s="2">
        <f>I1783*J1783</f>
        <v/>
      </c>
      <c r="L1783" t="inlineStr">
        <is>
          <t>2 cánh cao 170mm</t>
        </is>
      </c>
    </row>
    <row r="1784">
      <c r="A1784" t="inlineStr">
        <is>
          <t>SW-DAMPER-427-AXLE</t>
        </is>
      </c>
      <c r="B1784" t="inlineStr">
        <is>
          <t>SW-DAMPER-427</t>
        </is>
      </c>
      <c r="C1784" t="inlineStr">
        <is>
          <t>Trục Sus 201 D10</t>
        </is>
      </c>
      <c r="D1784" t="inlineStr">
        <is>
          <t>PHỤ_KIỆN_VAN</t>
        </is>
      </c>
      <c r="E1784" t="inlineStr">
        <is>
          <t>MAT-DAMPER-TRUC-SUS-201-D10</t>
        </is>
      </c>
      <c r="F1784" t="inlineStr">
        <is>
          <t>m</t>
        </is>
      </c>
      <c r="G1784" s="4" t="n">
        <v>0.82</v>
      </c>
      <c r="H1784" s="2">
        <f>XLOOKUP(B1784, '00_TONG_HOP_BAO_GIA'!B:B, '00_TONG_HOP_BAO_GIA'!G:G, 1)</f>
        <v/>
      </c>
      <c r="I1784" s="5">
        <f>G1784*H1784</f>
        <v/>
      </c>
      <c r="J1784" s="2">
        <f>XLOOKUP(E1784, '06_BANG_GIA_VAT_TU_AP_DUNG'!B:B, '06_BANG_GIA_VAT_TU_AP_DUNG'!C:C, "LỖI_MÃ_VT")</f>
        <v/>
      </c>
      <c r="K1784" s="2">
        <f>I1784*J1784</f>
        <v/>
      </c>
      <c r="L1784" t="inlineStr">
        <is>
          <t>2 trục dài 410mm</t>
        </is>
      </c>
    </row>
    <row r="1785">
      <c r="A1785" t="inlineStr">
        <is>
          <t>SW-DAMPER-427-BEARING</t>
        </is>
      </c>
      <c r="B1785" t="inlineStr">
        <is>
          <t>SW-DAMPER-427</t>
        </is>
      </c>
      <c r="C1785" t="inlineStr">
        <is>
          <t>Bạc đồng D10</t>
        </is>
      </c>
      <c r="D1785" t="inlineStr">
        <is>
          <t>PHỤ_KIỆN_VAN</t>
        </is>
      </c>
      <c r="E1785" t="inlineStr">
        <is>
          <t>MAT-DAMPER-BAC-DONG-D10</t>
        </is>
      </c>
      <c r="F1785" t="inlineStr">
        <is>
          <t>Đôi</t>
        </is>
      </c>
      <c r="G1785" s="4" t="n">
        <v>2</v>
      </c>
      <c r="H1785" s="2">
        <f>XLOOKUP(B1785, '00_TONG_HOP_BAO_GIA'!B:B, '00_TONG_HOP_BAO_GIA'!G:G, 1)</f>
        <v/>
      </c>
      <c r="I1785" s="5">
        <f>G1785*H1785</f>
        <v/>
      </c>
      <c r="J1785" s="2">
        <f>XLOOKUP(E1785, '06_BANG_GIA_VAT_TU_AP_DUNG'!B:B, '06_BANG_GIA_VAT_TU_AP_DUNG'!C:C, "LỖI_MÃ_VT")</f>
        <v/>
      </c>
      <c r="K1785" s="2">
        <f>I1785*J1785</f>
        <v/>
      </c>
      <c r="L1785" t="inlineStr">
        <is>
          <t>2 đôi bạc đỡ 2 bên thân</t>
        </is>
      </c>
    </row>
    <row r="1786">
      <c r="A1786" t="inlineStr">
        <is>
          <t>SW-DAMPER-427-GEAR</t>
        </is>
      </c>
      <c r="B1786" t="inlineStr">
        <is>
          <t>SW-DAMPER-427</t>
        </is>
      </c>
      <c r="C1786" t="inlineStr">
        <is>
          <t>Bánh răng van nhôm</t>
        </is>
      </c>
      <c r="D1786" t="inlineStr">
        <is>
          <t>PHỤ_KIỆN_VAN</t>
        </is>
      </c>
      <c r="E1786" t="inlineStr">
        <is>
          <t>MAT-DAMPER-BANH-RANG-VAN-NHOM</t>
        </is>
      </c>
      <c r="F1786" t="inlineStr">
        <is>
          <t>Bộ</t>
        </is>
      </c>
      <c r="G1786" s="4" t="n">
        <v>1</v>
      </c>
      <c r="H1786" s="2">
        <f>XLOOKUP(B1786, '00_TONG_HOP_BAO_GIA'!B:B, '00_TONG_HOP_BAO_GIA'!G:G, 1)</f>
        <v/>
      </c>
      <c r="I1786" s="5">
        <f>G1786*H1786</f>
        <v/>
      </c>
      <c r="J1786" s="2">
        <f>XLOOKUP(E1786, '06_BANG_GIA_VAT_TU_AP_DUNG'!B:B, '06_BANG_GIA_VAT_TU_AP_DUNG'!C:C, "LỖI_MÃ_VT")</f>
        <v/>
      </c>
      <c r="K1786" s="2">
        <f>I1786*J1786</f>
        <v/>
      </c>
      <c r="L1786" t="inlineStr">
        <is>
          <t>Cơ cấu liên động bánh răng van</t>
        </is>
      </c>
    </row>
    <row r="1787">
      <c r="A1787" t="inlineStr">
        <is>
          <t>SW-DAMPER-427-FUSE</t>
        </is>
      </c>
      <c r="B1787" t="inlineStr">
        <is>
          <t>SW-DAMPER-427</t>
        </is>
      </c>
      <c r="C1787" t="inlineStr">
        <is>
          <t>Cầu chì nhiệt nóng chảy 70°C (Elsie/USA)</t>
        </is>
      </c>
      <c r="D1787" t="inlineStr">
        <is>
          <t>PHỤ_KIỆN_VAN</t>
        </is>
      </c>
      <c r="E1787" t="inlineStr">
        <is>
          <t>MAT-DAMPER-CAU-CHI-USA-1-400X400</t>
        </is>
      </c>
      <c r="F1787" t="inlineStr">
        <is>
          <t>Cái</t>
        </is>
      </c>
      <c r="G1787" s="4" t="n">
        <v>1</v>
      </c>
      <c r="H1787" s="2">
        <f>XLOOKUP(B1787, '00_TONG_HOP_BAO_GIA'!B:B, '00_TONG_HOP_BAO_GIA'!G:G, 1)</f>
        <v/>
      </c>
      <c r="I1787" s="5">
        <f>G1787*H1787</f>
        <v/>
      </c>
      <c r="J1787" s="2">
        <f>XLOOKUP(E1787, '06_BANG_GIA_VAT_TU_AP_DUNG'!B:B, '06_BANG_GIA_VAT_TU_AP_DUNG'!C:C, "LỖI_MÃ_VT")</f>
        <v/>
      </c>
      <c r="K1787" s="2">
        <f>I1787*J1787</f>
        <v/>
      </c>
      <c r="L1787" t="inlineStr">
        <is>
          <t>Cầu chì kiểm định PCCC</t>
        </is>
      </c>
    </row>
    <row r="1788">
      <c r="A1788" t="inlineStr">
        <is>
          <t>SW-DAMPER-428-BODY</t>
        </is>
      </c>
      <c r="B1788" t="inlineStr">
        <is>
          <t>SW-DAMPER-428</t>
        </is>
      </c>
      <c r="C1788" t="inlineStr">
        <is>
          <t>Thân vỏ van FD bích TDF (0.75mm)</t>
        </is>
      </c>
      <c r="D1788" t="inlineStr">
        <is>
          <t>TÔN_CUỘN_MẠ_KẼM</t>
        </is>
      </c>
      <c r="E1788" t="inlineStr">
        <is>
          <t>MAT-STEEL-PN-0.75</t>
        </is>
      </c>
      <c r="F1788" t="inlineStr">
        <is>
          <t>kg</t>
        </is>
      </c>
      <c r="G1788" s="4" t="n">
        <v>2.452968</v>
      </c>
      <c r="H1788" s="2">
        <f>XLOOKUP(B1788, '00_TONG_HOP_BAO_GIA'!B:B, '00_TONG_HOP_BAO_GIA'!G:G, 1)</f>
        <v/>
      </c>
      <c r="I1788" s="5">
        <f>G1788*H1788</f>
        <v/>
      </c>
      <c r="J1788" s="2">
        <f>XLOOKUP(E1788, '06_BANG_GIA_VAT_TU_AP_DUNG'!B:B, '06_BANG_GIA_VAT_TU_AP_DUNG'!C:C, "LỖI_MÃ_VT")</f>
        <v/>
      </c>
      <c r="K1788" s="2">
        <f>I1788*J1788</f>
        <v/>
      </c>
      <c r="L1788" t="inlineStr">
        <is>
          <t>Kích thước vỏ 400.0x200.0x250mm</t>
        </is>
      </c>
    </row>
    <row r="1789">
      <c r="A1789" t="inlineStr">
        <is>
          <t>SW-DAMPER-428-BLADE</t>
        </is>
      </c>
      <c r="B1789" t="inlineStr">
        <is>
          <t>SW-DAMPER-428</t>
        </is>
      </c>
      <c r="C1789" t="inlineStr">
        <is>
          <t>Lá cánh van (2 cánh overlap)</t>
        </is>
      </c>
      <c r="D1789" t="inlineStr">
        <is>
          <t>TÔN_CUỘN_MẠ_KẼM</t>
        </is>
      </c>
      <c r="E1789" t="inlineStr">
        <is>
          <t>MAT-STEEL-PN-0.75</t>
        </is>
      </c>
      <c r="F1789" t="inlineStr">
        <is>
          <t>kg</t>
        </is>
      </c>
      <c r="G1789" s="4" t="n">
        <v>0.610416</v>
      </c>
      <c r="H1789" s="2">
        <f>XLOOKUP(B1789, '00_TONG_HOP_BAO_GIA'!B:B, '00_TONG_HOP_BAO_GIA'!G:G, 1)</f>
        <v/>
      </c>
      <c r="I1789" s="5">
        <f>G1789*H1789</f>
        <v/>
      </c>
      <c r="J1789" s="2">
        <f>XLOOKUP(E1789, '06_BANG_GIA_VAT_TU_AP_DUNG'!B:B, '06_BANG_GIA_VAT_TU_AP_DUNG'!C:C, "LỖI_MÃ_VT")</f>
        <v/>
      </c>
      <c r="K1789" s="2">
        <f>I1789*J1789</f>
        <v/>
      </c>
      <c r="L1789" t="inlineStr">
        <is>
          <t>2 cánh cao 120mm</t>
        </is>
      </c>
    </row>
    <row r="1790">
      <c r="A1790" t="inlineStr">
        <is>
          <t>SW-DAMPER-428-AXLE</t>
        </is>
      </c>
      <c r="B1790" t="inlineStr">
        <is>
          <t>SW-DAMPER-428</t>
        </is>
      </c>
      <c r="C1790" t="inlineStr">
        <is>
          <t>Trục Sus 201 D10</t>
        </is>
      </c>
      <c r="D1790" t="inlineStr">
        <is>
          <t>PHỤ_KIỆN_VAN</t>
        </is>
      </c>
      <c r="E1790" t="inlineStr">
        <is>
          <t>MAT-DAMPER-TRUC-SUS-201-D10</t>
        </is>
      </c>
      <c r="F1790" t="inlineStr">
        <is>
          <t>m</t>
        </is>
      </c>
      <c r="G1790" s="4" t="n">
        <v>0.92</v>
      </c>
      <c r="H1790" s="2">
        <f>XLOOKUP(B1790, '00_TONG_HOP_BAO_GIA'!B:B, '00_TONG_HOP_BAO_GIA'!G:G, 1)</f>
        <v/>
      </c>
      <c r="I1790" s="5">
        <f>G1790*H1790</f>
        <v/>
      </c>
      <c r="J1790" s="2">
        <f>XLOOKUP(E1790, '06_BANG_GIA_VAT_TU_AP_DUNG'!B:B, '06_BANG_GIA_VAT_TU_AP_DUNG'!C:C, "LỖI_MÃ_VT")</f>
        <v/>
      </c>
      <c r="K1790" s="2">
        <f>I1790*J1790</f>
        <v/>
      </c>
      <c r="L1790" t="inlineStr">
        <is>
          <t>2 trục dài 460mm</t>
        </is>
      </c>
    </row>
    <row r="1791">
      <c r="A1791" t="inlineStr">
        <is>
          <t>SW-DAMPER-428-BEARING</t>
        </is>
      </c>
      <c r="B1791" t="inlineStr">
        <is>
          <t>SW-DAMPER-428</t>
        </is>
      </c>
      <c r="C1791" t="inlineStr">
        <is>
          <t>Bạc đồng D10</t>
        </is>
      </c>
      <c r="D1791" t="inlineStr">
        <is>
          <t>PHỤ_KIỆN_VAN</t>
        </is>
      </c>
      <c r="E1791" t="inlineStr">
        <is>
          <t>MAT-DAMPER-BAC-DONG-D10</t>
        </is>
      </c>
      <c r="F1791" t="inlineStr">
        <is>
          <t>Đôi</t>
        </is>
      </c>
      <c r="G1791" s="4" t="n">
        <v>2</v>
      </c>
      <c r="H1791" s="2">
        <f>XLOOKUP(B1791, '00_TONG_HOP_BAO_GIA'!B:B, '00_TONG_HOP_BAO_GIA'!G:G, 1)</f>
        <v/>
      </c>
      <c r="I1791" s="5">
        <f>G1791*H1791</f>
        <v/>
      </c>
      <c r="J1791" s="2">
        <f>XLOOKUP(E1791, '06_BANG_GIA_VAT_TU_AP_DUNG'!B:B, '06_BANG_GIA_VAT_TU_AP_DUNG'!C:C, "LỖI_MÃ_VT")</f>
        <v/>
      </c>
      <c r="K1791" s="2">
        <f>I1791*J1791</f>
        <v/>
      </c>
      <c r="L1791" t="inlineStr">
        <is>
          <t>2 đôi bạc đỡ 2 bên thân</t>
        </is>
      </c>
    </row>
    <row r="1792">
      <c r="A1792" t="inlineStr">
        <is>
          <t>SW-DAMPER-428-GEAR</t>
        </is>
      </c>
      <c r="B1792" t="inlineStr">
        <is>
          <t>SW-DAMPER-428</t>
        </is>
      </c>
      <c r="C1792" t="inlineStr">
        <is>
          <t>Bánh răng van nhôm</t>
        </is>
      </c>
      <c r="D1792" t="inlineStr">
        <is>
          <t>PHỤ_KIỆN_VAN</t>
        </is>
      </c>
      <c r="E1792" t="inlineStr">
        <is>
          <t>MAT-DAMPER-BANH-RANG-VAN-NHOM</t>
        </is>
      </c>
      <c r="F1792" t="inlineStr">
        <is>
          <t>Bộ</t>
        </is>
      </c>
      <c r="G1792" s="4" t="n">
        <v>1</v>
      </c>
      <c r="H1792" s="2">
        <f>XLOOKUP(B1792, '00_TONG_HOP_BAO_GIA'!B:B, '00_TONG_HOP_BAO_GIA'!G:G, 1)</f>
        <v/>
      </c>
      <c r="I1792" s="5">
        <f>G1792*H1792</f>
        <v/>
      </c>
      <c r="J1792" s="2">
        <f>XLOOKUP(E1792, '06_BANG_GIA_VAT_TU_AP_DUNG'!B:B, '06_BANG_GIA_VAT_TU_AP_DUNG'!C:C, "LỖI_MÃ_VT")</f>
        <v/>
      </c>
      <c r="K1792" s="2">
        <f>I1792*J1792</f>
        <v/>
      </c>
      <c r="L1792" t="inlineStr">
        <is>
          <t>Cơ cấu liên động bánh răng van</t>
        </is>
      </c>
    </row>
    <row r="1793">
      <c r="A1793" t="inlineStr">
        <is>
          <t>SW-DAMPER-428-FUSE</t>
        </is>
      </c>
      <c r="B1793" t="inlineStr">
        <is>
          <t>SW-DAMPER-428</t>
        </is>
      </c>
      <c r="C1793" t="inlineStr">
        <is>
          <t>Cầu chì nhiệt nóng chảy 70°C (Elsie/USA)</t>
        </is>
      </c>
      <c r="D1793" t="inlineStr">
        <is>
          <t>PHỤ_KIỆN_VAN</t>
        </is>
      </c>
      <c r="E1793" t="inlineStr">
        <is>
          <t>MAT-DAMPER-CAU-CHI-USA-2-400X400</t>
        </is>
      </c>
      <c r="F1793" t="inlineStr">
        <is>
          <t>Cái</t>
        </is>
      </c>
      <c r="G1793" s="4" t="n">
        <v>1</v>
      </c>
      <c r="H1793" s="2">
        <f>XLOOKUP(B1793, '00_TONG_HOP_BAO_GIA'!B:B, '00_TONG_HOP_BAO_GIA'!G:G, 1)</f>
        <v/>
      </c>
      <c r="I1793" s="5">
        <f>G1793*H1793</f>
        <v/>
      </c>
      <c r="J1793" s="2">
        <f>XLOOKUP(E1793, '06_BANG_GIA_VAT_TU_AP_DUNG'!B:B, '06_BANG_GIA_VAT_TU_AP_DUNG'!C:C, "LỖI_MÃ_VT")</f>
        <v/>
      </c>
      <c r="K1793" s="2">
        <f>I1793*J1793</f>
        <v/>
      </c>
      <c r="L1793" t="inlineStr">
        <is>
          <t>Cầu chì kiểm định PCCC</t>
        </is>
      </c>
    </row>
    <row r="1794">
      <c r="A1794" t="inlineStr">
        <is>
          <t>SW-DAMPER-429-BODY</t>
        </is>
      </c>
      <c r="B1794" t="inlineStr">
        <is>
          <t>SW-DAMPER-429</t>
        </is>
      </c>
      <c r="C1794" t="inlineStr">
        <is>
          <t>Thân vỏ van FD bích TDF (0.75mm)</t>
        </is>
      </c>
      <c r="D1794" t="inlineStr">
        <is>
          <t>TÔN_CUỘN_MẠ_KẼM</t>
        </is>
      </c>
      <c r="E1794" t="inlineStr">
        <is>
          <t>MAT-STEEL-PN-0.75</t>
        </is>
      </c>
      <c r="F1794" t="inlineStr">
        <is>
          <t>kg</t>
        </is>
      </c>
      <c r="G1794" s="4" t="n">
        <v>2.650788</v>
      </c>
      <c r="H1794" s="2">
        <f>XLOOKUP(B1794, '00_TONG_HOP_BAO_GIA'!B:B, '00_TONG_HOP_BAO_GIA'!G:G, 1)</f>
        <v/>
      </c>
      <c r="I1794" s="5">
        <f>G1794*H1794</f>
        <v/>
      </c>
      <c r="J1794" s="2">
        <f>XLOOKUP(E1794, '06_BANG_GIA_VAT_TU_AP_DUNG'!B:B, '06_BANG_GIA_VAT_TU_AP_DUNG'!C:C, "LỖI_MÃ_VT")</f>
        <v/>
      </c>
      <c r="K1794" s="2">
        <f>I1794*J1794</f>
        <v/>
      </c>
      <c r="L1794" t="inlineStr">
        <is>
          <t>Kích thước vỏ 400.0x250.0x250mm</t>
        </is>
      </c>
    </row>
    <row r="1795">
      <c r="A1795" t="inlineStr">
        <is>
          <t>SW-DAMPER-429-BLADE</t>
        </is>
      </c>
      <c r="B1795" t="inlineStr">
        <is>
          <t>SW-DAMPER-429</t>
        </is>
      </c>
      <c r="C1795" t="inlineStr">
        <is>
          <t>Lá cánh van (2 cánh overlap)</t>
        </is>
      </c>
      <c r="D1795" t="inlineStr">
        <is>
          <t>TÔN_CUỘN_MẠ_KẼM</t>
        </is>
      </c>
      <c r="E1795" t="inlineStr">
        <is>
          <t>MAT-STEEL-PN-0.75</t>
        </is>
      </c>
      <c r="F1795" t="inlineStr">
        <is>
          <t>kg</t>
        </is>
      </c>
      <c r="G1795" s="4" t="n">
        <v>0.737586</v>
      </c>
      <c r="H1795" s="2">
        <f>XLOOKUP(B1795, '00_TONG_HOP_BAO_GIA'!B:B, '00_TONG_HOP_BAO_GIA'!G:G, 1)</f>
        <v/>
      </c>
      <c r="I1795" s="5">
        <f>G1795*H1795</f>
        <v/>
      </c>
      <c r="J1795" s="2">
        <f>XLOOKUP(E1795, '06_BANG_GIA_VAT_TU_AP_DUNG'!B:B, '06_BANG_GIA_VAT_TU_AP_DUNG'!C:C, "LỖI_MÃ_VT")</f>
        <v/>
      </c>
      <c r="K1795" s="2">
        <f>I1795*J1795</f>
        <v/>
      </c>
      <c r="L1795" t="inlineStr">
        <is>
          <t>2 cánh cao 145mm</t>
        </is>
      </c>
    </row>
    <row r="1796">
      <c r="A1796" t="inlineStr">
        <is>
          <t>SW-DAMPER-429-AXLE</t>
        </is>
      </c>
      <c r="B1796" t="inlineStr">
        <is>
          <t>SW-DAMPER-429</t>
        </is>
      </c>
      <c r="C1796" t="inlineStr">
        <is>
          <t>Trục Sus 201 D10</t>
        </is>
      </c>
      <c r="D1796" t="inlineStr">
        <is>
          <t>PHỤ_KIỆN_VAN</t>
        </is>
      </c>
      <c r="E1796" t="inlineStr">
        <is>
          <t>MAT-DAMPER-TRUC-SUS-201-D10</t>
        </is>
      </c>
      <c r="F1796" t="inlineStr">
        <is>
          <t>m</t>
        </is>
      </c>
      <c r="G1796" s="4" t="n">
        <v>0.92</v>
      </c>
      <c r="H1796" s="2">
        <f>XLOOKUP(B1796, '00_TONG_HOP_BAO_GIA'!B:B, '00_TONG_HOP_BAO_GIA'!G:G, 1)</f>
        <v/>
      </c>
      <c r="I1796" s="5">
        <f>G1796*H1796</f>
        <v/>
      </c>
      <c r="J1796" s="2">
        <f>XLOOKUP(E1796, '06_BANG_GIA_VAT_TU_AP_DUNG'!B:B, '06_BANG_GIA_VAT_TU_AP_DUNG'!C:C, "LỖI_MÃ_VT")</f>
        <v/>
      </c>
      <c r="K1796" s="2">
        <f>I1796*J1796</f>
        <v/>
      </c>
      <c r="L1796" t="inlineStr">
        <is>
          <t>2 trục dài 460mm</t>
        </is>
      </c>
    </row>
    <row r="1797">
      <c r="A1797" t="inlineStr">
        <is>
          <t>SW-DAMPER-429-BEARING</t>
        </is>
      </c>
      <c r="B1797" t="inlineStr">
        <is>
          <t>SW-DAMPER-429</t>
        </is>
      </c>
      <c r="C1797" t="inlineStr">
        <is>
          <t>Bạc đồng D10</t>
        </is>
      </c>
      <c r="D1797" t="inlineStr">
        <is>
          <t>PHỤ_KIỆN_VAN</t>
        </is>
      </c>
      <c r="E1797" t="inlineStr">
        <is>
          <t>MAT-DAMPER-BAC-DONG-D10</t>
        </is>
      </c>
      <c r="F1797" t="inlineStr">
        <is>
          <t>Đôi</t>
        </is>
      </c>
      <c r="G1797" s="4" t="n">
        <v>2</v>
      </c>
      <c r="H1797" s="2">
        <f>XLOOKUP(B1797, '00_TONG_HOP_BAO_GIA'!B:B, '00_TONG_HOP_BAO_GIA'!G:G, 1)</f>
        <v/>
      </c>
      <c r="I1797" s="5">
        <f>G1797*H1797</f>
        <v/>
      </c>
      <c r="J1797" s="2">
        <f>XLOOKUP(E1797, '06_BANG_GIA_VAT_TU_AP_DUNG'!B:B, '06_BANG_GIA_VAT_TU_AP_DUNG'!C:C, "LỖI_MÃ_VT")</f>
        <v/>
      </c>
      <c r="K1797" s="2">
        <f>I1797*J1797</f>
        <v/>
      </c>
      <c r="L1797" t="inlineStr">
        <is>
          <t>2 đôi bạc đỡ 2 bên thân</t>
        </is>
      </c>
    </row>
    <row r="1798">
      <c r="A1798" t="inlineStr">
        <is>
          <t>SW-DAMPER-429-GEAR</t>
        </is>
      </c>
      <c r="B1798" t="inlineStr">
        <is>
          <t>SW-DAMPER-429</t>
        </is>
      </c>
      <c r="C1798" t="inlineStr">
        <is>
          <t>Bánh răng van nhôm</t>
        </is>
      </c>
      <c r="D1798" t="inlineStr">
        <is>
          <t>PHỤ_KIỆN_VAN</t>
        </is>
      </c>
      <c r="E1798" t="inlineStr">
        <is>
          <t>MAT-DAMPER-BANH-RANG-VAN-NHOM</t>
        </is>
      </c>
      <c r="F1798" t="inlineStr">
        <is>
          <t>Bộ</t>
        </is>
      </c>
      <c r="G1798" s="4" t="n">
        <v>1</v>
      </c>
      <c r="H1798" s="2">
        <f>XLOOKUP(B1798, '00_TONG_HOP_BAO_GIA'!B:B, '00_TONG_HOP_BAO_GIA'!G:G, 1)</f>
        <v/>
      </c>
      <c r="I1798" s="5">
        <f>G1798*H1798</f>
        <v/>
      </c>
      <c r="J1798" s="2">
        <f>XLOOKUP(E1798, '06_BANG_GIA_VAT_TU_AP_DUNG'!B:B, '06_BANG_GIA_VAT_TU_AP_DUNG'!C:C, "LỖI_MÃ_VT")</f>
        <v/>
      </c>
      <c r="K1798" s="2">
        <f>I1798*J1798</f>
        <v/>
      </c>
      <c r="L1798" t="inlineStr">
        <is>
          <t>Cơ cấu liên động bánh răng van</t>
        </is>
      </c>
    </row>
    <row r="1799">
      <c r="A1799" t="inlineStr">
        <is>
          <t>SW-DAMPER-429-FUSE</t>
        </is>
      </c>
      <c r="B1799" t="inlineStr">
        <is>
          <t>SW-DAMPER-429</t>
        </is>
      </c>
      <c r="C1799" t="inlineStr">
        <is>
          <t>Cầu chì nhiệt nóng chảy 70°C (Elsie/USA)</t>
        </is>
      </c>
      <c r="D1799" t="inlineStr">
        <is>
          <t>PHỤ_KIỆN_VAN</t>
        </is>
      </c>
      <c r="E1799" t="inlineStr">
        <is>
          <t>MAT-DAMPER-CAU-CHI-USA-2-400X400</t>
        </is>
      </c>
      <c r="F1799" t="inlineStr">
        <is>
          <t>Cái</t>
        </is>
      </c>
      <c r="G1799" s="4" t="n">
        <v>1</v>
      </c>
      <c r="H1799" s="2">
        <f>XLOOKUP(B1799, '00_TONG_HOP_BAO_GIA'!B:B, '00_TONG_HOP_BAO_GIA'!G:G, 1)</f>
        <v/>
      </c>
      <c r="I1799" s="5">
        <f>G1799*H1799</f>
        <v/>
      </c>
      <c r="J1799" s="2">
        <f>XLOOKUP(E1799, '06_BANG_GIA_VAT_TU_AP_DUNG'!B:B, '06_BANG_GIA_VAT_TU_AP_DUNG'!C:C, "LỖI_MÃ_VT")</f>
        <v/>
      </c>
      <c r="K1799" s="2">
        <f>I1799*J1799</f>
        <v/>
      </c>
      <c r="L1799" t="inlineStr">
        <is>
          <t>Cầu chì kiểm định PCCC</t>
        </is>
      </c>
    </row>
    <row r="1800">
      <c r="A1800" t="inlineStr">
        <is>
          <t>SW-DAMPER-430-BODY</t>
        </is>
      </c>
      <c r="B1800" t="inlineStr">
        <is>
          <t>SW-DAMPER-430</t>
        </is>
      </c>
      <c r="C1800" t="inlineStr">
        <is>
          <t>Thân vỏ van FD bích TDF (0.75mm)</t>
        </is>
      </c>
      <c r="D1800" t="inlineStr">
        <is>
          <t>TÔN_CUỘN_MẠ_KẼM</t>
        </is>
      </c>
      <c r="E1800" t="inlineStr">
        <is>
          <t>MAT-STEEL-PN-0.75</t>
        </is>
      </c>
      <c r="F1800" t="inlineStr">
        <is>
          <t>kg</t>
        </is>
      </c>
      <c r="G1800" s="4" t="n">
        <v>2.848608</v>
      </c>
      <c r="H1800" s="2">
        <f>XLOOKUP(B1800, '00_TONG_HOP_BAO_GIA'!B:B, '00_TONG_HOP_BAO_GIA'!G:G, 1)</f>
        <v/>
      </c>
      <c r="I1800" s="5">
        <f>G1800*H1800</f>
        <v/>
      </c>
      <c r="J1800" s="2">
        <f>XLOOKUP(E1800, '06_BANG_GIA_VAT_TU_AP_DUNG'!B:B, '06_BANG_GIA_VAT_TU_AP_DUNG'!C:C, "LỖI_MÃ_VT")</f>
        <v/>
      </c>
      <c r="K1800" s="2">
        <f>I1800*J1800</f>
        <v/>
      </c>
      <c r="L1800" t="inlineStr">
        <is>
          <t>Kích thước vỏ 400.0x300.0x250mm</t>
        </is>
      </c>
    </row>
    <row r="1801">
      <c r="A1801" t="inlineStr">
        <is>
          <t>SW-DAMPER-430-BLADE</t>
        </is>
      </c>
      <c r="B1801" t="inlineStr">
        <is>
          <t>SW-DAMPER-430</t>
        </is>
      </c>
      <c r="C1801" t="inlineStr">
        <is>
          <t>Lá cánh van (2 cánh overlap)</t>
        </is>
      </c>
      <c r="D1801" t="inlineStr">
        <is>
          <t>TÔN_CUỘN_MẠ_KẼM</t>
        </is>
      </c>
      <c r="E1801" t="inlineStr">
        <is>
          <t>MAT-STEEL-PN-0.75</t>
        </is>
      </c>
      <c r="F1801" t="inlineStr">
        <is>
          <t>kg</t>
        </is>
      </c>
      <c r="G1801" s="4" t="n">
        <v>0.864756</v>
      </c>
      <c r="H1801" s="2">
        <f>XLOOKUP(B1801, '00_TONG_HOP_BAO_GIA'!B:B, '00_TONG_HOP_BAO_GIA'!G:G, 1)</f>
        <v/>
      </c>
      <c r="I1801" s="5">
        <f>G1801*H1801</f>
        <v/>
      </c>
      <c r="J1801" s="2">
        <f>XLOOKUP(E1801, '06_BANG_GIA_VAT_TU_AP_DUNG'!B:B, '06_BANG_GIA_VAT_TU_AP_DUNG'!C:C, "LỖI_MÃ_VT")</f>
        <v/>
      </c>
      <c r="K1801" s="2">
        <f>I1801*J1801</f>
        <v/>
      </c>
      <c r="L1801" t="inlineStr">
        <is>
          <t>2 cánh cao 170mm</t>
        </is>
      </c>
    </row>
    <row r="1802">
      <c r="A1802" t="inlineStr">
        <is>
          <t>SW-DAMPER-430-AXLE</t>
        </is>
      </c>
      <c r="B1802" t="inlineStr">
        <is>
          <t>SW-DAMPER-430</t>
        </is>
      </c>
      <c r="C1802" t="inlineStr">
        <is>
          <t>Trục Sus 201 D10</t>
        </is>
      </c>
      <c r="D1802" t="inlineStr">
        <is>
          <t>PHỤ_KIỆN_VAN</t>
        </is>
      </c>
      <c r="E1802" t="inlineStr">
        <is>
          <t>MAT-DAMPER-TRUC-SUS-201-D10</t>
        </is>
      </c>
      <c r="F1802" t="inlineStr">
        <is>
          <t>m</t>
        </is>
      </c>
      <c r="G1802" s="4" t="n">
        <v>0.92</v>
      </c>
      <c r="H1802" s="2">
        <f>XLOOKUP(B1802, '00_TONG_HOP_BAO_GIA'!B:B, '00_TONG_HOP_BAO_GIA'!G:G, 1)</f>
        <v/>
      </c>
      <c r="I1802" s="5">
        <f>G1802*H1802</f>
        <v/>
      </c>
      <c r="J1802" s="2">
        <f>XLOOKUP(E1802, '06_BANG_GIA_VAT_TU_AP_DUNG'!B:B, '06_BANG_GIA_VAT_TU_AP_DUNG'!C:C, "LỖI_MÃ_VT")</f>
        <v/>
      </c>
      <c r="K1802" s="2">
        <f>I1802*J1802</f>
        <v/>
      </c>
      <c r="L1802" t="inlineStr">
        <is>
          <t>2 trục dài 460mm</t>
        </is>
      </c>
    </row>
    <row r="1803">
      <c r="A1803" t="inlineStr">
        <is>
          <t>SW-DAMPER-430-BEARING</t>
        </is>
      </c>
      <c r="B1803" t="inlineStr">
        <is>
          <t>SW-DAMPER-430</t>
        </is>
      </c>
      <c r="C1803" t="inlineStr">
        <is>
          <t>Bạc đồng D10</t>
        </is>
      </c>
      <c r="D1803" t="inlineStr">
        <is>
          <t>PHỤ_KIỆN_VAN</t>
        </is>
      </c>
      <c r="E1803" t="inlineStr">
        <is>
          <t>MAT-DAMPER-BAC-DONG-D10</t>
        </is>
      </c>
      <c r="F1803" t="inlineStr">
        <is>
          <t>Đôi</t>
        </is>
      </c>
      <c r="G1803" s="4" t="n">
        <v>2</v>
      </c>
      <c r="H1803" s="2">
        <f>XLOOKUP(B1803, '00_TONG_HOP_BAO_GIA'!B:B, '00_TONG_HOP_BAO_GIA'!G:G, 1)</f>
        <v/>
      </c>
      <c r="I1803" s="5">
        <f>G1803*H1803</f>
        <v/>
      </c>
      <c r="J1803" s="2">
        <f>XLOOKUP(E1803, '06_BANG_GIA_VAT_TU_AP_DUNG'!B:B, '06_BANG_GIA_VAT_TU_AP_DUNG'!C:C, "LỖI_MÃ_VT")</f>
        <v/>
      </c>
      <c r="K1803" s="2">
        <f>I1803*J1803</f>
        <v/>
      </c>
      <c r="L1803" t="inlineStr">
        <is>
          <t>2 đôi bạc đỡ 2 bên thân</t>
        </is>
      </c>
    </row>
    <row r="1804">
      <c r="A1804" t="inlineStr">
        <is>
          <t>SW-DAMPER-430-GEAR</t>
        </is>
      </c>
      <c r="B1804" t="inlineStr">
        <is>
          <t>SW-DAMPER-430</t>
        </is>
      </c>
      <c r="C1804" t="inlineStr">
        <is>
          <t>Bánh răng van nhôm</t>
        </is>
      </c>
      <c r="D1804" t="inlineStr">
        <is>
          <t>PHỤ_KIỆN_VAN</t>
        </is>
      </c>
      <c r="E1804" t="inlineStr">
        <is>
          <t>MAT-DAMPER-BANH-RANG-VAN-NHOM</t>
        </is>
      </c>
      <c r="F1804" t="inlineStr">
        <is>
          <t>Bộ</t>
        </is>
      </c>
      <c r="G1804" s="4" t="n">
        <v>1</v>
      </c>
      <c r="H1804" s="2">
        <f>XLOOKUP(B1804, '00_TONG_HOP_BAO_GIA'!B:B, '00_TONG_HOP_BAO_GIA'!G:G, 1)</f>
        <v/>
      </c>
      <c r="I1804" s="5">
        <f>G1804*H1804</f>
        <v/>
      </c>
      <c r="J1804" s="2">
        <f>XLOOKUP(E1804, '06_BANG_GIA_VAT_TU_AP_DUNG'!B:B, '06_BANG_GIA_VAT_TU_AP_DUNG'!C:C, "LỖI_MÃ_VT")</f>
        <v/>
      </c>
      <c r="K1804" s="2">
        <f>I1804*J1804</f>
        <v/>
      </c>
      <c r="L1804" t="inlineStr">
        <is>
          <t>Cơ cấu liên động bánh răng van</t>
        </is>
      </c>
    </row>
    <row r="1805">
      <c r="A1805" t="inlineStr">
        <is>
          <t>SW-DAMPER-430-FUSE</t>
        </is>
      </c>
      <c r="B1805" t="inlineStr">
        <is>
          <t>SW-DAMPER-430</t>
        </is>
      </c>
      <c r="C1805" t="inlineStr">
        <is>
          <t>Cầu chì nhiệt nóng chảy 70°C (Elsie/USA)</t>
        </is>
      </c>
      <c r="D1805" t="inlineStr">
        <is>
          <t>PHỤ_KIỆN_VAN</t>
        </is>
      </c>
      <c r="E1805" t="inlineStr">
        <is>
          <t>MAT-DAMPER-CAU-CHI-USA-2-400X400</t>
        </is>
      </c>
      <c r="F1805" t="inlineStr">
        <is>
          <t>Cái</t>
        </is>
      </c>
      <c r="G1805" s="4" t="n">
        <v>1</v>
      </c>
      <c r="H1805" s="2">
        <f>XLOOKUP(B1805, '00_TONG_HOP_BAO_GIA'!B:B, '00_TONG_HOP_BAO_GIA'!G:G, 1)</f>
        <v/>
      </c>
      <c r="I1805" s="5">
        <f>G1805*H1805</f>
        <v/>
      </c>
      <c r="J1805" s="2">
        <f>XLOOKUP(E1805, '06_BANG_GIA_VAT_TU_AP_DUNG'!B:B, '06_BANG_GIA_VAT_TU_AP_DUNG'!C:C, "LỖI_MÃ_VT")</f>
        <v/>
      </c>
      <c r="K1805" s="2">
        <f>I1805*J1805</f>
        <v/>
      </c>
      <c r="L1805" t="inlineStr">
        <is>
          <t>Cầu chì kiểm định PCCC</t>
        </is>
      </c>
    </row>
    <row r="1806">
      <c r="A1806" t="inlineStr">
        <is>
          <t>SW-DAMPER-431-BODY</t>
        </is>
      </c>
      <c r="B1806" t="inlineStr">
        <is>
          <t>SW-DAMPER-431</t>
        </is>
      </c>
      <c r="C1806" t="inlineStr">
        <is>
          <t>Thân vỏ van FD bích TDF (0.75mm)</t>
        </is>
      </c>
      <c r="D1806" t="inlineStr">
        <is>
          <t>TÔN_CUỘN_MẠ_KẼM</t>
        </is>
      </c>
      <c r="E1806" t="inlineStr">
        <is>
          <t>MAT-STEEL-PN-0.75</t>
        </is>
      </c>
      <c r="F1806" t="inlineStr">
        <is>
          <t>kg</t>
        </is>
      </c>
      <c r="G1806" s="4" t="n">
        <v>3.046428</v>
      </c>
      <c r="H1806" s="2">
        <f>XLOOKUP(B1806, '00_TONG_HOP_BAO_GIA'!B:B, '00_TONG_HOP_BAO_GIA'!G:G, 1)</f>
        <v/>
      </c>
      <c r="I1806" s="5">
        <f>G1806*H1806</f>
        <v/>
      </c>
      <c r="J1806" s="2">
        <f>XLOOKUP(E1806, '06_BANG_GIA_VAT_TU_AP_DUNG'!B:B, '06_BANG_GIA_VAT_TU_AP_DUNG'!C:C, "LỖI_MÃ_VT")</f>
        <v/>
      </c>
      <c r="K1806" s="2">
        <f>I1806*J1806</f>
        <v/>
      </c>
      <c r="L1806" t="inlineStr">
        <is>
          <t>Kích thước vỏ 400.0x350.0x250mm</t>
        </is>
      </c>
    </row>
    <row r="1807">
      <c r="A1807" t="inlineStr">
        <is>
          <t>SW-DAMPER-431-BLADE</t>
        </is>
      </c>
      <c r="B1807" t="inlineStr">
        <is>
          <t>SW-DAMPER-431</t>
        </is>
      </c>
      <c r="C1807" t="inlineStr">
        <is>
          <t>Lá cánh van (2 cánh overlap)</t>
        </is>
      </c>
      <c r="D1807" t="inlineStr">
        <is>
          <t>TÔN_CUỘN_MẠ_KẼM</t>
        </is>
      </c>
      <c r="E1807" t="inlineStr">
        <is>
          <t>MAT-STEEL-PN-0.75</t>
        </is>
      </c>
      <c r="F1807" t="inlineStr">
        <is>
          <t>kg</t>
        </is>
      </c>
      <c r="G1807" s="4" t="n">
        <v>0.9919260000000002</v>
      </c>
      <c r="H1807" s="2">
        <f>XLOOKUP(B1807, '00_TONG_HOP_BAO_GIA'!B:B, '00_TONG_HOP_BAO_GIA'!G:G, 1)</f>
        <v/>
      </c>
      <c r="I1807" s="5">
        <f>G1807*H1807</f>
        <v/>
      </c>
      <c r="J1807" s="2">
        <f>XLOOKUP(E1807, '06_BANG_GIA_VAT_TU_AP_DUNG'!B:B, '06_BANG_GIA_VAT_TU_AP_DUNG'!C:C, "LỖI_MÃ_VT")</f>
        <v/>
      </c>
      <c r="K1807" s="2">
        <f>I1807*J1807</f>
        <v/>
      </c>
      <c r="L1807" t="inlineStr">
        <is>
          <t>2 cánh cao 195mm</t>
        </is>
      </c>
    </row>
    <row r="1808">
      <c r="A1808" t="inlineStr">
        <is>
          <t>SW-DAMPER-431-AXLE</t>
        </is>
      </c>
      <c r="B1808" t="inlineStr">
        <is>
          <t>SW-DAMPER-431</t>
        </is>
      </c>
      <c r="C1808" t="inlineStr">
        <is>
          <t>Trục Sus 201 D10</t>
        </is>
      </c>
      <c r="D1808" t="inlineStr">
        <is>
          <t>PHỤ_KIỆN_VAN</t>
        </is>
      </c>
      <c r="E1808" t="inlineStr">
        <is>
          <t>MAT-DAMPER-TRUC-SUS-201-D10</t>
        </is>
      </c>
      <c r="F1808" t="inlineStr">
        <is>
          <t>m</t>
        </is>
      </c>
      <c r="G1808" s="4" t="n">
        <v>0.92</v>
      </c>
      <c r="H1808" s="2">
        <f>XLOOKUP(B1808, '00_TONG_HOP_BAO_GIA'!B:B, '00_TONG_HOP_BAO_GIA'!G:G, 1)</f>
        <v/>
      </c>
      <c r="I1808" s="5">
        <f>G1808*H1808</f>
        <v/>
      </c>
      <c r="J1808" s="2">
        <f>XLOOKUP(E1808, '06_BANG_GIA_VAT_TU_AP_DUNG'!B:B, '06_BANG_GIA_VAT_TU_AP_DUNG'!C:C, "LỖI_MÃ_VT")</f>
        <v/>
      </c>
      <c r="K1808" s="2">
        <f>I1808*J1808</f>
        <v/>
      </c>
      <c r="L1808" t="inlineStr">
        <is>
          <t>2 trục dài 460mm</t>
        </is>
      </c>
    </row>
    <row r="1809">
      <c r="A1809" t="inlineStr">
        <is>
          <t>SW-DAMPER-431-BEARING</t>
        </is>
      </c>
      <c r="B1809" t="inlineStr">
        <is>
          <t>SW-DAMPER-431</t>
        </is>
      </c>
      <c r="C1809" t="inlineStr">
        <is>
          <t>Bạc đồng D10</t>
        </is>
      </c>
      <c r="D1809" t="inlineStr">
        <is>
          <t>PHỤ_KIỆN_VAN</t>
        </is>
      </c>
      <c r="E1809" t="inlineStr">
        <is>
          <t>MAT-DAMPER-BAC-DONG-D10</t>
        </is>
      </c>
      <c r="F1809" t="inlineStr">
        <is>
          <t>Đôi</t>
        </is>
      </c>
      <c r="G1809" s="4" t="n">
        <v>2</v>
      </c>
      <c r="H1809" s="2">
        <f>XLOOKUP(B1809, '00_TONG_HOP_BAO_GIA'!B:B, '00_TONG_HOP_BAO_GIA'!G:G, 1)</f>
        <v/>
      </c>
      <c r="I1809" s="5">
        <f>G1809*H1809</f>
        <v/>
      </c>
      <c r="J1809" s="2">
        <f>XLOOKUP(E1809, '06_BANG_GIA_VAT_TU_AP_DUNG'!B:B, '06_BANG_GIA_VAT_TU_AP_DUNG'!C:C, "LỖI_MÃ_VT")</f>
        <v/>
      </c>
      <c r="K1809" s="2">
        <f>I1809*J1809</f>
        <v/>
      </c>
      <c r="L1809" t="inlineStr">
        <is>
          <t>2 đôi bạc đỡ 2 bên thân</t>
        </is>
      </c>
    </row>
    <row r="1810">
      <c r="A1810" t="inlineStr">
        <is>
          <t>SW-DAMPER-431-GEAR</t>
        </is>
      </c>
      <c r="B1810" t="inlineStr">
        <is>
          <t>SW-DAMPER-431</t>
        </is>
      </c>
      <c r="C1810" t="inlineStr">
        <is>
          <t>Bánh răng van nhôm</t>
        </is>
      </c>
      <c r="D1810" t="inlineStr">
        <is>
          <t>PHỤ_KIỆN_VAN</t>
        </is>
      </c>
      <c r="E1810" t="inlineStr">
        <is>
          <t>MAT-DAMPER-BANH-RANG-VAN-NHOM</t>
        </is>
      </c>
      <c r="F1810" t="inlineStr">
        <is>
          <t>Bộ</t>
        </is>
      </c>
      <c r="G1810" s="4" t="n">
        <v>1</v>
      </c>
      <c r="H1810" s="2">
        <f>XLOOKUP(B1810, '00_TONG_HOP_BAO_GIA'!B:B, '00_TONG_HOP_BAO_GIA'!G:G, 1)</f>
        <v/>
      </c>
      <c r="I1810" s="5">
        <f>G1810*H1810</f>
        <v/>
      </c>
      <c r="J1810" s="2">
        <f>XLOOKUP(E1810, '06_BANG_GIA_VAT_TU_AP_DUNG'!B:B, '06_BANG_GIA_VAT_TU_AP_DUNG'!C:C, "LỖI_MÃ_VT")</f>
        <v/>
      </c>
      <c r="K1810" s="2">
        <f>I1810*J1810</f>
        <v/>
      </c>
      <c r="L1810" t="inlineStr">
        <is>
          <t>Cơ cấu liên động bánh răng van</t>
        </is>
      </c>
    </row>
    <row r="1811">
      <c r="A1811" t="inlineStr">
        <is>
          <t>SW-DAMPER-431-FUSE</t>
        </is>
      </c>
      <c r="B1811" t="inlineStr">
        <is>
          <t>SW-DAMPER-431</t>
        </is>
      </c>
      <c r="C1811" t="inlineStr">
        <is>
          <t>Cầu chì nhiệt nóng chảy 70°C (Elsie/USA)</t>
        </is>
      </c>
      <c r="D1811" t="inlineStr">
        <is>
          <t>PHỤ_KIỆN_VAN</t>
        </is>
      </c>
      <c r="E1811" t="inlineStr">
        <is>
          <t>MAT-DAMPER-CAU-CHI-USA-2-400X400</t>
        </is>
      </c>
      <c r="F1811" t="inlineStr">
        <is>
          <t>Cái</t>
        </is>
      </c>
      <c r="G1811" s="4" t="n">
        <v>1</v>
      </c>
      <c r="H1811" s="2">
        <f>XLOOKUP(B1811, '00_TONG_HOP_BAO_GIA'!B:B, '00_TONG_HOP_BAO_GIA'!G:G, 1)</f>
        <v/>
      </c>
      <c r="I1811" s="5">
        <f>G1811*H1811</f>
        <v/>
      </c>
      <c r="J1811" s="2">
        <f>XLOOKUP(E1811, '06_BANG_GIA_VAT_TU_AP_DUNG'!B:B, '06_BANG_GIA_VAT_TU_AP_DUNG'!C:C, "LỖI_MÃ_VT")</f>
        <v/>
      </c>
      <c r="K1811" s="2">
        <f>I1811*J1811</f>
        <v/>
      </c>
      <c r="L1811" t="inlineStr">
        <is>
          <t>Cầu chì kiểm định PCCC</t>
        </is>
      </c>
    </row>
    <row r="1812">
      <c r="A1812" t="inlineStr">
        <is>
          <t>SW-DAMPER-432-BODY</t>
        </is>
      </c>
      <c r="B1812" t="inlineStr">
        <is>
          <t>SW-DAMPER-432</t>
        </is>
      </c>
      <c r="C1812" t="inlineStr">
        <is>
          <t>Thân vỏ van FD bích TDF (0.75mm)</t>
        </is>
      </c>
      <c r="D1812" t="inlineStr">
        <is>
          <t>TÔN_CUỘN_MẠ_KẼM</t>
        </is>
      </c>
      <c r="E1812" t="inlineStr">
        <is>
          <t>MAT-STEEL-PN-0.75</t>
        </is>
      </c>
      <c r="F1812" t="inlineStr">
        <is>
          <t>kg</t>
        </is>
      </c>
      <c r="G1812" s="4" t="n">
        <v>3.244247999999999</v>
      </c>
      <c r="H1812" s="2">
        <f>XLOOKUP(B1812, '00_TONG_HOP_BAO_GIA'!B:B, '00_TONG_HOP_BAO_GIA'!G:G, 1)</f>
        <v/>
      </c>
      <c r="I1812" s="5">
        <f>G1812*H1812</f>
        <v/>
      </c>
      <c r="J1812" s="2">
        <f>XLOOKUP(E1812, '06_BANG_GIA_VAT_TU_AP_DUNG'!B:B, '06_BANG_GIA_VAT_TU_AP_DUNG'!C:C, "LỖI_MÃ_VT")</f>
        <v/>
      </c>
      <c r="K1812" s="2">
        <f>I1812*J1812</f>
        <v/>
      </c>
      <c r="L1812" t="inlineStr">
        <is>
          <t>Kích thước vỏ 450.0x350.0x250mm</t>
        </is>
      </c>
    </row>
    <row r="1813">
      <c r="A1813" t="inlineStr">
        <is>
          <t>SW-DAMPER-432-BLADE</t>
        </is>
      </c>
      <c r="B1813" t="inlineStr">
        <is>
          <t>SW-DAMPER-432</t>
        </is>
      </c>
      <c r="C1813" t="inlineStr">
        <is>
          <t>Lá cánh van (2 cánh overlap)</t>
        </is>
      </c>
      <c r="D1813" t="inlineStr">
        <is>
          <t>TÔN_CUỘN_MẠ_KẼM</t>
        </is>
      </c>
      <c r="E1813" t="inlineStr">
        <is>
          <t>MAT-STEEL-PN-0.75</t>
        </is>
      </c>
      <c r="F1813" t="inlineStr">
        <is>
          <t>kg</t>
        </is>
      </c>
      <c r="G1813" s="4" t="n">
        <v>1.11591675</v>
      </c>
      <c r="H1813" s="2">
        <f>XLOOKUP(B1813, '00_TONG_HOP_BAO_GIA'!B:B, '00_TONG_HOP_BAO_GIA'!G:G, 1)</f>
        <v/>
      </c>
      <c r="I1813" s="5">
        <f>G1813*H1813</f>
        <v/>
      </c>
      <c r="J1813" s="2">
        <f>XLOOKUP(E1813, '06_BANG_GIA_VAT_TU_AP_DUNG'!B:B, '06_BANG_GIA_VAT_TU_AP_DUNG'!C:C, "LỖI_MÃ_VT")</f>
        <v/>
      </c>
      <c r="K1813" s="2">
        <f>I1813*J1813</f>
        <v/>
      </c>
      <c r="L1813" t="inlineStr">
        <is>
          <t>2 cánh cao 195mm</t>
        </is>
      </c>
    </row>
    <row r="1814">
      <c r="A1814" t="inlineStr">
        <is>
          <t>SW-DAMPER-432-AXLE</t>
        </is>
      </c>
      <c r="B1814" t="inlineStr">
        <is>
          <t>SW-DAMPER-432</t>
        </is>
      </c>
      <c r="C1814" t="inlineStr">
        <is>
          <t>Trục Sus 201 D10</t>
        </is>
      </c>
      <c r="D1814" t="inlineStr">
        <is>
          <t>PHỤ_KIỆN_VAN</t>
        </is>
      </c>
      <c r="E1814" t="inlineStr">
        <is>
          <t>MAT-DAMPER-TRUC-SUS-201-D10</t>
        </is>
      </c>
      <c r="F1814" t="inlineStr">
        <is>
          <t>m</t>
        </is>
      </c>
      <c r="G1814" s="4" t="n">
        <v>1.02</v>
      </c>
      <c r="H1814" s="2">
        <f>XLOOKUP(B1814, '00_TONG_HOP_BAO_GIA'!B:B, '00_TONG_HOP_BAO_GIA'!G:G, 1)</f>
        <v/>
      </c>
      <c r="I1814" s="5">
        <f>G1814*H1814</f>
        <v/>
      </c>
      <c r="J1814" s="2">
        <f>XLOOKUP(E1814, '06_BANG_GIA_VAT_TU_AP_DUNG'!B:B, '06_BANG_GIA_VAT_TU_AP_DUNG'!C:C, "LỖI_MÃ_VT")</f>
        <v/>
      </c>
      <c r="K1814" s="2">
        <f>I1814*J1814</f>
        <v/>
      </c>
      <c r="L1814" t="inlineStr">
        <is>
          <t>2 trục dài 510mm</t>
        </is>
      </c>
    </row>
    <row r="1815">
      <c r="A1815" t="inlineStr">
        <is>
          <t>SW-DAMPER-432-BEARING</t>
        </is>
      </c>
      <c r="B1815" t="inlineStr">
        <is>
          <t>SW-DAMPER-432</t>
        </is>
      </c>
      <c r="C1815" t="inlineStr">
        <is>
          <t>Bạc đồng D10</t>
        </is>
      </c>
      <c r="D1815" t="inlineStr">
        <is>
          <t>PHỤ_KIỆN_VAN</t>
        </is>
      </c>
      <c r="E1815" t="inlineStr">
        <is>
          <t>MAT-DAMPER-BAC-DONG-D10</t>
        </is>
      </c>
      <c r="F1815" t="inlineStr">
        <is>
          <t>Đôi</t>
        </is>
      </c>
      <c r="G1815" s="4" t="n">
        <v>2</v>
      </c>
      <c r="H1815" s="2">
        <f>XLOOKUP(B1815, '00_TONG_HOP_BAO_GIA'!B:B, '00_TONG_HOP_BAO_GIA'!G:G, 1)</f>
        <v/>
      </c>
      <c r="I1815" s="5">
        <f>G1815*H1815</f>
        <v/>
      </c>
      <c r="J1815" s="2">
        <f>XLOOKUP(E1815, '06_BANG_GIA_VAT_TU_AP_DUNG'!B:B, '06_BANG_GIA_VAT_TU_AP_DUNG'!C:C, "LỖI_MÃ_VT")</f>
        <v/>
      </c>
      <c r="K1815" s="2">
        <f>I1815*J1815</f>
        <v/>
      </c>
      <c r="L1815" t="inlineStr">
        <is>
          <t>2 đôi bạc đỡ 2 bên thân</t>
        </is>
      </c>
    </row>
    <row r="1816">
      <c r="A1816" t="inlineStr">
        <is>
          <t>SW-DAMPER-432-GEAR</t>
        </is>
      </c>
      <c r="B1816" t="inlineStr">
        <is>
          <t>SW-DAMPER-432</t>
        </is>
      </c>
      <c r="C1816" t="inlineStr">
        <is>
          <t>Bánh răng van nhôm</t>
        </is>
      </c>
      <c r="D1816" t="inlineStr">
        <is>
          <t>PHỤ_KIỆN_VAN</t>
        </is>
      </c>
      <c r="E1816" t="inlineStr">
        <is>
          <t>MAT-DAMPER-BANH-RANG-VAN-NHOM</t>
        </is>
      </c>
      <c r="F1816" t="inlineStr">
        <is>
          <t>Bộ</t>
        </is>
      </c>
      <c r="G1816" s="4" t="n">
        <v>1</v>
      </c>
      <c r="H1816" s="2">
        <f>XLOOKUP(B1816, '00_TONG_HOP_BAO_GIA'!B:B, '00_TONG_HOP_BAO_GIA'!G:G, 1)</f>
        <v/>
      </c>
      <c r="I1816" s="5">
        <f>G1816*H1816</f>
        <v/>
      </c>
      <c r="J1816" s="2">
        <f>XLOOKUP(E1816, '06_BANG_GIA_VAT_TU_AP_DUNG'!B:B, '06_BANG_GIA_VAT_TU_AP_DUNG'!C:C, "LỖI_MÃ_VT")</f>
        <v/>
      </c>
      <c r="K1816" s="2">
        <f>I1816*J1816</f>
        <v/>
      </c>
      <c r="L1816" t="inlineStr">
        <is>
          <t>Cơ cấu liên động bánh răng van</t>
        </is>
      </c>
    </row>
    <row r="1817">
      <c r="A1817" t="inlineStr">
        <is>
          <t>SW-DAMPER-432-FUSE</t>
        </is>
      </c>
      <c r="B1817" t="inlineStr">
        <is>
          <t>SW-DAMPER-432</t>
        </is>
      </c>
      <c r="C1817" t="inlineStr">
        <is>
          <t>Cầu chì nhiệt nóng chảy 70°C (Elsie/USA)</t>
        </is>
      </c>
      <c r="D1817" t="inlineStr">
        <is>
          <t>PHỤ_KIỆN_VAN</t>
        </is>
      </c>
      <c r="E1817" t="inlineStr">
        <is>
          <t>MAT-DAMPER-CAU-CHI-USA-2-400X400</t>
        </is>
      </c>
      <c r="F1817" t="inlineStr">
        <is>
          <t>Cái</t>
        </is>
      </c>
      <c r="G1817" s="4" t="n">
        <v>1</v>
      </c>
      <c r="H1817" s="2">
        <f>XLOOKUP(B1817, '00_TONG_HOP_BAO_GIA'!B:B, '00_TONG_HOP_BAO_GIA'!G:G, 1)</f>
        <v/>
      </c>
      <c r="I1817" s="5">
        <f>G1817*H1817</f>
        <v/>
      </c>
      <c r="J1817" s="2">
        <f>XLOOKUP(E1817, '06_BANG_GIA_VAT_TU_AP_DUNG'!B:B, '06_BANG_GIA_VAT_TU_AP_DUNG'!C:C, "LỖI_MÃ_VT")</f>
        <v/>
      </c>
      <c r="K1817" s="2">
        <f>I1817*J1817</f>
        <v/>
      </c>
      <c r="L1817" t="inlineStr">
        <is>
          <t>Cầu chì kiểm định PCCC</t>
        </is>
      </c>
    </row>
    <row r="1818">
      <c r="A1818" t="inlineStr">
        <is>
          <t>SW-DAMPER-433-BODY</t>
        </is>
      </c>
      <c r="B1818" t="inlineStr">
        <is>
          <t>SW-DAMPER-433</t>
        </is>
      </c>
      <c r="C1818" t="inlineStr">
        <is>
          <t>Thân vỏ van FD bích TDF (0.75mm)</t>
        </is>
      </c>
      <c r="D1818" t="inlineStr">
        <is>
          <t>TÔN_CUỘN_MẠ_KẼM</t>
        </is>
      </c>
      <c r="E1818" t="inlineStr">
        <is>
          <t>MAT-STEEL-PN-0.75</t>
        </is>
      </c>
      <c r="F1818" t="inlineStr">
        <is>
          <t>kg</t>
        </is>
      </c>
      <c r="G1818" s="4" t="n">
        <v>3.046428</v>
      </c>
      <c r="H1818" s="2">
        <f>XLOOKUP(B1818, '00_TONG_HOP_BAO_GIA'!B:B, '00_TONG_HOP_BAO_GIA'!G:G, 1)</f>
        <v/>
      </c>
      <c r="I1818" s="5">
        <f>G1818*H1818</f>
        <v/>
      </c>
      <c r="J1818" s="2">
        <f>XLOOKUP(E1818, '06_BANG_GIA_VAT_TU_AP_DUNG'!B:B, '06_BANG_GIA_VAT_TU_AP_DUNG'!C:C, "LỖI_MÃ_VT")</f>
        <v/>
      </c>
      <c r="K1818" s="2">
        <f>I1818*J1818</f>
        <v/>
      </c>
      <c r="L1818" t="inlineStr">
        <is>
          <t>Kích thước vỏ 500.0x250.0x250mm</t>
        </is>
      </c>
    </row>
    <row r="1819">
      <c r="A1819" t="inlineStr">
        <is>
          <t>SW-DAMPER-433-BLADE</t>
        </is>
      </c>
      <c r="B1819" t="inlineStr">
        <is>
          <t>SW-DAMPER-433</t>
        </is>
      </c>
      <c r="C1819" t="inlineStr">
        <is>
          <t>Lá cánh van (2 cánh overlap)</t>
        </is>
      </c>
      <c r="D1819" t="inlineStr">
        <is>
          <t>TÔN_CUỘN_MẠ_KẼM</t>
        </is>
      </c>
      <c r="E1819" t="inlineStr">
        <is>
          <t>MAT-STEEL-PN-0.75</t>
        </is>
      </c>
      <c r="F1819" t="inlineStr">
        <is>
          <t>kg</t>
        </is>
      </c>
      <c r="G1819" s="4" t="n">
        <v>0.9219824999999998</v>
      </c>
      <c r="H1819" s="2">
        <f>XLOOKUP(B1819, '00_TONG_HOP_BAO_GIA'!B:B, '00_TONG_HOP_BAO_GIA'!G:G, 1)</f>
        <v/>
      </c>
      <c r="I1819" s="5">
        <f>G1819*H1819</f>
        <v/>
      </c>
      <c r="J1819" s="2">
        <f>XLOOKUP(E1819, '06_BANG_GIA_VAT_TU_AP_DUNG'!B:B, '06_BANG_GIA_VAT_TU_AP_DUNG'!C:C, "LỖI_MÃ_VT")</f>
        <v/>
      </c>
      <c r="K1819" s="2">
        <f>I1819*J1819</f>
        <v/>
      </c>
      <c r="L1819" t="inlineStr">
        <is>
          <t>2 cánh cao 145mm</t>
        </is>
      </c>
    </row>
    <row r="1820">
      <c r="A1820" t="inlineStr">
        <is>
          <t>SW-DAMPER-433-AXLE</t>
        </is>
      </c>
      <c r="B1820" t="inlineStr">
        <is>
          <t>SW-DAMPER-433</t>
        </is>
      </c>
      <c r="C1820" t="inlineStr">
        <is>
          <t>Trục Sus 201 D10</t>
        </is>
      </c>
      <c r="D1820" t="inlineStr">
        <is>
          <t>PHỤ_KIỆN_VAN</t>
        </is>
      </c>
      <c r="E1820" t="inlineStr">
        <is>
          <t>MAT-DAMPER-TRUC-SUS-201-D10</t>
        </is>
      </c>
      <c r="F1820" t="inlineStr">
        <is>
          <t>m</t>
        </is>
      </c>
      <c r="G1820" s="4" t="n">
        <v>1.12</v>
      </c>
      <c r="H1820" s="2">
        <f>XLOOKUP(B1820, '00_TONG_HOP_BAO_GIA'!B:B, '00_TONG_HOP_BAO_GIA'!G:G, 1)</f>
        <v/>
      </c>
      <c r="I1820" s="5">
        <f>G1820*H1820</f>
        <v/>
      </c>
      <c r="J1820" s="2">
        <f>XLOOKUP(E1820, '06_BANG_GIA_VAT_TU_AP_DUNG'!B:B, '06_BANG_GIA_VAT_TU_AP_DUNG'!C:C, "LỖI_MÃ_VT")</f>
        <v/>
      </c>
      <c r="K1820" s="2">
        <f>I1820*J1820</f>
        <v/>
      </c>
      <c r="L1820" t="inlineStr">
        <is>
          <t>2 trục dài 560mm</t>
        </is>
      </c>
    </row>
    <row r="1821">
      <c r="A1821" t="inlineStr">
        <is>
          <t>SW-DAMPER-433-BEARING</t>
        </is>
      </c>
      <c r="B1821" t="inlineStr">
        <is>
          <t>SW-DAMPER-433</t>
        </is>
      </c>
      <c r="C1821" t="inlineStr">
        <is>
          <t>Bạc đồng D10</t>
        </is>
      </c>
      <c r="D1821" t="inlineStr">
        <is>
          <t>PHỤ_KIỆN_VAN</t>
        </is>
      </c>
      <c r="E1821" t="inlineStr">
        <is>
          <t>MAT-DAMPER-BAC-DONG-D10</t>
        </is>
      </c>
      <c r="F1821" t="inlineStr">
        <is>
          <t>Đôi</t>
        </is>
      </c>
      <c r="G1821" s="4" t="n">
        <v>2</v>
      </c>
      <c r="H1821" s="2">
        <f>XLOOKUP(B1821, '00_TONG_HOP_BAO_GIA'!B:B, '00_TONG_HOP_BAO_GIA'!G:G, 1)</f>
        <v/>
      </c>
      <c r="I1821" s="5">
        <f>G1821*H1821</f>
        <v/>
      </c>
      <c r="J1821" s="2">
        <f>XLOOKUP(E1821, '06_BANG_GIA_VAT_TU_AP_DUNG'!B:B, '06_BANG_GIA_VAT_TU_AP_DUNG'!C:C, "LỖI_MÃ_VT")</f>
        <v/>
      </c>
      <c r="K1821" s="2">
        <f>I1821*J1821</f>
        <v/>
      </c>
      <c r="L1821" t="inlineStr">
        <is>
          <t>2 đôi bạc đỡ 2 bên thân</t>
        </is>
      </c>
    </row>
    <row r="1822">
      <c r="A1822" t="inlineStr">
        <is>
          <t>SW-DAMPER-433-GEAR</t>
        </is>
      </c>
      <c r="B1822" t="inlineStr">
        <is>
          <t>SW-DAMPER-433</t>
        </is>
      </c>
      <c r="C1822" t="inlineStr">
        <is>
          <t>Bánh răng van nhôm</t>
        </is>
      </c>
      <c r="D1822" t="inlineStr">
        <is>
          <t>PHỤ_KIỆN_VAN</t>
        </is>
      </c>
      <c r="E1822" t="inlineStr">
        <is>
          <t>MAT-DAMPER-BANH-RANG-VAN-NHOM</t>
        </is>
      </c>
      <c r="F1822" t="inlineStr">
        <is>
          <t>Bộ</t>
        </is>
      </c>
      <c r="G1822" s="4" t="n">
        <v>1</v>
      </c>
      <c r="H1822" s="2">
        <f>XLOOKUP(B1822, '00_TONG_HOP_BAO_GIA'!B:B, '00_TONG_HOP_BAO_GIA'!G:G, 1)</f>
        <v/>
      </c>
      <c r="I1822" s="5">
        <f>G1822*H1822</f>
        <v/>
      </c>
      <c r="J1822" s="2">
        <f>XLOOKUP(E1822, '06_BANG_GIA_VAT_TU_AP_DUNG'!B:B, '06_BANG_GIA_VAT_TU_AP_DUNG'!C:C, "LỖI_MÃ_VT")</f>
        <v/>
      </c>
      <c r="K1822" s="2">
        <f>I1822*J1822</f>
        <v/>
      </c>
      <c r="L1822" t="inlineStr">
        <is>
          <t>Cơ cấu liên động bánh răng van</t>
        </is>
      </c>
    </row>
    <row r="1823">
      <c r="A1823" t="inlineStr">
        <is>
          <t>SW-DAMPER-433-FUSE</t>
        </is>
      </c>
      <c r="B1823" t="inlineStr">
        <is>
          <t>SW-DAMPER-433</t>
        </is>
      </c>
      <c r="C1823" t="inlineStr">
        <is>
          <t>Cầu chì nhiệt nóng chảy 70°C (Elsie/USA)</t>
        </is>
      </c>
      <c r="D1823" t="inlineStr">
        <is>
          <t>PHỤ_KIỆN_VAN</t>
        </is>
      </c>
      <c r="E1823" t="inlineStr">
        <is>
          <t>MAT-DAMPER-CAU-CHI-USA-2-400X400</t>
        </is>
      </c>
      <c r="F1823" t="inlineStr">
        <is>
          <t>Cái</t>
        </is>
      </c>
      <c r="G1823" s="4" t="n">
        <v>1</v>
      </c>
      <c r="H1823" s="2">
        <f>XLOOKUP(B1823, '00_TONG_HOP_BAO_GIA'!B:B, '00_TONG_HOP_BAO_GIA'!G:G, 1)</f>
        <v/>
      </c>
      <c r="I1823" s="5">
        <f>G1823*H1823</f>
        <v/>
      </c>
      <c r="J1823" s="2">
        <f>XLOOKUP(E1823, '06_BANG_GIA_VAT_TU_AP_DUNG'!B:B, '06_BANG_GIA_VAT_TU_AP_DUNG'!C:C, "LỖI_MÃ_VT")</f>
        <v/>
      </c>
      <c r="K1823" s="2">
        <f>I1823*J1823</f>
        <v/>
      </c>
      <c r="L1823" t="inlineStr">
        <is>
          <t>Cầu chì kiểm định PCCC</t>
        </is>
      </c>
    </row>
    <row r="1824">
      <c r="A1824" t="inlineStr">
        <is>
          <t>SW-DAMPER-434-BODY</t>
        </is>
      </c>
      <c r="B1824" t="inlineStr">
        <is>
          <t>SW-DAMPER-434</t>
        </is>
      </c>
      <c r="C1824" t="inlineStr">
        <is>
          <t>Thân vỏ van FD bích TDF (0.75mm)</t>
        </is>
      </c>
      <c r="D1824" t="inlineStr">
        <is>
          <t>TÔN_CUỘN_MẠ_KẼM</t>
        </is>
      </c>
      <c r="E1824" t="inlineStr">
        <is>
          <t>MAT-STEEL-PN-0.75</t>
        </is>
      </c>
      <c r="F1824" t="inlineStr">
        <is>
          <t>kg</t>
        </is>
      </c>
      <c r="G1824" s="4" t="n">
        <v>3.244247999999999</v>
      </c>
      <c r="H1824" s="2">
        <f>XLOOKUP(B1824, '00_TONG_HOP_BAO_GIA'!B:B, '00_TONG_HOP_BAO_GIA'!G:G, 1)</f>
        <v/>
      </c>
      <c r="I1824" s="5">
        <f>G1824*H1824</f>
        <v/>
      </c>
      <c r="J1824" s="2">
        <f>XLOOKUP(E1824, '06_BANG_GIA_VAT_TU_AP_DUNG'!B:B, '06_BANG_GIA_VAT_TU_AP_DUNG'!C:C, "LỖI_MÃ_VT")</f>
        <v/>
      </c>
      <c r="K1824" s="2">
        <f>I1824*J1824</f>
        <v/>
      </c>
      <c r="L1824" t="inlineStr">
        <is>
          <t>Kích thước vỏ 500.0x300.0x250mm</t>
        </is>
      </c>
    </row>
    <row r="1825">
      <c r="A1825" t="inlineStr">
        <is>
          <t>SW-DAMPER-434-BLADE</t>
        </is>
      </c>
      <c r="B1825" t="inlineStr">
        <is>
          <t>SW-DAMPER-434</t>
        </is>
      </c>
      <c r="C1825" t="inlineStr">
        <is>
          <t>Lá cánh van (2 cánh overlap)</t>
        </is>
      </c>
      <c r="D1825" t="inlineStr">
        <is>
          <t>TÔN_CUỘN_MẠ_KẼM</t>
        </is>
      </c>
      <c r="E1825" t="inlineStr">
        <is>
          <t>MAT-STEEL-PN-0.75</t>
        </is>
      </c>
      <c r="F1825" t="inlineStr">
        <is>
          <t>kg</t>
        </is>
      </c>
      <c r="G1825" s="4" t="n">
        <v>1.080945</v>
      </c>
      <c r="H1825" s="2">
        <f>XLOOKUP(B1825, '00_TONG_HOP_BAO_GIA'!B:B, '00_TONG_HOP_BAO_GIA'!G:G, 1)</f>
        <v/>
      </c>
      <c r="I1825" s="5">
        <f>G1825*H1825</f>
        <v/>
      </c>
      <c r="J1825" s="2">
        <f>XLOOKUP(E1825, '06_BANG_GIA_VAT_TU_AP_DUNG'!B:B, '06_BANG_GIA_VAT_TU_AP_DUNG'!C:C, "LỖI_MÃ_VT")</f>
        <v/>
      </c>
      <c r="K1825" s="2">
        <f>I1825*J1825</f>
        <v/>
      </c>
      <c r="L1825" t="inlineStr">
        <is>
          <t>2 cánh cao 170mm</t>
        </is>
      </c>
    </row>
    <row r="1826">
      <c r="A1826" t="inlineStr">
        <is>
          <t>SW-DAMPER-434-AXLE</t>
        </is>
      </c>
      <c r="B1826" t="inlineStr">
        <is>
          <t>SW-DAMPER-434</t>
        </is>
      </c>
      <c r="C1826" t="inlineStr">
        <is>
          <t>Trục Sus 201 D10</t>
        </is>
      </c>
      <c r="D1826" t="inlineStr">
        <is>
          <t>PHỤ_KIỆN_VAN</t>
        </is>
      </c>
      <c r="E1826" t="inlineStr">
        <is>
          <t>MAT-DAMPER-TRUC-SUS-201-D10</t>
        </is>
      </c>
      <c r="F1826" t="inlineStr">
        <is>
          <t>m</t>
        </is>
      </c>
      <c r="G1826" s="4" t="n">
        <v>1.12</v>
      </c>
      <c r="H1826" s="2">
        <f>XLOOKUP(B1826, '00_TONG_HOP_BAO_GIA'!B:B, '00_TONG_HOP_BAO_GIA'!G:G, 1)</f>
        <v/>
      </c>
      <c r="I1826" s="5">
        <f>G1826*H1826</f>
        <v/>
      </c>
      <c r="J1826" s="2">
        <f>XLOOKUP(E1826, '06_BANG_GIA_VAT_TU_AP_DUNG'!B:B, '06_BANG_GIA_VAT_TU_AP_DUNG'!C:C, "LỖI_MÃ_VT")</f>
        <v/>
      </c>
      <c r="K1826" s="2">
        <f>I1826*J1826</f>
        <v/>
      </c>
      <c r="L1826" t="inlineStr">
        <is>
          <t>2 trục dài 560mm</t>
        </is>
      </c>
    </row>
    <row r="1827">
      <c r="A1827" t="inlineStr">
        <is>
          <t>SW-DAMPER-434-BEARING</t>
        </is>
      </c>
      <c r="B1827" t="inlineStr">
        <is>
          <t>SW-DAMPER-434</t>
        </is>
      </c>
      <c r="C1827" t="inlineStr">
        <is>
          <t>Bạc đồng D10</t>
        </is>
      </c>
      <c r="D1827" t="inlineStr">
        <is>
          <t>PHỤ_KIỆN_VAN</t>
        </is>
      </c>
      <c r="E1827" t="inlineStr">
        <is>
          <t>MAT-DAMPER-BAC-DONG-D10</t>
        </is>
      </c>
      <c r="F1827" t="inlineStr">
        <is>
          <t>Đôi</t>
        </is>
      </c>
      <c r="G1827" s="4" t="n">
        <v>2</v>
      </c>
      <c r="H1827" s="2">
        <f>XLOOKUP(B1827, '00_TONG_HOP_BAO_GIA'!B:B, '00_TONG_HOP_BAO_GIA'!G:G, 1)</f>
        <v/>
      </c>
      <c r="I1827" s="5">
        <f>G1827*H1827</f>
        <v/>
      </c>
      <c r="J1827" s="2">
        <f>XLOOKUP(E1827, '06_BANG_GIA_VAT_TU_AP_DUNG'!B:B, '06_BANG_GIA_VAT_TU_AP_DUNG'!C:C, "LỖI_MÃ_VT")</f>
        <v/>
      </c>
      <c r="K1827" s="2">
        <f>I1827*J1827</f>
        <v/>
      </c>
      <c r="L1827" t="inlineStr">
        <is>
          <t>2 đôi bạc đỡ 2 bên thân</t>
        </is>
      </c>
    </row>
    <row r="1828">
      <c r="A1828" t="inlineStr">
        <is>
          <t>SW-DAMPER-434-GEAR</t>
        </is>
      </c>
      <c r="B1828" t="inlineStr">
        <is>
          <t>SW-DAMPER-434</t>
        </is>
      </c>
      <c r="C1828" t="inlineStr">
        <is>
          <t>Bánh răng van nhôm</t>
        </is>
      </c>
      <c r="D1828" t="inlineStr">
        <is>
          <t>PHỤ_KIỆN_VAN</t>
        </is>
      </c>
      <c r="E1828" t="inlineStr">
        <is>
          <t>MAT-DAMPER-BANH-RANG-VAN-NHOM</t>
        </is>
      </c>
      <c r="F1828" t="inlineStr">
        <is>
          <t>Bộ</t>
        </is>
      </c>
      <c r="G1828" s="4" t="n">
        <v>1</v>
      </c>
      <c r="H1828" s="2">
        <f>XLOOKUP(B1828, '00_TONG_HOP_BAO_GIA'!B:B, '00_TONG_HOP_BAO_GIA'!G:G, 1)</f>
        <v/>
      </c>
      <c r="I1828" s="5">
        <f>G1828*H1828</f>
        <v/>
      </c>
      <c r="J1828" s="2">
        <f>XLOOKUP(E1828, '06_BANG_GIA_VAT_TU_AP_DUNG'!B:B, '06_BANG_GIA_VAT_TU_AP_DUNG'!C:C, "LỖI_MÃ_VT")</f>
        <v/>
      </c>
      <c r="K1828" s="2">
        <f>I1828*J1828</f>
        <v/>
      </c>
      <c r="L1828" t="inlineStr">
        <is>
          <t>Cơ cấu liên động bánh răng van</t>
        </is>
      </c>
    </row>
    <row r="1829">
      <c r="A1829" t="inlineStr">
        <is>
          <t>SW-DAMPER-434-FUSE</t>
        </is>
      </c>
      <c r="B1829" t="inlineStr">
        <is>
          <t>SW-DAMPER-434</t>
        </is>
      </c>
      <c r="C1829" t="inlineStr">
        <is>
          <t>Cầu chì nhiệt nóng chảy 70°C (Elsie/USA)</t>
        </is>
      </c>
      <c r="D1829" t="inlineStr">
        <is>
          <t>PHỤ_KIỆN_VAN</t>
        </is>
      </c>
      <c r="E1829" t="inlineStr">
        <is>
          <t>MAT-DAMPER-CAU-CHI-USA-2-400X400</t>
        </is>
      </c>
      <c r="F1829" t="inlineStr">
        <is>
          <t>Cái</t>
        </is>
      </c>
      <c r="G1829" s="4" t="n">
        <v>1</v>
      </c>
      <c r="H1829" s="2">
        <f>XLOOKUP(B1829, '00_TONG_HOP_BAO_GIA'!B:B, '00_TONG_HOP_BAO_GIA'!G:G, 1)</f>
        <v/>
      </c>
      <c r="I1829" s="5">
        <f>G1829*H1829</f>
        <v/>
      </c>
      <c r="J1829" s="2">
        <f>XLOOKUP(E1829, '06_BANG_GIA_VAT_TU_AP_DUNG'!B:B, '06_BANG_GIA_VAT_TU_AP_DUNG'!C:C, "LỖI_MÃ_VT")</f>
        <v/>
      </c>
      <c r="K1829" s="2">
        <f>I1829*J1829</f>
        <v/>
      </c>
      <c r="L1829" t="inlineStr">
        <is>
          <t>Cầu chì kiểm định PCCC</t>
        </is>
      </c>
    </row>
    <row r="1830">
      <c r="A1830" t="inlineStr">
        <is>
          <t>SW-DAMPER-435-BODY</t>
        </is>
      </c>
      <c r="B1830" t="inlineStr">
        <is>
          <t>SW-DAMPER-435</t>
        </is>
      </c>
      <c r="C1830" t="inlineStr">
        <is>
          <t>Thân vỏ van FD bích TDF (0.75mm)</t>
        </is>
      </c>
      <c r="D1830" t="inlineStr">
        <is>
          <t>TÔN_CUỘN_MẠ_KẼM</t>
        </is>
      </c>
      <c r="E1830" t="inlineStr">
        <is>
          <t>MAT-STEEL-PN-0.75</t>
        </is>
      </c>
      <c r="F1830" t="inlineStr">
        <is>
          <t>kg</t>
        </is>
      </c>
      <c r="G1830" s="4" t="n">
        <v>3.442067999999999</v>
      </c>
      <c r="H1830" s="2">
        <f>XLOOKUP(B1830, '00_TONG_HOP_BAO_GIA'!B:B, '00_TONG_HOP_BAO_GIA'!G:G, 1)</f>
        <v/>
      </c>
      <c r="I1830" s="5">
        <f>G1830*H1830</f>
        <v/>
      </c>
      <c r="J1830" s="2">
        <f>XLOOKUP(E1830, '06_BANG_GIA_VAT_TU_AP_DUNG'!B:B, '06_BANG_GIA_VAT_TU_AP_DUNG'!C:C, "LỖI_MÃ_VT")</f>
        <v/>
      </c>
      <c r="K1830" s="2">
        <f>I1830*J1830</f>
        <v/>
      </c>
      <c r="L1830" t="inlineStr">
        <is>
          <t>Kích thước vỏ 500.0x350.0x250mm</t>
        </is>
      </c>
    </row>
    <row r="1831">
      <c r="A1831" t="inlineStr">
        <is>
          <t>SW-DAMPER-435-BLADE</t>
        </is>
      </c>
      <c r="B1831" t="inlineStr">
        <is>
          <t>SW-DAMPER-435</t>
        </is>
      </c>
      <c r="C1831" t="inlineStr">
        <is>
          <t>Lá cánh van (2 cánh overlap)</t>
        </is>
      </c>
      <c r="D1831" t="inlineStr">
        <is>
          <t>TÔN_CUỘN_MẠ_KẼM</t>
        </is>
      </c>
      <c r="E1831" t="inlineStr">
        <is>
          <t>MAT-STEEL-PN-0.75</t>
        </is>
      </c>
      <c r="F1831" t="inlineStr">
        <is>
          <t>kg</t>
        </is>
      </c>
      <c r="G1831" s="4" t="n">
        <v>1.2399075</v>
      </c>
      <c r="H1831" s="2">
        <f>XLOOKUP(B1831, '00_TONG_HOP_BAO_GIA'!B:B, '00_TONG_HOP_BAO_GIA'!G:G, 1)</f>
        <v/>
      </c>
      <c r="I1831" s="5">
        <f>G1831*H1831</f>
        <v/>
      </c>
      <c r="J1831" s="2">
        <f>XLOOKUP(E1831, '06_BANG_GIA_VAT_TU_AP_DUNG'!B:B, '06_BANG_GIA_VAT_TU_AP_DUNG'!C:C, "LỖI_MÃ_VT")</f>
        <v/>
      </c>
      <c r="K1831" s="2">
        <f>I1831*J1831</f>
        <v/>
      </c>
      <c r="L1831" t="inlineStr">
        <is>
          <t>2 cánh cao 195mm</t>
        </is>
      </c>
    </row>
    <row r="1832">
      <c r="A1832" t="inlineStr">
        <is>
          <t>SW-DAMPER-435-AXLE</t>
        </is>
      </c>
      <c r="B1832" t="inlineStr">
        <is>
          <t>SW-DAMPER-435</t>
        </is>
      </c>
      <c r="C1832" t="inlineStr">
        <is>
          <t>Trục Sus 201 D10</t>
        </is>
      </c>
      <c r="D1832" t="inlineStr">
        <is>
          <t>PHỤ_KIỆN_VAN</t>
        </is>
      </c>
      <c r="E1832" t="inlineStr">
        <is>
          <t>MAT-DAMPER-TRUC-SUS-201-D10</t>
        </is>
      </c>
      <c r="F1832" t="inlineStr">
        <is>
          <t>m</t>
        </is>
      </c>
      <c r="G1832" s="4" t="n">
        <v>1.12</v>
      </c>
      <c r="H1832" s="2">
        <f>XLOOKUP(B1832, '00_TONG_HOP_BAO_GIA'!B:B, '00_TONG_HOP_BAO_GIA'!G:G, 1)</f>
        <v/>
      </c>
      <c r="I1832" s="5">
        <f>G1832*H1832</f>
        <v/>
      </c>
      <c r="J1832" s="2">
        <f>XLOOKUP(E1832, '06_BANG_GIA_VAT_TU_AP_DUNG'!B:B, '06_BANG_GIA_VAT_TU_AP_DUNG'!C:C, "LỖI_MÃ_VT")</f>
        <v/>
      </c>
      <c r="K1832" s="2">
        <f>I1832*J1832</f>
        <v/>
      </c>
      <c r="L1832" t="inlineStr">
        <is>
          <t>2 trục dài 560mm</t>
        </is>
      </c>
    </row>
    <row r="1833">
      <c r="A1833" t="inlineStr">
        <is>
          <t>SW-DAMPER-435-BEARING</t>
        </is>
      </c>
      <c r="B1833" t="inlineStr">
        <is>
          <t>SW-DAMPER-435</t>
        </is>
      </c>
      <c r="C1833" t="inlineStr">
        <is>
          <t>Bạc đồng D10</t>
        </is>
      </c>
      <c r="D1833" t="inlineStr">
        <is>
          <t>PHỤ_KIỆN_VAN</t>
        </is>
      </c>
      <c r="E1833" t="inlineStr">
        <is>
          <t>MAT-DAMPER-BAC-DONG-D10</t>
        </is>
      </c>
      <c r="F1833" t="inlineStr">
        <is>
          <t>Đôi</t>
        </is>
      </c>
      <c r="G1833" s="4" t="n">
        <v>2</v>
      </c>
      <c r="H1833" s="2">
        <f>XLOOKUP(B1833, '00_TONG_HOP_BAO_GIA'!B:B, '00_TONG_HOP_BAO_GIA'!G:G, 1)</f>
        <v/>
      </c>
      <c r="I1833" s="5">
        <f>G1833*H1833</f>
        <v/>
      </c>
      <c r="J1833" s="2">
        <f>XLOOKUP(E1833, '06_BANG_GIA_VAT_TU_AP_DUNG'!B:B, '06_BANG_GIA_VAT_TU_AP_DUNG'!C:C, "LỖI_MÃ_VT")</f>
        <v/>
      </c>
      <c r="K1833" s="2">
        <f>I1833*J1833</f>
        <v/>
      </c>
      <c r="L1833" t="inlineStr">
        <is>
          <t>2 đôi bạc đỡ 2 bên thân</t>
        </is>
      </c>
    </row>
    <row r="1834">
      <c r="A1834" t="inlineStr">
        <is>
          <t>SW-DAMPER-435-GEAR</t>
        </is>
      </c>
      <c r="B1834" t="inlineStr">
        <is>
          <t>SW-DAMPER-435</t>
        </is>
      </c>
      <c r="C1834" t="inlineStr">
        <is>
          <t>Bánh răng van nhôm</t>
        </is>
      </c>
      <c r="D1834" t="inlineStr">
        <is>
          <t>PHỤ_KIỆN_VAN</t>
        </is>
      </c>
      <c r="E1834" t="inlineStr">
        <is>
          <t>MAT-DAMPER-BANH-RANG-VAN-NHOM</t>
        </is>
      </c>
      <c r="F1834" t="inlineStr">
        <is>
          <t>Bộ</t>
        </is>
      </c>
      <c r="G1834" s="4" t="n">
        <v>1</v>
      </c>
      <c r="H1834" s="2">
        <f>XLOOKUP(B1834, '00_TONG_HOP_BAO_GIA'!B:B, '00_TONG_HOP_BAO_GIA'!G:G, 1)</f>
        <v/>
      </c>
      <c r="I1834" s="5">
        <f>G1834*H1834</f>
        <v/>
      </c>
      <c r="J1834" s="2">
        <f>XLOOKUP(E1834, '06_BANG_GIA_VAT_TU_AP_DUNG'!B:B, '06_BANG_GIA_VAT_TU_AP_DUNG'!C:C, "LỖI_MÃ_VT")</f>
        <v/>
      </c>
      <c r="K1834" s="2">
        <f>I1834*J1834</f>
        <v/>
      </c>
      <c r="L1834" t="inlineStr">
        <is>
          <t>Cơ cấu liên động bánh răng van</t>
        </is>
      </c>
    </row>
    <row r="1835">
      <c r="A1835" t="inlineStr">
        <is>
          <t>SW-DAMPER-435-FUSE</t>
        </is>
      </c>
      <c r="B1835" t="inlineStr">
        <is>
          <t>SW-DAMPER-435</t>
        </is>
      </c>
      <c r="C1835" t="inlineStr">
        <is>
          <t>Cầu chì nhiệt nóng chảy 70°C (Elsie/USA)</t>
        </is>
      </c>
      <c r="D1835" t="inlineStr">
        <is>
          <t>PHỤ_KIỆN_VAN</t>
        </is>
      </c>
      <c r="E1835" t="inlineStr">
        <is>
          <t>MAT-DAMPER-CAU-CHI-USA-2-400X400</t>
        </is>
      </c>
      <c r="F1835" t="inlineStr">
        <is>
          <t>Cái</t>
        </is>
      </c>
      <c r="G1835" s="4" t="n">
        <v>1</v>
      </c>
      <c r="H1835" s="2">
        <f>XLOOKUP(B1835, '00_TONG_HOP_BAO_GIA'!B:B, '00_TONG_HOP_BAO_GIA'!G:G, 1)</f>
        <v/>
      </c>
      <c r="I1835" s="5">
        <f>G1835*H1835</f>
        <v/>
      </c>
      <c r="J1835" s="2">
        <f>XLOOKUP(E1835, '06_BANG_GIA_VAT_TU_AP_DUNG'!B:B, '06_BANG_GIA_VAT_TU_AP_DUNG'!C:C, "LỖI_MÃ_VT")</f>
        <v/>
      </c>
      <c r="K1835" s="2">
        <f>I1835*J1835</f>
        <v/>
      </c>
      <c r="L1835" t="inlineStr">
        <is>
          <t>Cầu chì kiểm định PCCC</t>
        </is>
      </c>
    </row>
    <row r="1836">
      <c r="A1836" t="inlineStr">
        <is>
          <t>SW-DAMPER-436-BODY</t>
        </is>
      </c>
      <c r="B1836" t="inlineStr">
        <is>
          <t>SW-DAMPER-436</t>
        </is>
      </c>
      <c r="C1836" t="inlineStr">
        <is>
          <t>Thân vỏ van FD bích TDF (0.75mm)</t>
        </is>
      </c>
      <c r="D1836" t="inlineStr">
        <is>
          <t>TÔN_CUỘN_MẠ_KẼM</t>
        </is>
      </c>
      <c r="E1836" t="inlineStr">
        <is>
          <t>MAT-STEEL-PN-0.75</t>
        </is>
      </c>
      <c r="F1836" t="inlineStr">
        <is>
          <t>kg</t>
        </is>
      </c>
      <c r="G1836" s="4" t="n">
        <v>3.244247999999999</v>
      </c>
      <c r="H1836" s="2">
        <f>XLOOKUP(B1836, '00_TONG_HOP_BAO_GIA'!B:B, '00_TONG_HOP_BAO_GIA'!G:G, 1)</f>
        <v/>
      </c>
      <c r="I1836" s="5">
        <f>G1836*H1836</f>
        <v/>
      </c>
      <c r="J1836" s="2">
        <f>XLOOKUP(E1836, '06_BANG_GIA_VAT_TU_AP_DUNG'!B:B, '06_BANG_GIA_VAT_TU_AP_DUNG'!C:C, "LỖI_MÃ_VT")</f>
        <v/>
      </c>
      <c r="K1836" s="2">
        <f>I1836*J1836</f>
        <v/>
      </c>
      <c r="L1836" t="inlineStr">
        <is>
          <t>Kích thước vỏ 550.0x250.0x250mm</t>
        </is>
      </c>
    </row>
    <row r="1837">
      <c r="A1837" t="inlineStr">
        <is>
          <t>SW-DAMPER-436-BLADE</t>
        </is>
      </c>
      <c r="B1837" t="inlineStr">
        <is>
          <t>SW-DAMPER-436</t>
        </is>
      </c>
      <c r="C1837" t="inlineStr">
        <is>
          <t>Lá cánh van (2 cánh overlap)</t>
        </is>
      </c>
      <c r="D1837" t="inlineStr">
        <is>
          <t>TÔN_CUỘN_MẠ_KẼM</t>
        </is>
      </c>
      <c r="E1837" t="inlineStr">
        <is>
          <t>MAT-STEEL-PN-0.75</t>
        </is>
      </c>
      <c r="F1837" t="inlineStr">
        <is>
          <t>kg</t>
        </is>
      </c>
      <c r="G1837" s="4" t="n">
        <v>1.01418075</v>
      </c>
      <c r="H1837" s="2">
        <f>XLOOKUP(B1837, '00_TONG_HOP_BAO_GIA'!B:B, '00_TONG_HOP_BAO_GIA'!G:G, 1)</f>
        <v/>
      </c>
      <c r="I1837" s="5">
        <f>G1837*H1837</f>
        <v/>
      </c>
      <c r="J1837" s="2">
        <f>XLOOKUP(E1837, '06_BANG_GIA_VAT_TU_AP_DUNG'!B:B, '06_BANG_GIA_VAT_TU_AP_DUNG'!C:C, "LỖI_MÃ_VT")</f>
        <v/>
      </c>
      <c r="K1837" s="2">
        <f>I1837*J1837</f>
        <v/>
      </c>
      <c r="L1837" t="inlineStr">
        <is>
          <t>2 cánh cao 145mm</t>
        </is>
      </c>
    </row>
    <row r="1838">
      <c r="A1838" t="inlineStr">
        <is>
          <t>SW-DAMPER-436-AXLE</t>
        </is>
      </c>
      <c r="B1838" t="inlineStr">
        <is>
          <t>SW-DAMPER-436</t>
        </is>
      </c>
      <c r="C1838" t="inlineStr">
        <is>
          <t>Trục Sus 201 D10</t>
        </is>
      </c>
      <c r="D1838" t="inlineStr">
        <is>
          <t>PHỤ_KIỆN_VAN</t>
        </is>
      </c>
      <c r="E1838" t="inlineStr">
        <is>
          <t>MAT-DAMPER-TRUC-SUS-201-D10</t>
        </is>
      </c>
      <c r="F1838" t="inlineStr">
        <is>
          <t>m</t>
        </is>
      </c>
      <c r="G1838" s="4" t="n">
        <v>1.22</v>
      </c>
      <c r="H1838" s="2">
        <f>XLOOKUP(B1838, '00_TONG_HOP_BAO_GIA'!B:B, '00_TONG_HOP_BAO_GIA'!G:G, 1)</f>
        <v/>
      </c>
      <c r="I1838" s="5">
        <f>G1838*H1838</f>
        <v/>
      </c>
      <c r="J1838" s="2">
        <f>XLOOKUP(E1838, '06_BANG_GIA_VAT_TU_AP_DUNG'!B:B, '06_BANG_GIA_VAT_TU_AP_DUNG'!C:C, "LỖI_MÃ_VT")</f>
        <v/>
      </c>
      <c r="K1838" s="2">
        <f>I1838*J1838</f>
        <v/>
      </c>
      <c r="L1838" t="inlineStr">
        <is>
          <t>2 trục dài 610mm</t>
        </is>
      </c>
    </row>
    <row r="1839">
      <c r="A1839" t="inlineStr">
        <is>
          <t>SW-DAMPER-436-BEARING</t>
        </is>
      </c>
      <c r="B1839" t="inlineStr">
        <is>
          <t>SW-DAMPER-436</t>
        </is>
      </c>
      <c r="C1839" t="inlineStr">
        <is>
          <t>Bạc đồng D10</t>
        </is>
      </c>
      <c r="D1839" t="inlineStr">
        <is>
          <t>PHỤ_KIỆN_VAN</t>
        </is>
      </c>
      <c r="E1839" t="inlineStr">
        <is>
          <t>MAT-DAMPER-BAC-DONG-D10</t>
        </is>
      </c>
      <c r="F1839" t="inlineStr">
        <is>
          <t>Đôi</t>
        </is>
      </c>
      <c r="G1839" s="4" t="n">
        <v>2</v>
      </c>
      <c r="H1839" s="2">
        <f>XLOOKUP(B1839, '00_TONG_HOP_BAO_GIA'!B:B, '00_TONG_HOP_BAO_GIA'!G:G, 1)</f>
        <v/>
      </c>
      <c r="I1839" s="5">
        <f>G1839*H1839</f>
        <v/>
      </c>
      <c r="J1839" s="2">
        <f>XLOOKUP(E1839, '06_BANG_GIA_VAT_TU_AP_DUNG'!B:B, '06_BANG_GIA_VAT_TU_AP_DUNG'!C:C, "LỖI_MÃ_VT")</f>
        <v/>
      </c>
      <c r="K1839" s="2">
        <f>I1839*J1839</f>
        <v/>
      </c>
      <c r="L1839" t="inlineStr">
        <is>
          <t>2 đôi bạc đỡ 2 bên thân</t>
        </is>
      </c>
    </row>
    <row r="1840">
      <c r="A1840" t="inlineStr">
        <is>
          <t>SW-DAMPER-436-GEAR</t>
        </is>
      </c>
      <c r="B1840" t="inlineStr">
        <is>
          <t>SW-DAMPER-436</t>
        </is>
      </c>
      <c r="C1840" t="inlineStr">
        <is>
          <t>Bánh răng van nhôm</t>
        </is>
      </c>
      <c r="D1840" t="inlineStr">
        <is>
          <t>PHỤ_KIỆN_VAN</t>
        </is>
      </c>
      <c r="E1840" t="inlineStr">
        <is>
          <t>MAT-DAMPER-BANH-RANG-VAN-NHOM</t>
        </is>
      </c>
      <c r="F1840" t="inlineStr">
        <is>
          <t>Bộ</t>
        </is>
      </c>
      <c r="G1840" s="4" t="n">
        <v>1</v>
      </c>
      <c r="H1840" s="2">
        <f>XLOOKUP(B1840, '00_TONG_HOP_BAO_GIA'!B:B, '00_TONG_HOP_BAO_GIA'!G:G, 1)</f>
        <v/>
      </c>
      <c r="I1840" s="5">
        <f>G1840*H1840</f>
        <v/>
      </c>
      <c r="J1840" s="2">
        <f>XLOOKUP(E1840, '06_BANG_GIA_VAT_TU_AP_DUNG'!B:B, '06_BANG_GIA_VAT_TU_AP_DUNG'!C:C, "LỖI_MÃ_VT")</f>
        <v/>
      </c>
      <c r="K1840" s="2">
        <f>I1840*J1840</f>
        <v/>
      </c>
      <c r="L1840" t="inlineStr">
        <is>
          <t>Cơ cấu liên động bánh răng van</t>
        </is>
      </c>
    </row>
    <row r="1841">
      <c r="A1841" t="inlineStr">
        <is>
          <t>SW-DAMPER-436-FUSE</t>
        </is>
      </c>
      <c r="B1841" t="inlineStr">
        <is>
          <t>SW-DAMPER-436</t>
        </is>
      </c>
      <c r="C1841" t="inlineStr">
        <is>
          <t>Cầu chì nhiệt nóng chảy 70°C (Elsie/USA)</t>
        </is>
      </c>
      <c r="D1841" t="inlineStr">
        <is>
          <t>PHỤ_KIỆN_VAN</t>
        </is>
      </c>
      <c r="E1841" t="inlineStr">
        <is>
          <t>MAT-DAMPER-CAU-CHI-USA-2-400X400</t>
        </is>
      </c>
      <c r="F1841" t="inlineStr">
        <is>
          <t>Cái</t>
        </is>
      </c>
      <c r="G1841" s="4" t="n">
        <v>1</v>
      </c>
      <c r="H1841" s="2">
        <f>XLOOKUP(B1841, '00_TONG_HOP_BAO_GIA'!B:B, '00_TONG_HOP_BAO_GIA'!G:G, 1)</f>
        <v/>
      </c>
      <c r="I1841" s="5">
        <f>G1841*H1841</f>
        <v/>
      </c>
      <c r="J1841" s="2">
        <f>XLOOKUP(E1841, '06_BANG_GIA_VAT_TU_AP_DUNG'!B:B, '06_BANG_GIA_VAT_TU_AP_DUNG'!C:C, "LỖI_MÃ_VT")</f>
        <v/>
      </c>
      <c r="K1841" s="2">
        <f>I1841*J1841</f>
        <v/>
      </c>
      <c r="L1841" t="inlineStr">
        <is>
          <t>Cầu chì kiểm định PCCC</t>
        </is>
      </c>
    </row>
    <row r="1842">
      <c r="A1842" t="inlineStr">
        <is>
          <t>SW-DAMPER-437-BODY</t>
        </is>
      </c>
      <c r="B1842" t="inlineStr">
        <is>
          <t>SW-DAMPER-437</t>
        </is>
      </c>
      <c r="C1842" t="inlineStr">
        <is>
          <t>Thân vỏ van FD bích TDF (0.75mm)</t>
        </is>
      </c>
      <c r="D1842" t="inlineStr">
        <is>
          <t>TÔN_CUỘN_MẠ_KẼM</t>
        </is>
      </c>
      <c r="E1842" t="inlineStr">
        <is>
          <t>MAT-STEEL-PN-0.75</t>
        </is>
      </c>
      <c r="F1842" t="inlineStr">
        <is>
          <t>kg</t>
        </is>
      </c>
      <c r="G1842" s="4" t="n">
        <v>3.442067999999999</v>
      </c>
      <c r="H1842" s="2">
        <f>XLOOKUP(B1842, '00_TONG_HOP_BAO_GIA'!B:B, '00_TONG_HOP_BAO_GIA'!G:G, 1)</f>
        <v/>
      </c>
      <c r="I1842" s="5">
        <f>G1842*H1842</f>
        <v/>
      </c>
      <c r="J1842" s="2">
        <f>XLOOKUP(E1842, '06_BANG_GIA_VAT_TU_AP_DUNG'!B:B, '06_BANG_GIA_VAT_TU_AP_DUNG'!C:C, "LỖI_MÃ_VT")</f>
        <v/>
      </c>
      <c r="K1842" s="2">
        <f>I1842*J1842</f>
        <v/>
      </c>
      <c r="L1842" t="inlineStr">
        <is>
          <t>Kích thước vỏ 600.0x250.0x250mm</t>
        </is>
      </c>
    </row>
    <row r="1843">
      <c r="A1843" t="inlineStr">
        <is>
          <t>SW-DAMPER-437-BLADE</t>
        </is>
      </c>
      <c r="B1843" t="inlineStr">
        <is>
          <t>SW-DAMPER-437</t>
        </is>
      </c>
      <c r="C1843" t="inlineStr">
        <is>
          <t>Lá cánh van (2 cánh overlap)</t>
        </is>
      </c>
      <c r="D1843" t="inlineStr">
        <is>
          <t>TÔN_CUỘN_MẠ_KẼM</t>
        </is>
      </c>
      <c r="E1843" t="inlineStr">
        <is>
          <t>MAT-STEEL-PN-0.75</t>
        </is>
      </c>
      <c r="F1843" t="inlineStr">
        <is>
          <t>kg</t>
        </is>
      </c>
      <c r="G1843" s="4" t="n">
        <v>1.106379</v>
      </c>
      <c r="H1843" s="2">
        <f>XLOOKUP(B1843, '00_TONG_HOP_BAO_GIA'!B:B, '00_TONG_HOP_BAO_GIA'!G:G, 1)</f>
        <v/>
      </c>
      <c r="I1843" s="5">
        <f>G1843*H1843</f>
        <v/>
      </c>
      <c r="J1843" s="2">
        <f>XLOOKUP(E1843, '06_BANG_GIA_VAT_TU_AP_DUNG'!B:B, '06_BANG_GIA_VAT_TU_AP_DUNG'!C:C, "LỖI_MÃ_VT")</f>
        <v/>
      </c>
      <c r="K1843" s="2">
        <f>I1843*J1843</f>
        <v/>
      </c>
      <c r="L1843" t="inlineStr">
        <is>
          <t>2 cánh cao 145mm</t>
        </is>
      </c>
    </row>
    <row r="1844">
      <c r="A1844" t="inlineStr">
        <is>
          <t>SW-DAMPER-437-AXLE</t>
        </is>
      </c>
      <c r="B1844" t="inlineStr">
        <is>
          <t>SW-DAMPER-437</t>
        </is>
      </c>
      <c r="C1844" t="inlineStr">
        <is>
          <t>Trục Sus 201 D10</t>
        </is>
      </c>
      <c r="D1844" t="inlineStr">
        <is>
          <t>PHỤ_KIỆN_VAN</t>
        </is>
      </c>
      <c r="E1844" t="inlineStr">
        <is>
          <t>MAT-DAMPER-TRUC-SUS-201-D10</t>
        </is>
      </c>
      <c r="F1844" t="inlineStr">
        <is>
          <t>m</t>
        </is>
      </c>
      <c r="G1844" s="4" t="n">
        <v>1.32</v>
      </c>
      <c r="H1844" s="2">
        <f>XLOOKUP(B1844, '00_TONG_HOP_BAO_GIA'!B:B, '00_TONG_HOP_BAO_GIA'!G:G, 1)</f>
        <v/>
      </c>
      <c r="I1844" s="5">
        <f>G1844*H1844</f>
        <v/>
      </c>
      <c r="J1844" s="2">
        <f>XLOOKUP(E1844, '06_BANG_GIA_VAT_TU_AP_DUNG'!B:B, '06_BANG_GIA_VAT_TU_AP_DUNG'!C:C, "LỖI_MÃ_VT")</f>
        <v/>
      </c>
      <c r="K1844" s="2">
        <f>I1844*J1844</f>
        <v/>
      </c>
      <c r="L1844" t="inlineStr">
        <is>
          <t>2 trục dài 660mm</t>
        </is>
      </c>
    </row>
    <row r="1845">
      <c r="A1845" t="inlineStr">
        <is>
          <t>SW-DAMPER-437-BEARING</t>
        </is>
      </c>
      <c r="B1845" t="inlineStr">
        <is>
          <t>SW-DAMPER-437</t>
        </is>
      </c>
      <c r="C1845" t="inlineStr">
        <is>
          <t>Bạc đồng D10</t>
        </is>
      </c>
      <c r="D1845" t="inlineStr">
        <is>
          <t>PHỤ_KIỆN_VAN</t>
        </is>
      </c>
      <c r="E1845" t="inlineStr">
        <is>
          <t>MAT-DAMPER-BAC-DONG-D10</t>
        </is>
      </c>
      <c r="F1845" t="inlineStr">
        <is>
          <t>Đôi</t>
        </is>
      </c>
      <c r="G1845" s="4" t="n">
        <v>2</v>
      </c>
      <c r="H1845" s="2">
        <f>XLOOKUP(B1845, '00_TONG_HOP_BAO_GIA'!B:B, '00_TONG_HOP_BAO_GIA'!G:G, 1)</f>
        <v/>
      </c>
      <c r="I1845" s="5">
        <f>G1845*H1845</f>
        <v/>
      </c>
      <c r="J1845" s="2">
        <f>XLOOKUP(E1845, '06_BANG_GIA_VAT_TU_AP_DUNG'!B:B, '06_BANG_GIA_VAT_TU_AP_DUNG'!C:C, "LỖI_MÃ_VT")</f>
        <v/>
      </c>
      <c r="K1845" s="2">
        <f>I1845*J1845</f>
        <v/>
      </c>
      <c r="L1845" t="inlineStr">
        <is>
          <t>2 đôi bạc đỡ 2 bên thân</t>
        </is>
      </c>
    </row>
    <row r="1846">
      <c r="A1846" t="inlineStr">
        <is>
          <t>SW-DAMPER-437-GEAR</t>
        </is>
      </c>
      <c r="B1846" t="inlineStr">
        <is>
          <t>SW-DAMPER-437</t>
        </is>
      </c>
      <c r="C1846" t="inlineStr">
        <is>
          <t>Bánh răng van nhôm</t>
        </is>
      </c>
      <c r="D1846" t="inlineStr">
        <is>
          <t>PHỤ_KIỆN_VAN</t>
        </is>
      </c>
      <c r="E1846" t="inlineStr">
        <is>
          <t>MAT-DAMPER-BANH-RANG-VAN-NHOM</t>
        </is>
      </c>
      <c r="F1846" t="inlineStr">
        <is>
          <t>Bộ</t>
        </is>
      </c>
      <c r="G1846" s="4" t="n">
        <v>1</v>
      </c>
      <c r="H1846" s="2">
        <f>XLOOKUP(B1846, '00_TONG_HOP_BAO_GIA'!B:B, '00_TONG_HOP_BAO_GIA'!G:G, 1)</f>
        <v/>
      </c>
      <c r="I1846" s="5">
        <f>G1846*H1846</f>
        <v/>
      </c>
      <c r="J1846" s="2">
        <f>XLOOKUP(E1846, '06_BANG_GIA_VAT_TU_AP_DUNG'!B:B, '06_BANG_GIA_VAT_TU_AP_DUNG'!C:C, "LỖI_MÃ_VT")</f>
        <v/>
      </c>
      <c r="K1846" s="2">
        <f>I1846*J1846</f>
        <v/>
      </c>
      <c r="L1846" t="inlineStr">
        <is>
          <t>Cơ cấu liên động bánh răng van</t>
        </is>
      </c>
    </row>
    <row r="1847">
      <c r="A1847" t="inlineStr">
        <is>
          <t>SW-DAMPER-437-FUSE</t>
        </is>
      </c>
      <c r="B1847" t="inlineStr">
        <is>
          <t>SW-DAMPER-437</t>
        </is>
      </c>
      <c r="C1847" t="inlineStr">
        <is>
          <t>Cầu chì nhiệt nóng chảy 70°C (Elsie/USA)</t>
        </is>
      </c>
      <c r="D1847" t="inlineStr">
        <is>
          <t>PHỤ_KIỆN_VAN</t>
        </is>
      </c>
      <c r="E1847" t="inlineStr">
        <is>
          <t>MAT-DAMPER-CAU-CHI-USA-2-400X400</t>
        </is>
      </c>
      <c r="F1847" t="inlineStr">
        <is>
          <t>Cái</t>
        </is>
      </c>
      <c r="G1847" s="4" t="n">
        <v>1</v>
      </c>
      <c r="H1847" s="2">
        <f>XLOOKUP(B1847, '00_TONG_HOP_BAO_GIA'!B:B, '00_TONG_HOP_BAO_GIA'!G:G, 1)</f>
        <v/>
      </c>
      <c r="I1847" s="5">
        <f>G1847*H1847</f>
        <v/>
      </c>
      <c r="J1847" s="2">
        <f>XLOOKUP(E1847, '06_BANG_GIA_VAT_TU_AP_DUNG'!B:B, '06_BANG_GIA_VAT_TU_AP_DUNG'!C:C, "LỖI_MÃ_VT")</f>
        <v/>
      </c>
      <c r="K1847" s="2">
        <f>I1847*J1847</f>
        <v/>
      </c>
      <c r="L1847" t="inlineStr">
        <is>
          <t>Cầu chì kiểm định PCCC</t>
        </is>
      </c>
    </row>
    <row r="1848">
      <c r="A1848" t="inlineStr">
        <is>
          <t>SW-DAMPER-438-BODY</t>
        </is>
      </c>
      <c r="B1848" t="inlineStr">
        <is>
          <t>SW-DAMPER-438</t>
        </is>
      </c>
      <c r="C1848" t="inlineStr">
        <is>
          <t>Thân vỏ van FD bích TDF (0.75mm)</t>
        </is>
      </c>
      <c r="D1848" t="inlineStr">
        <is>
          <t>TÔN_CUỘN_MẠ_KẼM</t>
        </is>
      </c>
      <c r="E1848" t="inlineStr">
        <is>
          <t>MAT-STEEL-PN-0.75</t>
        </is>
      </c>
      <c r="F1848" t="inlineStr">
        <is>
          <t>kg</t>
        </is>
      </c>
      <c r="G1848" s="4" t="n">
        <v>3.639888</v>
      </c>
      <c r="H1848" s="2">
        <f>XLOOKUP(B1848, '00_TONG_HOP_BAO_GIA'!B:B, '00_TONG_HOP_BAO_GIA'!G:G, 1)</f>
        <v/>
      </c>
      <c r="I1848" s="5">
        <f>G1848*H1848</f>
        <v/>
      </c>
      <c r="J1848" s="2">
        <f>XLOOKUP(E1848, '06_BANG_GIA_VAT_TU_AP_DUNG'!B:B, '06_BANG_GIA_VAT_TU_AP_DUNG'!C:C, "LỖI_MÃ_VT")</f>
        <v/>
      </c>
      <c r="K1848" s="2">
        <f>I1848*J1848</f>
        <v/>
      </c>
      <c r="L1848" t="inlineStr">
        <is>
          <t>Kích thước vỏ 600.0x300.0x250mm</t>
        </is>
      </c>
    </row>
    <row r="1849">
      <c r="A1849" t="inlineStr">
        <is>
          <t>SW-DAMPER-438-BLADE</t>
        </is>
      </c>
      <c r="B1849" t="inlineStr">
        <is>
          <t>SW-DAMPER-438</t>
        </is>
      </c>
      <c r="C1849" t="inlineStr">
        <is>
          <t>Lá cánh van (2 cánh overlap)</t>
        </is>
      </c>
      <c r="D1849" t="inlineStr">
        <is>
          <t>TÔN_CUỘN_MẠ_KẼM</t>
        </is>
      </c>
      <c r="E1849" t="inlineStr">
        <is>
          <t>MAT-STEEL-PN-0.75</t>
        </is>
      </c>
      <c r="F1849" t="inlineStr">
        <is>
          <t>kg</t>
        </is>
      </c>
      <c r="G1849" s="4" t="n">
        <v>1.297134</v>
      </c>
      <c r="H1849" s="2">
        <f>XLOOKUP(B1849, '00_TONG_HOP_BAO_GIA'!B:B, '00_TONG_HOP_BAO_GIA'!G:G, 1)</f>
        <v/>
      </c>
      <c r="I1849" s="5">
        <f>G1849*H1849</f>
        <v/>
      </c>
      <c r="J1849" s="2">
        <f>XLOOKUP(E1849, '06_BANG_GIA_VAT_TU_AP_DUNG'!B:B, '06_BANG_GIA_VAT_TU_AP_DUNG'!C:C, "LỖI_MÃ_VT")</f>
        <v/>
      </c>
      <c r="K1849" s="2">
        <f>I1849*J1849</f>
        <v/>
      </c>
      <c r="L1849" t="inlineStr">
        <is>
          <t>2 cánh cao 170mm</t>
        </is>
      </c>
    </row>
    <row r="1850">
      <c r="A1850" t="inlineStr">
        <is>
          <t>SW-DAMPER-438-AXLE</t>
        </is>
      </c>
      <c r="B1850" t="inlineStr">
        <is>
          <t>SW-DAMPER-438</t>
        </is>
      </c>
      <c r="C1850" t="inlineStr">
        <is>
          <t>Trục Sus 201 D10</t>
        </is>
      </c>
      <c r="D1850" t="inlineStr">
        <is>
          <t>PHỤ_KIỆN_VAN</t>
        </is>
      </c>
      <c r="E1850" t="inlineStr">
        <is>
          <t>MAT-DAMPER-TRUC-SUS-201-D10</t>
        </is>
      </c>
      <c r="F1850" t="inlineStr">
        <is>
          <t>m</t>
        </is>
      </c>
      <c r="G1850" s="4" t="n">
        <v>1.32</v>
      </c>
      <c r="H1850" s="2">
        <f>XLOOKUP(B1850, '00_TONG_HOP_BAO_GIA'!B:B, '00_TONG_HOP_BAO_GIA'!G:G, 1)</f>
        <v/>
      </c>
      <c r="I1850" s="5">
        <f>G1850*H1850</f>
        <v/>
      </c>
      <c r="J1850" s="2">
        <f>XLOOKUP(E1850, '06_BANG_GIA_VAT_TU_AP_DUNG'!B:B, '06_BANG_GIA_VAT_TU_AP_DUNG'!C:C, "LỖI_MÃ_VT")</f>
        <v/>
      </c>
      <c r="K1850" s="2">
        <f>I1850*J1850</f>
        <v/>
      </c>
      <c r="L1850" t="inlineStr">
        <is>
          <t>2 trục dài 660mm</t>
        </is>
      </c>
    </row>
    <row r="1851">
      <c r="A1851" t="inlineStr">
        <is>
          <t>SW-DAMPER-438-BEARING</t>
        </is>
      </c>
      <c r="B1851" t="inlineStr">
        <is>
          <t>SW-DAMPER-438</t>
        </is>
      </c>
      <c r="C1851" t="inlineStr">
        <is>
          <t>Bạc đồng D10</t>
        </is>
      </c>
      <c r="D1851" t="inlineStr">
        <is>
          <t>PHỤ_KIỆN_VAN</t>
        </is>
      </c>
      <c r="E1851" t="inlineStr">
        <is>
          <t>MAT-DAMPER-BAC-DONG-D10</t>
        </is>
      </c>
      <c r="F1851" t="inlineStr">
        <is>
          <t>Đôi</t>
        </is>
      </c>
      <c r="G1851" s="4" t="n">
        <v>2</v>
      </c>
      <c r="H1851" s="2">
        <f>XLOOKUP(B1851, '00_TONG_HOP_BAO_GIA'!B:B, '00_TONG_HOP_BAO_GIA'!G:G, 1)</f>
        <v/>
      </c>
      <c r="I1851" s="5">
        <f>G1851*H1851</f>
        <v/>
      </c>
      <c r="J1851" s="2">
        <f>XLOOKUP(E1851, '06_BANG_GIA_VAT_TU_AP_DUNG'!B:B, '06_BANG_GIA_VAT_TU_AP_DUNG'!C:C, "LỖI_MÃ_VT")</f>
        <v/>
      </c>
      <c r="K1851" s="2">
        <f>I1851*J1851</f>
        <v/>
      </c>
      <c r="L1851" t="inlineStr">
        <is>
          <t>2 đôi bạc đỡ 2 bên thân</t>
        </is>
      </c>
    </row>
    <row r="1852">
      <c r="A1852" t="inlineStr">
        <is>
          <t>SW-DAMPER-438-GEAR</t>
        </is>
      </c>
      <c r="B1852" t="inlineStr">
        <is>
          <t>SW-DAMPER-438</t>
        </is>
      </c>
      <c r="C1852" t="inlineStr">
        <is>
          <t>Bánh răng van nhôm</t>
        </is>
      </c>
      <c r="D1852" t="inlineStr">
        <is>
          <t>PHỤ_KIỆN_VAN</t>
        </is>
      </c>
      <c r="E1852" t="inlineStr">
        <is>
          <t>MAT-DAMPER-BANH-RANG-VAN-NHOM</t>
        </is>
      </c>
      <c r="F1852" t="inlineStr">
        <is>
          <t>Bộ</t>
        </is>
      </c>
      <c r="G1852" s="4" t="n">
        <v>1</v>
      </c>
      <c r="H1852" s="2">
        <f>XLOOKUP(B1852, '00_TONG_HOP_BAO_GIA'!B:B, '00_TONG_HOP_BAO_GIA'!G:G, 1)</f>
        <v/>
      </c>
      <c r="I1852" s="5">
        <f>G1852*H1852</f>
        <v/>
      </c>
      <c r="J1852" s="2">
        <f>XLOOKUP(E1852, '06_BANG_GIA_VAT_TU_AP_DUNG'!B:B, '06_BANG_GIA_VAT_TU_AP_DUNG'!C:C, "LỖI_MÃ_VT")</f>
        <v/>
      </c>
      <c r="K1852" s="2">
        <f>I1852*J1852</f>
        <v/>
      </c>
      <c r="L1852" t="inlineStr">
        <is>
          <t>Cơ cấu liên động bánh răng van</t>
        </is>
      </c>
    </row>
    <row r="1853">
      <c r="A1853" t="inlineStr">
        <is>
          <t>SW-DAMPER-438-FUSE</t>
        </is>
      </c>
      <c r="B1853" t="inlineStr">
        <is>
          <t>SW-DAMPER-438</t>
        </is>
      </c>
      <c r="C1853" t="inlineStr">
        <is>
          <t>Cầu chì nhiệt nóng chảy 70°C (Elsie/USA)</t>
        </is>
      </c>
      <c r="D1853" t="inlineStr">
        <is>
          <t>PHỤ_KIỆN_VAN</t>
        </is>
      </c>
      <c r="E1853" t="inlineStr">
        <is>
          <t>MAT-DAMPER-CAU-CHI-USA-2-400X400</t>
        </is>
      </c>
      <c r="F1853" t="inlineStr">
        <is>
          <t>Cái</t>
        </is>
      </c>
      <c r="G1853" s="4" t="n">
        <v>1</v>
      </c>
      <c r="H1853" s="2">
        <f>XLOOKUP(B1853, '00_TONG_HOP_BAO_GIA'!B:B, '00_TONG_HOP_BAO_GIA'!G:G, 1)</f>
        <v/>
      </c>
      <c r="I1853" s="5">
        <f>G1853*H1853</f>
        <v/>
      </c>
      <c r="J1853" s="2">
        <f>XLOOKUP(E1853, '06_BANG_GIA_VAT_TU_AP_DUNG'!B:B, '06_BANG_GIA_VAT_TU_AP_DUNG'!C:C, "LỖI_MÃ_VT")</f>
        <v/>
      </c>
      <c r="K1853" s="2">
        <f>I1853*J1853</f>
        <v/>
      </c>
      <c r="L1853" t="inlineStr">
        <is>
          <t>Cầu chì kiểm định PCCC</t>
        </is>
      </c>
    </row>
    <row r="1854">
      <c r="A1854" t="inlineStr">
        <is>
          <t>SW-DAMPER-439-BODY</t>
        </is>
      </c>
      <c r="B1854" t="inlineStr">
        <is>
          <t>SW-DAMPER-439</t>
        </is>
      </c>
      <c r="C1854" t="inlineStr">
        <is>
          <t>Thân vỏ van FD bích TDF (0.75mm)</t>
        </is>
      </c>
      <c r="D1854" t="inlineStr">
        <is>
          <t>TÔN_CUỘN_MẠ_KẼM</t>
        </is>
      </c>
      <c r="E1854" t="inlineStr">
        <is>
          <t>MAT-STEEL-PN-0.75</t>
        </is>
      </c>
      <c r="F1854" t="inlineStr">
        <is>
          <t>kg</t>
        </is>
      </c>
      <c r="G1854" s="4" t="n">
        <v>3.837708</v>
      </c>
      <c r="H1854" s="2">
        <f>XLOOKUP(B1854, '00_TONG_HOP_BAO_GIA'!B:B, '00_TONG_HOP_BAO_GIA'!G:G, 1)</f>
        <v/>
      </c>
      <c r="I1854" s="5">
        <f>G1854*H1854</f>
        <v/>
      </c>
      <c r="J1854" s="2">
        <f>XLOOKUP(E1854, '06_BANG_GIA_VAT_TU_AP_DUNG'!B:B, '06_BANG_GIA_VAT_TU_AP_DUNG'!C:C, "LỖI_MÃ_VT")</f>
        <v/>
      </c>
      <c r="K1854" s="2">
        <f>I1854*J1854</f>
        <v/>
      </c>
      <c r="L1854" t="inlineStr">
        <is>
          <t>Kích thước vỏ 600.0x350.0x250mm</t>
        </is>
      </c>
    </row>
    <row r="1855">
      <c r="A1855" t="inlineStr">
        <is>
          <t>SW-DAMPER-439-BLADE</t>
        </is>
      </c>
      <c r="B1855" t="inlineStr">
        <is>
          <t>SW-DAMPER-439</t>
        </is>
      </c>
      <c r="C1855" t="inlineStr">
        <is>
          <t>Lá cánh van (2 cánh overlap)</t>
        </is>
      </c>
      <c r="D1855" t="inlineStr">
        <is>
          <t>TÔN_CUỘN_MẠ_KẼM</t>
        </is>
      </c>
      <c r="E1855" t="inlineStr">
        <is>
          <t>MAT-STEEL-PN-0.75</t>
        </is>
      </c>
      <c r="F1855" t="inlineStr">
        <is>
          <t>kg</t>
        </is>
      </c>
      <c r="G1855" s="4" t="n">
        <v>1.487889</v>
      </c>
      <c r="H1855" s="2">
        <f>XLOOKUP(B1855, '00_TONG_HOP_BAO_GIA'!B:B, '00_TONG_HOP_BAO_GIA'!G:G, 1)</f>
        <v/>
      </c>
      <c r="I1855" s="5">
        <f>G1855*H1855</f>
        <v/>
      </c>
      <c r="J1855" s="2">
        <f>XLOOKUP(E1855, '06_BANG_GIA_VAT_TU_AP_DUNG'!B:B, '06_BANG_GIA_VAT_TU_AP_DUNG'!C:C, "LỖI_MÃ_VT")</f>
        <v/>
      </c>
      <c r="K1855" s="2">
        <f>I1855*J1855</f>
        <v/>
      </c>
      <c r="L1855" t="inlineStr">
        <is>
          <t>2 cánh cao 195mm</t>
        </is>
      </c>
    </row>
    <row r="1856">
      <c r="A1856" t="inlineStr">
        <is>
          <t>SW-DAMPER-439-AXLE</t>
        </is>
      </c>
      <c r="B1856" t="inlineStr">
        <is>
          <t>SW-DAMPER-439</t>
        </is>
      </c>
      <c r="C1856" t="inlineStr">
        <is>
          <t>Trục Sus 201 D10</t>
        </is>
      </c>
      <c r="D1856" t="inlineStr">
        <is>
          <t>PHỤ_KIỆN_VAN</t>
        </is>
      </c>
      <c r="E1856" t="inlineStr">
        <is>
          <t>MAT-DAMPER-TRUC-SUS-201-D10</t>
        </is>
      </c>
      <c r="F1856" t="inlineStr">
        <is>
          <t>m</t>
        </is>
      </c>
      <c r="G1856" s="4" t="n">
        <v>1.32</v>
      </c>
      <c r="H1856" s="2">
        <f>XLOOKUP(B1856, '00_TONG_HOP_BAO_GIA'!B:B, '00_TONG_HOP_BAO_GIA'!G:G, 1)</f>
        <v/>
      </c>
      <c r="I1856" s="5">
        <f>G1856*H1856</f>
        <v/>
      </c>
      <c r="J1856" s="2">
        <f>XLOOKUP(E1856, '06_BANG_GIA_VAT_TU_AP_DUNG'!B:B, '06_BANG_GIA_VAT_TU_AP_DUNG'!C:C, "LỖI_MÃ_VT")</f>
        <v/>
      </c>
      <c r="K1856" s="2">
        <f>I1856*J1856</f>
        <v/>
      </c>
      <c r="L1856" t="inlineStr">
        <is>
          <t>2 trục dài 660mm</t>
        </is>
      </c>
    </row>
    <row r="1857">
      <c r="A1857" t="inlineStr">
        <is>
          <t>SW-DAMPER-439-BEARING</t>
        </is>
      </c>
      <c r="B1857" t="inlineStr">
        <is>
          <t>SW-DAMPER-439</t>
        </is>
      </c>
      <c r="C1857" t="inlineStr">
        <is>
          <t>Bạc đồng D10</t>
        </is>
      </c>
      <c r="D1857" t="inlineStr">
        <is>
          <t>PHỤ_KIỆN_VAN</t>
        </is>
      </c>
      <c r="E1857" t="inlineStr">
        <is>
          <t>MAT-DAMPER-BAC-DONG-D10</t>
        </is>
      </c>
      <c r="F1857" t="inlineStr">
        <is>
          <t>Đôi</t>
        </is>
      </c>
      <c r="G1857" s="4" t="n">
        <v>2</v>
      </c>
      <c r="H1857" s="2">
        <f>XLOOKUP(B1857, '00_TONG_HOP_BAO_GIA'!B:B, '00_TONG_HOP_BAO_GIA'!G:G, 1)</f>
        <v/>
      </c>
      <c r="I1857" s="5">
        <f>G1857*H1857</f>
        <v/>
      </c>
      <c r="J1857" s="2">
        <f>XLOOKUP(E1857, '06_BANG_GIA_VAT_TU_AP_DUNG'!B:B, '06_BANG_GIA_VAT_TU_AP_DUNG'!C:C, "LỖI_MÃ_VT")</f>
        <v/>
      </c>
      <c r="K1857" s="2">
        <f>I1857*J1857</f>
        <v/>
      </c>
      <c r="L1857" t="inlineStr">
        <is>
          <t>2 đôi bạc đỡ 2 bên thân</t>
        </is>
      </c>
    </row>
    <row r="1858">
      <c r="A1858" t="inlineStr">
        <is>
          <t>SW-DAMPER-439-GEAR</t>
        </is>
      </c>
      <c r="B1858" t="inlineStr">
        <is>
          <t>SW-DAMPER-439</t>
        </is>
      </c>
      <c r="C1858" t="inlineStr">
        <is>
          <t>Bánh răng van nhôm</t>
        </is>
      </c>
      <c r="D1858" t="inlineStr">
        <is>
          <t>PHỤ_KIỆN_VAN</t>
        </is>
      </c>
      <c r="E1858" t="inlineStr">
        <is>
          <t>MAT-DAMPER-BANH-RANG-VAN-NHOM</t>
        </is>
      </c>
      <c r="F1858" t="inlineStr">
        <is>
          <t>Bộ</t>
        </is>
      </c>
      <c r="G1858" s="4" t="n">
        <v>1</v>
      </c>
      <c r="H1858" s="2">
        <f>XLOOKUP(B1858, '00_TONG_HOP_BAO_GIA'!B:B, '00_TONG_HOP_BAO_GIA'!G:G, 1)</f>
        <v/>
      </c>
      <c r="I1858" s="5">
        <f>G1858*H1858</f>
        <v/>
      </c>
      <c r="J1858" s="2">
        <f>XLOOKUP(E1858, '06_BANG_GIA_VAT_TU_AP_DUNG'!B:B, '06_BANG_GIA_VAT_TU_AP_DUNG'!C:C, "LỖI_MÃ_VT")</f>
        <v/>
      </c>
      <c r="K1858" s="2">
        <f>I1858*J1858</f>
        <v/>
      </c>
      <c r="L1858" t="inlineStr">
        <is>
          <t>Cơ cấu liên động bánh răng van</t>
        </is>
      </c>
    </row>
    <row r="1859">
      <c r="A1859" t="inlineStr">
        <is>
          <t>SW-DAMPER-439-FUSE</t>
        </is>
      </c>
      <c r="B1859" t="inlineStr">
        <is>
          <t>SW-DAMPER-439</t>
        </is>
      </c>
      <c r="C1859" t="inlineStr">
        <is>
          <t>Cầu chì nhiệt nóng chảy 70°C (Elsie/USA)</t>
        </is>
      </c>
      <c r="D1859" t="inlineStr">
        <is>
          <t>PHỤ_KIỆN_VAN</t>
        </is>
      </c>
      <c r="E1859" t="inlineStr">
        <is>
          <t>MAT-DAMPER-CAU-CHI-USA-2-400X400</t>
        </is>
      </c>
      <c r="F1859" t="inlineStr">
        <is>
          <t>Cái</t>
        </is>
      </c>
      <c r="G1859" s="4" t="n">
        <v>1</v>
      </c>
      <c r="H1859" s="2">
        <f>XLOOKUP(B1859, '00_TONG_HOP_BAO_GIA'!B:B, '00_TONG_HOP_BAO_GIA'!G:G, 1)</f>
        <v/>
      </c>
      <c r="I1859" s="5">
        <f>G1859*H1859</f>
        <v/>
      </c>
      <c r="J1859" s="2">
        <f>XLOOKUP(E1859, '06_BANG_GIA_VAT_TU_AP_DUNG'!B:B, '06_BANG_GIA_VAT_TU_AP_DUNG'!C:C, "LỖI_MÃ_VT")</f>
        <v/>
      </c>
      <c r="K1859" s="2">
        <f>I1859*J1859</f>
        <v/>
      </c>
      <c r="L1859" t="inlineStr">
        <is>
          <t>Cầu chì kiểm định PCCC</t>
        </is>
      </c>
    </row>
    <row r="1860">
      <c r="A1860" t="inlineStr">
        <is>
          <t>SW-DAMPER-440-BODY</t>
        </is>
      </c>
      <c r="B1860" t="inlineStr">
        <is>
          <t>SW-DAMPER-440</t>
        </is>
      </c>
      <c r="C1860" t="inlineStr">
        <is>
          <t>Thân vỏ van FD bích TDF (0.75mm)</t>
        </is>
      </c>
      <c r="D1860" t="inlineStr">
        <is>
          <t>TÔN_CUỘN_MẠ_KẼM</t>
        </is>
      </c>
      <c r="E1860" t="inlineStr">
        <is>
          <t>MAT-STEEL-PN-0.75</t>
        </is>
      </c>
      <c r="F1860" t="inlineStr">
        <is>
          <t>kg</t>
        </is>
      </c>
      <c r="G1860" s="4" t="n">
        <v>4.035528</v>
      </c>
      <c r="H1860" s="2">
        <f>XLOOKUP(B1860, '00_TONG_HOP_BAO_GIA'!B:B, '00_TONG_HOP_BAO_GIA'!G:G, 1)</f>
        <v/>
      </c>
      <c r="I1860" s="5">
        <f>G1860*H1860</f>
        <v/>
      </c>
      <c r="J1860" s="2">
        <f>XLOOKUP(E1860, '06_BANG_GIA_VAT_TU_AP_DUNG'!B:B, '06_BANG_GIA_VAT_TU_AP_DUNG'!C:C, "LỖI_MÃ_VT")</f>
        <v/>
      </c>
      <c r="K1860" s="2">
        <f>I1860*J1860</f>
        <v/>
      </c>
      <c r="L1860" t="inlineStr">
        <is>
          <t>Kích thước vỏ 600.0x400.0x250mm</t>
        </is>
      </c>
    </row>
    <row r="1861">
      <c r="A1861" t="inlineStr">
        <is>
          <t>SW-DAMPER-440-BLADE</t>
        </is>
      </c>
      <c r="B1861" t="inlineStr">
        <is>
          <t>SW-DAMPER-440</t>
        </is>
      </c>
      <c r="C1861" t="inlineStr">
        <is>
          <t>Lá cánh van (3 cánh overlap)</t>
        </is>
      </c>
      <c r="D1861" t="inlineStr">
        <is>
          <t>TÔN_CUỘN_MẠ_KẼM</t>
        </is>
      </c>
      <c r="E1861" t="inlineStr">
        <is>
          <t>MAT-STEEL-PN-0.75</t>
        </is>
      </c>
      <c r="F1861" t="inlineStr">
        <is>
          <t>kg</t>
        </is>
      </c>
      <c r="G1861" s="4" t="n">
        <v>1.754946</v>
      </c>
      <c r="H1861" s="2">
        <f>XLOOKUP(B1861, '00_TONG_HOP_BAO_GIA'!B:B, '00_TONG_HOP_BAO_GIA'!G:G, 1)</f>
        <v/>
      </c>
      <c r="I1861" s="5">
        <f>G1861*H1861</f>
        <v/>
      </c>
      <c r="J1861" s="2">
        <f>XLOOKUP(E1861, '06_BANG_GIA_VAT_TU_AP_DUNG'!B:B, '06_BANG_GIA_VAT_TU_AP_DUNG'!C:C, "LỖI_MÃ_VT")</f>
        <v/>
      </c>
      <c r="K1861" s="2">
        <f>I1861*J1861</f>
        <v/>
      </c>
      <c r="L1861" t="inlineStr">
        <is>
          <t>3 cánh cao 153mm</t>
        </is>
      </c>
    </row>
    <row r="1862">
      <c r="A1862" t="inlineStr">
        <is>
          <t>SW-DAMPER-440-AXLE</t>
        </is>
      </c>
      <c r="B1862" t="inlineStr">
        <is>
          <t>SW-DAMPER-440</t>
        </is>
      </c>
      <c r="C1862" t="inlineStr">
        <is>
          <t>Trục Sus 201 D10</t>
        </is>
      </c>
      <c r="D1862" t="inlineStr">
        <is>
          <t>PHỤ_KIỆN_VAN</t>
        </is>
      </c>
      <c r="E1862" t="inlineStr">
        <is>
          <t>MAT-DAMPER-TRUC-SUS-201-D10</t>
        </is>
      </c>
      <c r="F1862" t="inlineStr">
        <is>
          <t>m</t>
        </is>
      </c>
      <c r="G1862" s="4" t="n">
        <v>1.98</v>
      </c>
      <c r="H1862" s="2">
        <f>XLOOKUP(B1862, '00_TONG_HOP_BAO_GIA'!B:B, '00_TONG_HOP_BAO_GIA'!G:G, 1)</f>
        <v/>
      </c>
      <c r="I1862" s="5">
        <f>G1862*H1862</f>
        <v/>
      </c>
      <c r="J1862" s="2">
        <f>XLOOKUP(E1862, '06_BANG_GIA_VAT_TU_AP_DUNG'!B:B, '06_BANG_GIA_VAT_TU_AP_DUNG'!C:C, "LỖI_MÃ_VT")</f>
        <v/>
      </c>
      <c r="K1862" s="2">
        <f>I1862*J1862</f>
        <v/>
      </c>
      <c r="L1862" t="inlineStr">
        <is>
          <t>3 trục dài 660mm</t>
        </is>
      </c>
    </row>
    <row r="1863">
      <c r="A1863" t="inlineStr">
        <is>
          <t>SW-DAMPER-440-BEARING</t>
        </is>
      </c>
      <c r="B1863" t="inlineStr">
        <is>
          <t>SW-DAMPER-440</t>
        </is>
      </c>
      <c r="C1863" t="inlineStr">
        <is>
          <t>Bạc đồng D10</t>
        </is>
      </c>
      <c r="D1863" t="inlineStr">
        <is>
          <t>PHỤ_KIỆN_VAN</t>
        </is>
      </c>
      <c r="E1863" t="inlineStr">
        <is>
          <t>MAT-DAMPER-BAC-DONG-D10</t>
        </is>
      </c>
      <c r="F1863" t="inlineStr">
        <is>
          <t>Đôi</t>
        </is>
      </c>
      <c r="G1863" s="4" t="n">
        <v>3</v>
      </c>
      <c r="H1863" s="2">
        <f>XLOOKUP(B1863, '00_TONG_HOP_BAO_GIA'!B:B, '00_TONG_HOP_BAO_GIA'!G:G, 1)</f>
        <v/>
      </c>
      <c r="I1863" s="5">
        <f>G1863*H1863</f>
        <v/>
      </c>
      <c r="J1863" s="2">
        <f>XLOOKUP(E1863, '06_BANG_GIA_VAT_TU_AP_DUNG'!B:B, '06_BANG_GIA_VAT_TU_AP_DUNG'!C:C, "LỖI_MÃ_VT")</f>
        <v/>
      </c>
      <c r="K1863" s="2">
        <f>I1863*J1863</f>
        <v/>
      </c>
      <c r="L1863" t="inlineStr">
        <is>
          <t>3 đôi bạc đỡ 2 bên thân</t>
        </is>
      </c>
    </row>
    <row r="1864">
      <c r="A1864" t="inlineStr">
        <is>
          <t>SW-DAMPER-440-GEAR</t>
        </is>
      </c>
      <c r="B1864" t="inlineStr">
        <is>
          <t>SW-DAMPER-440</t>
        </is>
      </c>
      <c r="C1864" t="inlineStr">
        <is>
          <t>Bánh răng van nhôm</t>
        </is>
      </c>
      <c r="D1864" t="inlineStr">
        <is>
          <t>PHỤ_KIỆN_VAN</t>
        </is>
      </c>
      <c r="E1864" t="inlineStr">
        <is>
          <t>MAT-DAMPER-BANH-RANG-VAN-NHOM</t>
        </is>
      </c>
      <c r="F1864" t="inlineStr">
        <is>
          <t>Bộ</t>
        </is>
      </c>
      <c r="G1864" s="4" t="n">
        <v>1</v>
      </c>
      <c r="H1864" s="2">
        <f>XLOOKUP(B1864, '00_TONG_HOP_BAO_GIA'!B:B, '00_TONG_HOP_BAO_GIA'!G:G, 1)</f>
        <v/>
      </c>
      <c r="I1864" s="5">
        <f>G1864*H1864</f>
        <v/>
      </c>
      <c r="J1864" s="2">
        <f>XLOOKUP(E1864, '06_BANG_GIA_VAT_TU_AP_DUNG'!B:B, '06_BANG_GIA_VAT_TU_AP_DUNG'!C:C, "LỖI_MÃ_VT")</f>
        <v/>
      </c>
      <c r="K1864" s="2">
        <f>I1864*J1864</f>
        <v/>
      </c>
      <c r="L1864" t="inlineStr">
        <is>
          <t>Cơ cấu liên động bánh răng van</t>
        </is>
      </c>
    </row>
    <row r="1865">
      <c r="A1865" t="inlineStr">
        <is>
          <t>SW-DAMPER-440-FUSE</t>
        </is>
      </c>
      <c r="B1865" t="inlineStr">
        <is>
          <t>SW-DAMPER-440</t>
        </is>
      </c>
      <c r="C1865" t="inlineStr">
        <is>
          <t>Cầu chì nhiệt nóng chảy 70°C (Elsie/USA)</t>
        </is>
      </c>
      <c r="D1865" t="inlineStr">
        <is>
          <t>PHỤ_KIỆN_VAN</t>
        </is>
      </c>
      <c r="E1865" t="inlineStr">
        <is>
          <t>MAT-DAMPER-CAU-CHI-USA-2-400X400</t>
        </is>
      </c>
      <c r="F1865" t="inlineStr">
        <is>
          <t>Cái</t>
        </is>
      </c>
      <c r="G1865" s="4" t="n">
        <v>1</v>
      </c>
      <c r="H1865" s="2">
        <f>XLOOKUP(B1865, '00_TONG_HOP_BAO_GIA'!B:B, '00_TONG_HOP_BAO_GIA'!G:G, 1)</f>
        <v/>
      </c>
      <c r="I1865" s="5">
        <f>G1865*H1865</f>
        <v/>
      </c>
      <c r="J1865" s="2">
        <f>XLOOKUP(E1865, '06_BANG_GIA_VAT_TU_AP_DUNG'!B:B, '06_BANG_GIA_VAT_TU_AP_DUNG'!C:C, "LỖI_MÃ_VT")</f>
        <v/>
      </c>
      <c r="K1865" s="2">
        <f>I1865*J1865</f>
        <v/>
      </c>
      <c r="L1865" t="inlineStr">
        <is>
          <t>Cầu chì kiểm định PCCC</t>
        </is>
      </c>
    </row>
    <row r="1866">
      <c r="A1866" t="inlineStr">
        <is>
          <t>SW-DAMPER-441-BODY</t>
        </is>
      </c>
      <c r="B1866" t="inlineStr">
        <is>
          <t>SW-DAMPER-441</t>
        </is>
      </c>
      <c r="C1866" t="inlineStr">
        <is>
          <t>Thân vỏ van FD bích TDF (0.75mm)</t>
        </is>
      </c>
      <c r="D1866" t="inlineStr">
        <is>
          <t>TÔN_CUỘN_MẠ_KẼM</t>
        </is>
      </c>
      <c r="E1866" t="inlineStr">
        <is>
          <t>MAT-STEEL-PN-0.75</t>
        </is>
      </c>
      <c r="F1866" t="inlineStr">
        <is>
          <t>kg</t>
        </is>
      </c>
      <c r="G1866" s="4" t="n">
        <v>4.826808</v>
      </c>
      <c r="H1866" s="2">
        <f>XLOOKUP(B1866, '00_TONG_HOP_BAO_GIA'!B:B, '00_TONG_HOP_BAO_GIA'!G:G, 1)</f>
        <v/>
      </c>
      <c r="I1866" s="5">
        <f>G1866*H1866</f>
        <v/>
      </c>
      <c r="J1866" s="2">
        <f>XLOOKUP(E1866, '06_BANG_GIA_VAT_TU_AP_DUNG'!B:B, '06_BANG_GIA_VAT_TU_AP_DUNG'!C:C, "LỖI_MÃ_VT")</f>
        <v/>
      </c>
      <c r="K1866" s="2">
        <f>I1866*J1866</f>
        <v/>
      </c>
      <c r="L1866" t="inlineStr">
        <is>
          <t>Kích thước vỏ 600.0x600.0x250mm</t>
        </is>
      </c>
    </row>
    <row r="1867">
      <c r="A1867" t="inlineStr">
        <is>
          <t>SW-DAMPER-441-BLADE</t>
        </is>
      </c>
      <c r="B1867" t="inlineStr">
        <is>
          <t>SW-DAMPER-441</t>
        </is>
      </c>
      <c r="C1867" t="inlineStr">
        <is>
          <t>Lá cánh van (4 cánh overlap)</t>
        </is>
      </c>
      <c r="D1867" t="inlineStr">
        <is>
          <t>TÔN_CUỘN_MẠ_KẼM</t>
        </is>
      </c>
      <c r="E1867" t="inlineStr">
        <is>
          <t>MAT-STEEL-PN-0.75</t>
        </is>
      </c>
      <c r="F1867" t="inlineStr">
        <is>
          <t>kg</t>
        </is>
      </c>
      <c r="G1867" s="4" t="n">
        <v>2.594268</v>
      </c>
      <c r="H1867" s="2">
        <f>XLOOKUP(B1867, '00_TONG_HOP_BAO_GIA'!B:B, '00_TONG_HOP_BAO_GIA'!G:G, 1)</f>
        <v/>
      </c>
      <c r="I1867" s="5">
        <f>G1867*H1867</f>
        <v/>
      </c>
      <c r="J1867" s="2">
        <f>XLOOKUP(E1867, '06_BANG_GIA_VAT_TU_AP_DUNG'!B:B, '06_BANG_GIA_VAT_TU_AP_DUNG'!C:C, "LỖI_MÃ_VT")</f>
        <v/>
      </c>
      <c r="K1867" s="2">
        <f>I1867*J1867</f>
        <v/>
      </c>
      <c r="L1867" t="inlineStr">
        <is>
          <t>4 cánh cao 170mm</t>
        </is>
      </c>
    </row>
    <row r="1868">
      <c r="A1868" t="inlineStr">
        <is>
          <t>SW-DAMPER-441-AXLE</t>
        </is>
      </c>
      <c r="B1868" t="inlineStr">
        <is>
          <t>SW-DAMPER-441</t>
        </is>
      </c>
      <c r="C1868" t="inlineStr">
        <is>
          <t>Trục Sus 201 D10</t>
        </is>
      </c>
      <c r="D1868" t="inlineStr">
        <is>
          <t>PHỤ_KIỆN_VAN</t>
        </is>
      </c>
      <c r="E1868" t="inlineStr">
        <is>
          <t>MAT-DAMPER-TRUC-SUS-201-D10</t>
        </is>
      </c>
      <c r="F1868" t="inlineStr">
        <is>
          <t>m</t>
        </is>
      </c>
      <c r="G1868" s="4" t="n">
        <v>2.64</v>
      </c>
      <c r="H1868" s="2">
        <f>XLOOKUP(B1868, '00_TONG_HOP_BAO_GIA'!B:B, '00_TONG_HOP_BAO_GIA'!G:G, 1)</f>
        <v/>
      </c>
      <c r="I1868" s="5">
        <f>G1868*H1868</f>
        <v/>
      </c>
      <c r="J1868" s="2">
        <f>XLOOKUP(E1868, '06_BANG_GIA_VAT_TU_AP_DUNG'!B:B, '06_BANG_GIA_VAT_TU_AP_DUNG'!C:C, "LỖI_MÃ_VT")</f>
        <v/>
      </c>
      <c r="K1868" s="2">
        <f>I1868*J1868</f>
        <v/>
      </c>
      <c r="L1868" t="inlineStr">
        <is>
          <t>4 trục dài 660mm</t>
        </is>
      </c>
    </row>
    <row r="1869">
      <c r="A1869" t="inlineStr">
        <is>
          <t>SW-DAMPER-441-BEARING</t>
        </is>
      </c>
      <c r="B1869" t="inlineStr">
        <is>
          <t>SW-DAMPER-441</t>
        </is>
      </c>
      <c r="C1869" t="inlineStr">
        <is>
          <t>Bạc đồng D10</t>
        </is>
      </c>
      <c r="D1869" t="inlineStr">
        <is>
          <t>PHỤ_KIỆN_VAN</t>
        </is>
      </c>
      <c r="E1869" t="inlineStr">
        <is>
          <t>MAT-DAMPER-BAC-DONG-D10</t>
        </is>
      </c>
      <c r="F1869" t="inlineStr">
        <is>
          <t>Đôi</t>
        </is>
      </c>
      <c r="G1869" s="4" t="n">
        <v>4</v>
      </c>
      <c r="H1869" s="2">
        <f>XLOOKUP(B1869, '00_TONG_HOP_BAO_GIA'!B:B, '00_TONG_HOP_BAO_GIA'!G:G, 1)</f>
        <v/>
      </c>
      <c r="I1869" s="5">
        <f>G1869*H1869</f>
        <v/>
      </c>
      <c r="J1869" s="2">
        <f>XLOOKUP(E1869, '06_BANG_GIA_VAT_TU_AP_DUNG'!B:B, '06_BANG_GIA_VAT_TU_AP_DUNG'!C:C, "LỖI_MÃ_VT")</f>
        <v/>
      </c>
      <c r="K1869" s="2">
        <f>I1869*J1869</f>
        <v/>
      </c>
      <c r="L1869" t="inlineStr">
        <is>
          <t>4 đôi bạc đỡ 2 bên thân</t>
        </is>
      </c>
    </row>
    <row r="1870">
      <c r="A1870" t="inlineStr">
        <is>
          <t>SW-DAMPER-441-GEAR</t>
        </is>
      </c>
      <c r="B1870" t="inlineStr">
        <is>
          <t>SW-DAMPER-441</t>
        </is>
      </c>
      <c r="C1870" t="inlineStr">
        <is>
          <t>Bánh răng van nhôm</t>
        </is>
      </c>
      <c r="D1870" t="inlineStr">
        <is>
          <t>PHỤ_KIỆN_VAN</t>
        </is>
      </c>
      <c r="E1870" t="inlineStr">
        <is>
          <t>MAT-DAMPER-BANH-RANG-VAN-NHOM</t>
        </is>
      </c>
      <c r="F1870" t="inlineStr">
        <is>
          <t>Bộ</t>
        </is>
      </c>
      <c r="G1870" s="4" t="n">
        <v>1</v>
      </c>
      <c r="H1870" s="2">
        <f>XLOOKUP(B1870, '00_TONG_HOP_BAO_GIA'!B:B, '00_TONG_HOP_BAO_GIA'!G:G, 1)</f>
        <v/>
      </c>
      <c r="I1870" s="5">
        <f>G1870*H1870</f>
        <v/>
      </c>
      <c r="J1870" s="2">
        <f>XLOOKUP(E1870, '06_BANG_GIA_VAT_TU_AP_DUNG'!B:B, '06_BANG_GIA_VAT_TU_AP_DUNG'!C:C, "LỖI_MÃ_VT")</f>
        <v/>
      </c>
      <c r="K1870" s="2">
        <f>I1870*J1870</f>
        <v/>
      </c>
      <c r="L1870" t="inlineStr">
        <is>
          <t>Cơ cấu liên động bánh răng van</t>
        </is>
      </c>
    </row>
    <row r="1871">
      <c r="A1871" t="inlineStr">
        <is>
          <t>SW-DAMPER-441-FUSE</t>
        </is>
      </c>
      <c r="B1871" t="inlineStr">
        <is>
          <t>SW-DAMPER-441</t>
        </is>
      </c>
      <c r="C1871" t="inlineStr">
        <is>
          <t>Cầu chì nhiệt nóng chảy 70°C (Elsie/USA)</t>
        </is>
      </c>
      <c r="D1871" t="inlineStr">
        <is>
          <t>PHỤ_KIỆN_VAN</t>
        </is>
      </c>
      <c r="E1871" t="inlineStr">
        <is>
          <t>MAT-DAMPER-CAU-CHI-USA-2-400X400</t>
        </is>
      </c>
      <c r="F1871" t="inlineStr">
        <is>
          <t>Cái</t>
        </is>
      </c>
      <c r="G1871" s="4" t="n">
        <v>1</v>
      </c>
      <c r="H1871" s="2">
        <f>XLOOKUP(B1871, '00_TONG_HOP_BAO_GIA'!B:B, '00_TONG_HOP_BAO_GIA'!G:G, 1)</f>
        <v/>
      </c>
      <c r="I1871" s="5">
        <f>G1871*H1871</f>
        <v/>
      </c>
      <c r="J1871" s="2">
        <f>XLOOKUP(E1871, '06_BANG_GIA_VAT_TU_AP_DUNG'!B:B, '06_BANG_GIA_VAT_TU_AP_DUNG'!C:C, "LỖI_MÃ_VT")</f>
        <v/>
      </c>
      <c r="K1871" s="2">
        <f>I1871*J1871</f>
        <v/>
      </c>
      <c r="L1871" t="inlineStr">
        <is>
          <t>Cầu chì kiểm định PCCC</t>
        </is>
      </c>
    </row>
    <row r="1872">
      <c r="A1872" t="inlineStr">
        <is>
          <t>SW-DAMPER-442-BODY</t>
        </is>
      </c>
      <c r="B1872" t="inlineStr">
        <is>
          <t>SW-DAMPER-442</t>
        </is>
      </c>
      <c r="C1872" t="inlineStr">
        <is>
          <t>Thân vỏ van FD bích TDF (0.75mm)</t>
        </is>
      </c>
      <c r="D1872" t="inlineStr">
        <is>
          <t>TÔN_CUỘN_MẠ_KẼM</t>
        </is>
      </c>
      <c r="E1872" t="inlineStr">
        <is>
          <t>MAT-STEEL-PN-0.75</t>
        </is>
      </c>
      <c r="F1872" t="inlineStr">
        <is>
          <t>kg</t>
        </is>
      </c>
      <c r="G1872" s="4" t="n">
        <v>2.452968</v>
      </c>
      <c r="H1872" s="2">
        <f>XLOOKUP(B1872, '00_TONG_HOP_BAO_GIA'!B:B, '00_TONG_HOP_BAO_GIA'!G:G, 1)</f>
        <v/>
      </c>
      <c r="I1872" s="5">
        <f>G1872*H1872</f>
        <v/>
      </c>
      <c r="J1872" s="2">
        <f>XLOOKUP(E1872, '06_BANG_GIA_VAT_TU_AP_DUNG'!B:B, '06_BANG_GIA_VAT_TU_AP_DUNG'!C:C, "LỖI_MÃ_VT")</f>
        <v/>
      </c>
      <c r="K1872" s="2">
        <f>I1872*J1872</f>
        <v/>
      </c>
      <c r="L1872" t="inlineStr">
        <is>
          <t>Kích thước vỏ 300x300x250mm</t>
        </is>
      </c>
    </row>
    <row r="1873">
      <c r="A1873" t="inlineStr">
        <is>
          <t>SW-DAMPER-442-BLADE</t>
        </is>
      </c>
      <c r="B1873" t="inlineStr">
        <is>
          <t>SW-DAMPER-442</t>
        </is>
      </c>
      <c r="C1873" t="inlineStr">
        <is>
          <t>Lá cánh van (2 cánh overlap)</t>
        </is>
      </c>
      <c r="D1873" t="inlineStr">
        <is>
          <t>TÔN_CUỘN_MẠ_KẼM</t>
        </is>
      </c>
      <c r="E1873" t="inlineStr">
        <is>
          <t>MAT-STEEL-PN-0.75</t>
        </is>
      </c>
      <c r="F1873" t="inlineStr">
        <is>
          <t>kg</t>
        </is>
      </c>
      <c r="G1873" s="4" t="n">
        <v>0.648567</v>
      </c>
      <c r="H1873" s="2">
        <f>XLOOKUP(B1873, '00_TONG_HOP_BAO_GIA'!B:B, '00_TONG_HOP_BAO_GIA'!G:G, 1)</f>
        <v/>
      </c>
      <c r="I1873" s="5">
        <f>G1873*H1873</f>
        <v/>
      </c>
      <c r="J1873" s="2">
        <f>XLOOKUP(E1873, '06_BANG_GIA_VAT_TU_AP_DUNG'!B:B, '06_BANG_GIA_VAT_TU_AP_DUNG'!C:C, "LỖI_MÃ_VT")</f>
        <v/>
      </c>
      <c r="K1873" s="2">
        <f>I1873*J1873</f>
        <v/>
      </c>
      <c r="L1873" t="inlineStr">
        <is>
          <t>2 cánh cao 170mm</t>
        </is>
      </c>
    </row>
    <row r="1874">
      <c r="A1874" t="inlineStr">
        <is>
          <t>SW-DAMPER-442-AXLE</t>
        </is>
      </c>
      <c r="B1874" t="inlineStr">
        <is>
          <t>SW-DAMPER-442</t>
        </is>
      </c>
      <c r="C1874" t="inlineStr">
        <is>
          <t>Trục Sus 201 D10</t>
        </is>
      </c>
      <c r="D1874" t="inlineStr">
        <is>
          <t>PHỤ_KIỆN_VAN</t>
        </is>
      </c>
      <c r="E1874" t="inlineStr">
        <is>
          <t>MAT-DAMPER-TRUC-SUS-201-D10</t>
        </is>
      </c>
      <c r="F1874" t="inlineStr">
        <is>
          <t>m</t>
        </is>
      </c>
      <c r="G1874" s="4" t="n">
        <v>0.72</v>
      </c>
      <c r="H1874" s="2">
        <f>XLOOKUP(B1874, '00_TONG_HOP_BAO_GIA'!B:B, '00_TONG_HOP_BAO_GIA'!G:G, 1)</f>
        <v/>
      </c>
      <c r="I1874" s="5">
        <f>G1874*H1874</f>
        <v/>
      </c>
      <c r="J1874" s="2">
        <f>XLOOKUP(E1874, '06_BANG_GIA_VAT_TU_AP_DUNG'!B:B, '06_BANG_GIA_VAT_TU_AP_DUNG'!C:C, "LỖI_MÃ_VT")</f>
        <v/>
      </c>
      <c r="K1874" s="2">
        <f>I1874*J1874</f>
        <v/>
      </c>
      <c r="L1874" t="inlineStr">
        <is>
          <t>2 trục dài 360mm</t>
        </is>
      </c>
    </row>
    <row r="1875">
      <c r="A1875" t="inlineStr">
        <is>
          <t>SW-DAMPER-442-BEARING</t>
        </is>
      </c>
      <c r="B1875" t="inlineStr">
        <is>
          <t>SW-DAMPER-442</t>
        </is>
      </c>
      <c r="C1875" t="inlineStr">
        <is>
          <t>Bạc đồng D10</t>
        </is>
      </c>
      <c r="D1875" t="inlineStr">
        <is>
          <t>PHỤ_KIỆN_VAN</t>
        </is>
      </c>
      <c r="E1875" t="inlineStr">
        <is>
          <t>MAT-DAMPER-BAC-DONG-D10</t>
        </is>
      </c>
      <c r="F1875" t="inlineStr">
        <is>
          <t>Đôi</t>
        </is>
      </c>
      <c r="G1875" s="4" t="n">
        <v>2</v>
      </c>
      <c r="H1875" s="2">
        <f>XLOOKUP(B1875, '00_TONG_HOP_BAO_GIA'!B:B, '00_TONG_HOP_BAO_GIA'!G:G, 1)</f>
        <v/>
      </c>
      <c r="I1875" s="5">
        <f>G1875*H1875</f>
        <v/>
      </c>
      <c r="J1875" s="2">
        <f>XLOOKUP(E1875, '06_BANG_GIA_VAT_TU_AP_DUNG'!B:B, '06_BANG_GIA_VAT_TU_AP_DUNG'!C:C, "LỖI_MÃ_VT")</f>
        <v/>
      </c>
      <c r="K1875" s="2">
        <f>I1875*J1875</f>
        <v/>
      </c>
      <c r="L1875" t="inlineStr">
        <is>
          <t>2 đôi bạc đỡ 2 bên thân</t>
        </is>
      </c>
    </row>
    <row r="1876">
      <c r="A1876" t="inlineStr">
        <is>
          <t>SW-DAMPER-442-GEAR</t>
        </is>
      </c>
      <c r="B1876" t="inlineStr">
        <is>
          <t>SW-DAMPER-442</t>
        </is>
      </c>
      <c r="C1876" t="inlineStr">
        <is>
          <t>Bánh răng van nhôm</t>
        </is>
      </c>
      <c r="D1876" t="inlineStr">
        <is>
          <t>PHỤ_KIỆN_VAN</t>
        </is>
      </c>
      <c r="E1876" t="inlineStr">
        <is>
          <t>MAT-DAMPER-BANH-RANG-VAN-NHOM</t>
        </is>
      </c>
      <c r="F1876" t="inlineStr">
        <is>
          <t>Bộ</t>
        </is>
      </c>
      <c r="G1876" s="4" t="n">
        <v>1</v>
      </c>
      <c r="H1876" s="2">
        <f>XLOOKUP(B1876, '00_TONG_HOP_BAO_GIA'!B:B, '00_TONG_HOP_BAO_GIA'!G:G, 1)</f>
        <v/>
      </c>
      <c r="I1876" s="5">
        <f>G1876*H1876</f>
        <v/>
      </c>
      <c r="J1876" s="2">
        <f>XLOOKUP(E1876, '06_BANG_GIA_VAT_TU_AP_DUNG'!B:B, '06_BANG_GIA_VAT_TU_AP_DUNG'!C:C, "LỖI_MÃ_VT")</f>
        <v/>
      </c>
      <c r="K1876" s="2">
        <f>I1876*J1876</f>
        <v/>
      </c>
      <c r="L1876" t="inlineStr">
        <is>
          <t>Cơ cấu liên động bánh răng van</t>
        </is>
      </c>
    </row>
    <row r="1877">
      <c r="A1877" t="inlineStr">
        <is>
          <t>SW-DAMPER-442-FUSE</t>
        </is>
      </c>
      <c r="B1877" t="inlineStr">
        <is>
          <t>SW-DAMPER-442</t>
        </is>
      </c>
      <c r="C1877" t="inlineStr">
        <is>
          <t>Cầu chì nhiệt nóng chảy 70°C (Elsie/USA)</t>
        </is>
      </c>
      <c r="D1877" t="inlineStr">
        <is>
          <t>PHỤ_KIỆN_VAN</t>
        </is>
      </c>
      <c r="E1877" t="inlineStr">
        <is>
          <t>MAT-DAMPER-CAU-CHI-USA-1-400X400</t>
        </is>
      </c>
      <c r="F1877" t="inlineStr">
        <is>
          <t>Cái</t>
        </is>
      </c>
      <c r="G1877" s="4" t="n">
        <v>1</v>
      </c>
      <c r="H1877" s="2">
        <f>XLOOKUP(B1877, '00_TONG_HOP_BAO_GIA'!B:B, '00_TONG_HOP_BAO_GIA'!G:G, 1)</f>
        <v/>
      </c>
      <c r="I1877" s="5">
        <f>G1877*H1877</f>
        <v/>
      </c>
      <c r="J1877" s="2">
        <f>XLOOKUP(E1877, '06_BANG_GIA_VAT_TU_AP_DUNG'!B:B, '06_BANG_GIA_VAT_TU_AP_DUNG'!C:C, "LỖI_MÃ_VT")</f>
        <v/>
      </c>
      <c r="K1877" s="2">
        <f>I1877*J1877</f>
        <v/>
      </c>
      <c r="L1877" t="inlineStr">
        <is>
          <t>Cầu chì kiểm định PCCC</t>
        </is>
      </c>
    </row>
    <row r="1878">
      <c r="A1878" t="inlineStr">
        <is>
          <t>SW-DAMPER-443-BODY</t>
        </is>
      </c>
      <c r="B1878" t="inlineStr">
        <is>
          <t>SW-DAMPER-443</t>
        </is>
      </c>
      <c r="C1878" t="inlineStr">
        <is>
          <t>Thân vỏ van FD bích TDF (0.75mm)</t>
        </is>
      </c>
      <c r="D1878" t="inlineStr">
        <is>
          <t>TÔN_CUỘN_MẠ_KẼM</t>
        </is>
      </c>
      <c r="E1878" t="inlineStr">
        <is>
          <t>MAT-STEEL-PN-0.75</t>
        </is>
      </c>
      <c r="F1878" t="inlineStr">
        <is>
          <t>kg</t>
        </is>
      </c>
      <c r="G1878" s="4" t="n">
        <v>3.639888</v>
      </c>
      <c r="H1878" s="2">
        <f>XLOOKUP(B1878, '00_TONG_HOP_BAO_GIA'!B:B, '00_TONG_HOP_BAO_GIA'!G:G, 1)</f>
        <v/>
      </c>
      <c r="I1878" s="5">
        <f>G1878*H1878</f>
        <v/>
      </c>
      <c r="J1878" s="2">
        <f>XLOOKUP(E1878, '06_BANG_GIA_VAT_TU_AP_DUNG'!B:B, '06_BANG_GIA_VAT_TU_AP_DUNG'!C:C, "LỖI_MÃ_VT")</f>
        <v/>
      </c>
      <c r="K1878" s="2">
        <f>I1878*J1878</f>
        <v/>
      </c>
      <c r="L1878" t="inlineStr">
        <is>
          <t>Kích thước vỏ 650.0x250.0x250mm</t>
        </is>
      </c>
    </row>
    <row r="1879">
      <c r="A1879" t="inlineStr">
        <is>
          <t>SW-DAMPER-443-BLADE</t>
        </is>
      </c>
      <c r="B1879" t="inlineStr">
        <is>
          <t>SW-DAMPER-443</t>
        </is>
      </c>
      <c r="C1879" t="inlineStr">
        <is>
          <t>Lá cánh van (2 cánh overlap)</t>
        </is>
      </c>
      <c r="D1879" t="inlineStr">
        <is>
          <t>TÔN_CUỘN_MẠ_KẼM</t>
        </is>
      </c>
      <c r="E1879" t="inlineStr">
        <is>
          <t>MAT-STEEL-PN-0.75</t>
        </is>
      </c>
      <c r="F1879" t="inlineStr">
        <is>
          <t>kg</t>
        </is>
      </c>
      <c r="G1879" s="4" t="n">
        <v>1.19857725</v>
      </c>
      <c r="H1879" s="2">
        <f>XLOOKUP(B1879, '00_TONG_HOP_BAO_GIA'!B:B, '00_TONG_HOP_BAO_GIA'!G:G, 1)</f>
        <v/>
      </c>
      <c r="I1879" s="5">
        <f>G1879*H1879</f>
        <v/>
      </c>
      <c r="J1879" s="2">
        <f>XLOOKUP(E1879, '06_BANG_GIA_VAT_TU_AP_DUNG'!B:B, '06_BANG_GIA_VAT_TU_AP_DUNG'!C:C, "LỖI_MÃ_VT")</f>
        <v/>
      </c>
      <c r="K1879" s="2">
        <f>I1879*J1879</f>
        <v/>
      </c>
      <c r="L1879" t="inlineStr">
        <is>
          <t>2 cánh cao 145mm</t>
        </is>
      </c>
    </row>
    <row r="1880">
      <c r="A1880" t="inlineStr">
        <is>
          <t>SW-DAMPER-443-AXLE</t>
        </is>
      </c>
      <c r="B1880" t="inlineStr">
        <is>
          <t>SW-DAMPER-443</t>
        </is>
      </c>
      <c r="C1880" t="inlineStr">
        <is>
          <t>Trục Sus 201 D10</t>
        </is>
      </c>
      <c r="D1880" t="inlineStr">
        <is>
          <t>PHỤ_KIỆN_VAN</t>
        </is>
      </c>
      <c r="E1880" t="inlineStr">
        <is>
          <t>MAT-DAMPER-TRUC-SUS-201-D10</t>
        </is>
      </c>
      <c r="F1880" t="inlineStr">
        <is>
          <t>m</t>
        </is>
      </c>
      <c r="G1880" s="4" t="n">
        <v>1.42</v>
      </c>
      <c r="H1880" s="2">
        <f>XLOOKUP(B1880, '00_TONG_HOP_BAO_GIA'!B:B, '00_TONG_HOP_BAO_GIA'!G:G, 1)</f>
        <v/>
      </c>
      <c r="I1880" s="5">
        <f>G1880*H1880</f>
        <v/>
      </c>
      <c r="J1880" s="2">
        <f>XLOOKUP(E1880, '06_BANG_GIA_VAT_TU_AP_DUNG'!B:B, '06_BANG_GIA_VAT_TU_AP_DUNG'!C:C, "LỖI_MÃ_VT")</f>
        <v/>
      </c>
      <c r="K1880" s="2">
        <f>I1880*J1880</f>
        <v/>
      </c>
      <c r="L1880" t="inlineStr">
        <is>
          <t>2 trục dài 710mm</t>
        </is>
      </c>
    </row>
    <row r="1881">
      <c r="A1881" t="inlineStr">
        <is>
          <t>SW-DAMPER-443-BEARING</t>
        </is>
      </c>
      <c r="B1881" t="inlineStr">
        <is>
          <t>SW-DAMPER-443</t>
        </is>
      </c>
      <c r="C1881" t="inlineStr">
        <is>
          <t>Bạc đồng D10</t>
        </is>
      </c>
      <c r="D1881" t="inlineStr">
        <is>
          <t>PHỤ_KIỆN_VAN</t>
        </is>
      </c>
      <c r="E1881" t="inlineStr">
        <is>
          <t>MAT-DAMPER-BAC-DONG-D10</t>
        </is>
      </c>
      <c r="F1881" t="inlineStr">
        <is>
          <t>Đôi</t>
        </is>
      </c>
      <c r="G1881" s="4" t="n">
        <v>2</v>
      </c>
      <c r="H1881" s="2">
        <f>XLOOKUP(B1881, '00_TONG_HOP_BAO_GIA'!B:B, '00_TONG_HOP_BAO_GIA'!G:G, 1)</f>
        <v/>
      </c>
      <c r="I1881" s="5">
        <f>G1881*H1881</f>
        <v/>
      </c>
      <c r="J1881" s="2">
        <f>XLOOKUP(E1881, '06_BANG_GIA_VAT_TU_AP_DUNG'!B:B, '06_BANG_GIA_VAT_TU_AP_DUNG'!C:C, "LỖI_MÃ_VT")</f>
        <v/>
      </c>
      <c r="K1881" s="2">
        <f>I1881*J1881</f>
        <v/>
      </c>
      <c r="L1881" t="inlineStr">
        <is>
          <t>2 đôi bạc đỡ 2 bên thân</t>
        </is>
      </c>
    </row>
    <row r="1882">
      <c r="A1882" t="inlineStr">
        <is>
          <t>SW-DAMPER-443-GEAR</t>
        </is>
      </c>
      <c r="B1882" t="inlineStr">
        <is>
          <t>SW-DAMPER-443</t>
        </is>
      </c>
      <c r="C1882" t="inlineStr">
        <is>
          <t>Bánh răng van nhôm</t>
        </is>
      </c>
      <c r="D1882" t="inlineStr">
        <is>
          <t>PHỤ_KIỆN_VAN</t>
        </is>
      </c>
      <c r="E1882" t="inlineStr">
        <is>
          <t>MAT-DAMPER-BANH-RANG-VAN-NHOM</t>
        </is>
      </c>
      <c r="F1882" t="inlineStr">
        <is>
          <t>Bộ</t>
        </is>
      </c>
      <c r="G1882" s="4" t="n">
        <v>1</v>
      </c>
      <c r="H1882" s="2">
        <f>XLOOKUP(B1882, '00_TONG_HOP_BAO_GIA'!B:B, '00_TONG_HOP_BAO_GIA'!G:G, 1)</f>
        <v/>
      </c>
      <c r="I1882" s="5">
        <f>G1882*H1882</f>
        <v/>
      </c>
      <c r="J1882" s="2">
        <f>XLOOKUP(E1882, '06_BANG_GIA_VAT_TU_AP_DUNG'!B:B, '06_BANG_GIA_VAT_TU_AP_DUNG'!C:C, "LỖI_MÃ_VT")</f>
        <v/>
      </c>
      <c r="K1882" s="2">
        <f>I1882*J1882</f>
        <v/>
      </c>
      <c r="L1882" t="inlineStr">
        <is>
          <t>Cơ cấu liên động bánh răng van</t>
        </is>
      </c>
    </row>
    <row r="1883">
      <c r="A1883" t="inlineStr">
        <is>
          <t>SW-DAMPER-443-FUSE</t>
        </is>
      </c>
      <c r="B1883" t="inlineStr">
        <is>
          <t>SW-DAMPER-443</t>
        </is>
      </c>
      <c r="C1883" t="inlineStr">
        <is>
          <t>Cầu chì nhiệt nóng chảy 70°C (Elsie/USA)</t>
        </is>
      </c>
      <c r="D1883" t="inlineStr">
        <is>
          <t>PHỤ_KIỆN_VAN</t>
        </is>
      </c>
      <c r="E1883" t="inlineStr">
        <is>
          <t>MAT-DAMPER-CAU-CHI-USA-2-400X400</t>
        </is>
      </c>
      <c r="F1883" t="inlineStr">
        <is>
          <t>Cái</t>
        </is>
      </c>
      <c r="G1883" s="4" t="n">
        <v>1</v>
      </c>
      <c r="H1883" s="2">
        <f>XLOOKUP(B1883, '00_TONG_HOP_BAO_GIA'!B:B, '00_TONG_HOP_BAO_GIA'!G:G, 1)</f>
        <v/>
      </c>
      <c r="I1883" s="5">
        <f>G1883*H1883</f>
        <v/>
      </c>
      <c r="J1883" s="2">
        <f>XLOOKUP(E1883, '06_BANG_GIA_VAT_TU_AP_DUNG'!B:B, '06_BANG_GIA_VAT_TU_AP_DUNG'!C:C, "LỖI_MÃ_VT")</f>
        <v/>
      </c>
      <c r="K1883" s="2">
        <f>I1883*J1883</f>
        <v/>
      </c>
      <c r="L1883" t="inlineStr">
        <is>
          <t>Cầu chì kiểm định PCCC</t>
        </is>
      </c>
    </row>
    <row r="1884">
      <c r="A1884" t="inlineStr">
        <is>
          <t>SW-DAMPER-444-BODY</t>
        </is>
      </c>
      <c r="B1884" t="inlineStr">
        <is>
          <t>SW-DAMPER-444</t>
        </is>
      </c>
      <c r="C1884" t="inlineStr">
        <is>
          <t>Thân vỏ van FD bích TDF (0.75mm)</t>
        </is>
      </c>
      <c r="D1884" t="inlineStr">
        <is>
          <t>TÔN_CUỘN_MẠ_KẼM</t>
        </is>
      </c>
      <c r="E1884" t="inlineStr">
        <is>
          <t>MAT-STEEL-PN-0.75</t>
        </is>
      </c>
      <c r="F1884" t="inlineStr">
        <is>
          <t>kg</t>
        </is>
      </c>
      <c r="G1884" s="4" t="n">
        <v>3.837708</v>
      </c>
      <c r="H1884" s="2">
        <f>XLOOKUP(B1884, '00_TONG_HOP_BAO_GIA'!B:B, '00_TONG_HOP_BAO_GIA'!G:G, 1)</f>
        <v/>
      </c>
      <c r="I1884" s="5">
        <f>G1884*H1884</f>
        <v/>
      </c>
      <c r="J1884" s="2">
        <f>XLOOKUP(E1884, '06_BANG_GIA_VAT_TU_AP_DUNG'!B:B, '06_BANG_GIA_VAT_TU_AP_DUNG'!C:C, "LỖI_MÃ_VT")</f>
        <v/>
      </c>
      <c r="K1884" s="2">
        <f>I1884*J1884</f>
        <v/>
      </c>
      <c r="L1884" t="inlineStr">
        <is>
          <t>Kích thước vỏ 650.0x300.0x250mm</t>
        </is>
      </c>
    </row>
    <row r="1885">
      <c r="A1885" t="inlineStr">
        <is>
          <t>SW-DAMPER-444-BLADE</t>
        </is>
      </c>
      <c r="B1885" t="inlineStr">
        <is>
          <t>SW-DAMPER-444</t>
        </is>
      </c>
      <c r="C1885" t="inlineStr">
        <is>
          <t>Lá cánh van (2 cánh overlap)</t>
        </is>
      </c>
      <c r="D1885" t="inlineStr">
        <is>
          <t>TÔN_CUỘN_MẠ_KẼM</t>
        </is>
      </c>
      <c r="E1885" t="inlineStr">
        <is>
          <t>MAT-STEEL-PN-0.75</t>
        </is>
      </c>
      <c r="F1885" t="inlineStr">
        <is>
          <t>kg</t>
        </is>
      </c>
      <c r="G1885" s="4" t="n">
        <v>1.4052285</v>
      </c>
      <c r="H1885" s="2">
        <f>XLOOKUP(B1885, '00_TONG_HOP_BAO_GIA'!B:B, '00_TONG_HOP_BAO_GIA'!G:G, 1)</f>
        <v/>
      </c>
      <c r="I1885" s="5">
        <f>G1885*H1885</f>
        <v/>
      </c>
      <c r="J1885" s="2">
        <f>XLOOKUP(E1885, '06_BANG_GIA_VAT_TU_AP_DUNG'!B:B, '06_BANG_GIA_VAT_TU_AP_DUNG'!C:C, "LỖI_MÃ_VT")</f>
        <v/>
      </c>
      <c r="K1885" s="2">
        <f>I1885*J1885</f>
        <v/>
      </c>
      <c r="L1885" t="inlineStr">
        <is>
          <t>2 cánh cao 170mm</t>
        </is>
      </c>
    </row>
    <row r="1886">
      <c r="A1886" t="inlineStr">
        <is>
          <t>SW-DAMPER-444-AXLE</t>
        </is>
      </c>
      <c r="B1886" t="inlineStr">
        <is>
          <t>SW-DAMPER-444</t>
        </is>
      </c>
      <c r="C1886" t="inlineStr">
        <is>
          <t>Trục Sus 201 D10</t>
        </is>
      </c>
      <c r="D1886" t="inlineStr">
        <is>
          <t>PHỤ_KIỆN_VAN</t>
        </is>
      </c>
      <c r="E1886" t="inlineStr">
        <is>
          <t>MAT-DAMPER-TRUC-SUS-201-D10</t>
        </is>
      </c>
      <c r="F1886" t="inlineStr">
        <is>
          <t>m</t>
        </is>
      </c>
      <c r="G1886" s="4" t="n">
        <v>1.42</v>
      </c>
      <c r="H1886" s="2">
        <f>XLOOKUP(B1886, '00_TONG_HOP_BAO_GIA'!B:B, '00_TONG_HOP_BAO_GIA'!G:G, 1)</f>
        <v/>
      </c>
      <c r="I1886" s="5">
        <f>G1886*H1886</f>
        <v/>
      </c>
      <c r="J1886" s="2">
        <f>XLOOKUP(E1886, '06_BANG_GIA_VAT_TU_AP_DUNG'!B:B, '06_BANG_GIA_VAT_TU_AP_DUNG'!C:C, "LỖI_MÃ_VT")</f>
        <v/>
      </c>
      <c r="K1886" s="2">
        <f>I1886*J1886</f>
        <v/>
      </c>
      <c r="L1886" t="inlineStr">
        <is>
          <t>2 trục dài 710mm</t>
        </is>
      </c>
    </row>
    <row r="1887">
      <c r="A1887" t="inlineStr">
        <is>
          <t>SW-DAMPER-444-BEARING</t>
        </is>
      </c>
      <c r="B1887" t="inlineStr">
        <is>
          <t>SW-DAMPER-444</t>
        </is>
      </c>
      <c r="C1887" t="inlineStr">
        <is>
          <t>Bạc đồng D10</t>
        </is>
      </c>
      <c r="D1887" t="inlineStr">
        <is>
          <t>PHỤ_KIỆN_VAN</t>
        </is>
      </c>
      <c r="E1887" t="inlineStr">
        <is>
          <t>MAT-DAMPER-BAC-DONG-D10</t>
        </is>
      </c>
      <c r="F1887" t="inlineStr">
        <is>
          <t>Đôi</t>
        </is>
      </c>
      <c r="G1887" s="4" t="n">
        <v>2</v>
      </c>
      <c r="H1887" s="2">
        <f>XLOOKUP(B1887, '00_TONG_HOP_BAO_GIA'!B:B, '00_TONG_HOP_BAO_GIA'!G:G, 1)</f>
        <v/>
      </c>
      <c r="I1887" s="5">
        <f>G1887*H1887</f>
        <v/>
      </c>
      <c r="J1887" s="2">
        <f>XLOOKUP(E1887, '06_BANG_GIA_VAT_TU_AP_DUNG'!B:B, '06_BANG_GIA_VAT_TU_AP_DUNG'!C:C, "LỖI_MÃ_VT")</f>
        <v/>
      </c>
      <c r="K1887" s="2">
        <f>I1887*J1887</f>
        <v/>
      </c>
      <c r="L1887" t="inlineStr">
        <is>
          <t>2 đôi bạc đỡ 2 bên thân</t>
        </is>
      </c>
    </row>
    <row r="1888">
      <c r="A1888" t="inlineStr">
        <is>
          <t>SW-DAMPER-444-GEAR</t>
        </is>
      </c>
      <c r="B1888" t="inlineStr">
        <is>
          <t>SW-DAMPER-444</t>
        </is>
      </c>
      <c r="C1888" t="inlineStr">
        <is>
          <t>Bánh răng van nhôm</t>
        </is>
      </c>
      <c r="D1888" t="inlineStr">
        <is>
          <t>PHỤ_KIỆN_VAN</t>
        </is>
      </c>
      <c r="E1888" t="inlineStr">
        <is>
          <t>MAT-DAMPER-BANH-RANG-VAN-NHOM</t>
        </is>
      </c>
      <c r="F1888" t="inlineStr">
        <is>
          <t>Bộ</t>
        </is>
      </c>
      <c r="G1888" s="4" t="n">
        <v>1</v>
      </c>
      <c r="H1888" s="2">
        <f>XLOOKUP(B1888, '00_TONG_HOP_BAO_GIA'!B:B, '00_TONG_HOP_BAO_GIA'!G:G, 1)</f>
        <v/>
      </c>
      <c r="I1888" s="5">
        <f>G1888*H1888</f>
        <v/>
      </c>
      <c r="J1888" s="2">
        <f>XLOOKUP(E1888, '06_BANG_GIA_VAT_TU_AP_DUNG'!B:B, '06_BANG_GIA_VAT_TU_AP_DUNG'!C:C, "LỖI_MÃ_VT")</f>
        <v/>
      </c>
      <c r="K1888" s="2">
        <f>I1888*J1888</f>
        <v/>
      </c>
      <c r="L1888" t="inlineStr">
        <is>
          <t>Cơ cấu liên động bánh răng van</t>
        </is>
      </c>
    </row>
    <row r="1889">
      <c r="A1889" t="inlineStr">
        <is>
          <t>SW-DAMPER-444-FUSE</t>
        </is>
      </c>
      <c r="B1889" t="inlineStr">
        <is>
          <t>SW-DAMPER-444</t>
        </is>
      </c>
      <c r="C1889" t="inlineStr">
        <is>
          <t>Cầu chì nhiệt nóng chảy 70°C (Elsie/USA)</t>
        </is>
      </c>
      <c r="D1889" t="inlineStr">
        <is>
          <t>PHỤ_KIỆN_VAN</t>
        </is>
      </c>
      <c r="E1889" t="inlineStr">
        <is>
          <t>MAT-DAMPER-CAU-CHI-USA-2-400X400</t>
        </is>
      </c>
      <c r="F1889" t="inlineStr">
        <is>
          <t>Cái</t>
        </is>
      </c>
      <c r="G1889" s="4" t="n">
        <v>1</v>
      </c>
      <c r="H1889" s="2">
        <f>XLOOKUP(B1889, '00_TONG_HOP_BAO_GIA'!B:B, '00_TONG_HOP_BAO_GIA'!G:G, 1)</f>
        <v/>
      </c>
      <c r="I1889" s="5">
        <f>G1889*H1889</f>
        <v/>
      </c>
      <c r="J1889" s="2">
        <f>XLOOKUP(E1889, '06_BANG_GIA_VAT_TU_AP_DUNG'!B:B, '06_BANG_GIA_VAT_TU_AP_DUNG'!C:C, "LỖI_MÃ_VT")</f>
        <v/>
      </c>
      <c r="K1889" s="2">
        <f>I1889*J1889</f>
        <v/>
      </c>
      <c r="L1889" t="inlineStr">
        <is>
          <t>Cầu chì kiểm định PCCC</t>
        </is>
      </c>
    </row>
    <row r="1890">
      <c r="A1890" t="inlineStr">
        <is>
          <t>SW-DAMPER-445-BODY</t>
        </is>
      </c>
      <c r="B1890" t="inlineStr">
        <is>
          <t>SW-DAMPER-445</t>
        </is>
      </c>
      <c r="C1890" t="inlineStr">
        <is>
          <t>Thân vỏ van FD bích TDF (0.75mm)</t>
        </is>
      </c>
      <c r="D1890" t="inlineStr">
        <is>
          <t>TÔN_CUỘN_MẠ_KẼM</t>
        </is>
      </c>
      <c r="E1890" t="inlineStr">
        <is>
          <t>MAT-STEEL-PN-0.75</t>
        </is>
      </c>
      <c r="F1890" t="inlineStr">
        <is>
          <t>kg</t>
        </is>
      </c>
      <c r="G1890" s="4" t="n">
        <v>4.035528</v>
      </c>
      <c r="H1890" s="2">
        <f>XLOOKUP(B1890, '00_TONG_HOP_BAO_GIA'!B:B, '00_TONG_HOP_BAO_GIA'!G:G, 1)</f>
        <v/>
      </c>
      <c r="I1890" s="5">
        <f>G1890*H1890</f>
        <v/>
      </c>
      <c r="J1890" s="2">
        <f>XLOOKUP(E1890, '06_BANG_GIA_VAT_TU_AP_DUNG'!B:B, '06_BANG_GIA_VAT_TU_AP_DUNG'!C:C, "LỖI_MÃ_VT")</f>
        <v/>
      </c>
      <c r="K1890" s="2">
        <f>I1890*J1890</f>
        <v/>
      </c>
      <c r="L1890" t="inlineStr">
        <is>
          <t>Kích thước vỏ 650.0x350.0x250mm</t>
        </is>
      </c>
    </row>
    <row r="1891">
      <c r="A1891" t="inlineStr">
        <is>
          <t>SW-DAMPER-445-BLADE</t>
        </is>
      </c>
      <c r="B1891" t="inlineStr">
        <is>
          <t>SW-DAMPER-445</t>
        </is>
      </c>
      <c r="C1891" t="inlineStr">
        <is>
          <t>Lá cánh van (2 cánh overlap)</t>
        </is>
      </c>
      <c r="D1891" t="inlineStr">
        <is>
          <t>TÔN_CUỘN_MẠ_KẼM</t>
        </is>
      </c>
      <c r="E1891" t="inlineStr">
        <is>
          <t>MAT-STEEL-PN-0.75</t>
        </is>
      </c>
      <c r="F1891" t="inlineStr">
        <is>
          <t>kg</t>
        </is>
      </c>
      <c r="G1891" s="4" t="n">
        <v>1.61187975</v>
      </c>
      <c r="H1891" s="2">
        <f>XLOOKUP(B1891, '00_TONG_HOP_BAO_GIA'!B:B, '00_TONG_HOP_BAO_GIA'!G:G, 1)</f>
        <v/>
      </c>
      <c r="I1891" s="5">
        <f>G1891*H1891</f>
        <v/>
      </c>
      <c r="J1891" s="2">
        <f>XLOOKUP(E1891, '06_BANG_GIA_VAT_TU_AP_DUNG'!B:B, '06_BANG_GIA_VAT_TU_AP_DUNG'!C:C, "LỖI_MÃ_VT")</f>
        <v/>
      </c>
      <c r="K1891" s="2">
        <f>I1891*J1891</f>
        <v/>
      </c>
      <c r="L1891" t="inlineStr">
        <is>
          <t>2 cánh cao 195mm</t>
        </is>
      </c>
    </row>
    <row r="1892">
      <c r="A1892" t="inlineStr">
        <is>
          <t>SW-DAMPER-445-AXLE</t>
        </is>
      </c>
      <c r="B1892" t="inlineStr">
        <is>
          <t>SW-DAMPER-445</t>
        </is>
      </c>
      <c r="C1892" t="inlineStr">
        <is>
          <t>Trục Sus 201 D10</t>
        </is>
      </c>
      <c r="D1892" t="inlineStr">
        <is>
          <t>PHỤ_KIỆN_VAN</t>
        </is>
      </c>
      <c r="E1892" t="inlineStr">
        <is>
          <t>MAT-DAMPER-TRUC-SUS-201-D10</t>
        </is>
      </c>
      <c r="F1892" t="inlineStr">
        <is>
          <t>m</t>
        </is>
      </c>
      <c r="G1892" s="4" t="n">
        <v>1.42</v>
      </c>
      <c r="H1892" s="2">
        <f>XLOOKUP(B1892, '00_TONG_HOP_BAO_GIA'!B:B, '00_TONG_HOP_BAO_GIA'!G:G, 1)</f>
        <v/>
      </c>
      <c r="I1892" s="5">
        <f>G1892*H1892</f>
        <v/>
      </c>
      <c r="J1892" s="2">
        <f>XLOOKUP(E1892, '06_BANG_GIA_VAT_TU_AP_DUNG'!B:B, '06_BANG_GIA_VAT_TU_AP_DUNG'!C:C, "LỖI_MÃ_VT")</f>
        <v/>
      </c>
      <c r="K1892" s="2">
        <f>I1892*J1892</f>
        <v/>
      </c>
      <c r="L1892" t="inlineStr">
        <is>
          <t>2 trục dài 710mm</t>
        </is>
      </c>
    </row>
    <row r="1893">
      <c r="A1893" t="inlineStr">
        <is>
          <t>SW-DAMPER-445-BEARING</t>
        </is>
      </c>
      <c r="B1893" t="inlineStr">
        <is>
          <t>SW-DAMPER-445</t>
        </is>
      </c>
      <c r="C1893" t="inlineStr">
        <is>
          <t>Bạc đồng D10</t>
        </is>
      </c>
      <c r="D1893" t="inlineStr">
        <is>
          <t>PHỤ_KIỆN_VAN</t>
        </is>
      </c>
      <c r="E1893" t="inlineStr">
        <is>
          <t>MAT-DAMPER-BAC-DONG-D10</t>
        </is>
      </c>
      <c r="F1893" t="inlineStr">
        <is>
          <t>Đôi</t>
        </is>
      </c>
      <c r="G1893" s="4" t="n">
        <v>2</v>
      </c>
      <c r="H1893" s="2">
        <f>XLOOKUP(B1893, '00_TONG_HOP_BAO_GIA'!B:B, '00_TONG_HOP_BAO_GIA'!G:G, 1)</f>
        <v/>
      </c>
      <c r="I1893" s="5">
        <f>G1893*H1893</f>
        <v/>
      </c>
      <c r="J1893" s="2">
        <f>XLOOKUP(E1893, '06_BANG_GIA_VAT_TU_AP_DUNG'!B:B, '06_BANG_GIA_VAT_TU_AP_DUNG'!C:C, "LỖI_MÃ_VT")</f>
        <v/>
      </c>
      <c r="K1893" s="2">
        <f>I1893*J1893</f>
        <v/>
      </c>
      <c r="L1893" t="inlineStr">
        <is>
          <t>2 đôi bạc đỡ 2 bên thân</t>
        </is>
      </c>
    </row>
    <row r="1894">
      <c r="A1894" t="inlineStr">
        <is>
          <t>SW-DAMPER-445-GEAR</t>
        </is>
      </c>
      <c r="B1894" t="inlineStr">
        <is>
          <t>SW-DAMPER-445</t>
        </is>
      </c>
      <c r="C1894" t="inlineStr">
        <is>
          <t>Bánh răng van nhôm</t>
        </is>
      </c>
      <c r="D1894" t="inlineStr">
        <is>
          <t>PHỤ_KIỆN_VAN</t>
        </is>
      </c>
      <c r="E1894" t="inlineStr">
        <is>
          <t>MAT-DAMPER-BANH-RANG-VAN-NHOM</t>
        </is>
      </c>
      <c r="F1894" t="inlineStr">
        <is>
          <t>Bộ</t>
        </is>
      </c>
      <c r="G1894" s="4" t="n">
        <v>1</v>
      </c>
      <c r="H1894" s="2">
        <f>XLOOKUP(B1894, '00_TONG_HOP_BAO_GIA'!B:B, '00_TONG_HOP_BAO_GIA'!G:G, 1)</f>
        <v/>
      </c>
      <c r="I1894" s="5">
        <f>G1894*H1894</f>
        <v/>
      </c>
      <c r="J1894" s="2">
        <f>XLOOKUP(E1894, '06_BANG_GIA_VAT_TU_AP_DUNG'!B:B, '06_BANG_GIA_VAT_TU_AP_DUNG'!C:C, "LỖI_MÃ_VT")</f>
        <v/>
      </c>
      <c r="K1894" s="2">
        <f>I1894*J1894</f>
        <v/>
      </c>
      <c r="L1894" t="inlineStr">
        <is>
          <t>Cơ cấu liên động bánh răng van</t>
        </is>
      </c>
    </row>
    <row r="1895">
      <c r="A1895" t="inlineStr">
        <is>
          <t>SW-DAMPER-445-FUSE</t>
        </is>
      </c>
      <c r="B1895" t="inlineStr">
        <is>
          <t>SW-DAMPER-445</t>
        </is>
      </c>
      <c r="C1895" t="inlineStr">
        <is>
          <t>Cầu chì nhiệt nóng chảy 70°C (Elsie/USA)</t>
        </is>
      </c>
      <c r="D1895" t="inlineStr">
        <is>
          <t>PHỤ_KIỆN_VAN</t>
        </is>
      </c>
      <c r="E1895" t="inlineStr">
        <is>
          <t>MAT-DAMPER-CAU-CHI-USA-2-400X400</t>
        </is>
      </c>
      <c r="F1895" t="inlineStr">
        <is>
          <t>Cái</t>
        </is>
      </c>
      <c r="G1895" s="4" t="n">
        <v>1</v>
      </c>
      <c r="H1895" s="2">
        <f>XLOOKUP(B1895, '00_TONG_HOP_BAO_GIA'!B:B, '00_TONG_HOP_BAO_GIA'!G:G, 1)</f>
        <v/>
      </c>
      <c r="I1895" s="5">
        <f>G1895*H1895</f>
        <v/>
      </c>
      <c r="J1895" s="2">
        <f>XLOOKUP(E1895, '06_BANG_GIA_VAT_TU_AP_DUNG'!B:B, '06_BANG_GIA_VAT_TU_AP_DUNG'!C:C, "LỖI_MÃ_VT")</f>
        <v/>
      </c>
      <c r="K1895" s="2">
        <f>I1895*J1895</f>
        <v/>
      </c>
      <c r="L1895" t="inlineStr">
        <is>
          <t>Cầu chì kiểm định PCCC</t>
        </is>
      </c>
    </row>
    <row r="1896">
      <c r="A1896" t="inlineStr">
        <is>
          <t>SW-DAMPER-446-BODY</t>
        </is>
      </c>
      <c r="B1896" t="inlineStr">
        <is>
          <t>SW-DAMPER-446</t>
        </is>
      </c>
      <c r="C1896" t="inlineStr">
        <is>
          <t>Thân vỏ van FD bích TDF (0.75mm)</t>
        </is>
      </c>
      <c r="D1896" t="inlineStr">
        <is>
          <t>TÔN_CUỘN_MẠ_KẼM</t>
        </is>
      </c>
      <c r="E1896" t="inlineStr">
        <is>
          <t>MAT-STEEL-PN-0.75</t>
        </is>
      </c>
      <c r="F1896" t="inlineStr">
        <is>
          <t>kg</t>
        </is>
      </c>
      <c r="G1896" s="4" t="n">
        <v>4.233348</v>
      </c>
      <c r="H1896" s="2">
        <f>XLOOKUP(B1896, '00_TONG_HOP_BAO_GIA'!B:B, '00_TONG_HOP_BAO_GIA'!G:G, 1)</f>
        <v/>
      </c>
      <c r="I1896" s="5">
        <f>G1896*H1896</f>
        <v/>
      </c>
      <c r="J1896" s="2">
        <f>XLOOKUP(E1896, '06_BANG_GIA_VAT_TU_AP_DUNG'!B:B, '06_BANG_GIA_VAT_TU_AP_DUNG'!C:C, "LỖI_MÃ_VT")</f>
        <v/>
      </c>
      <c r="K1896" s="2">
        <f>I1896*J1896</f>
        <v/>
      </c>
      <c r="L1896" t="inlineStr">
        <is>
          <t>Kích thước vỏ 650.0x400.0x250mm</t>
        </is>
      </c>
    </row>
    <row r="1897">
      <c r="A1897" t="inlineStr">
        <is>
          <t>SW-DAMPER-446-BLADE</t>
        </is>
      </c>
      <c r="B1897" t="inlineStr">
        <is>
          <t>SW-DAMPER-446</t>
        </is>
      </c>
      <c r="C1897" t="inlineStr">
        <is>
          <t>Lá cánh van (3 cánh overlap)</t>
        </is>
      </c>
      <c r="D1897" t="inlineStr">
        <is>
          <t>TÔN_CUỘN_MẠ_KẼM</t>
        </is>
      </c>
      <c r="E1897" t="inlineStr">
        <is>
          <t>MAT-STEEL-PN-0.75</t>
        </is>
      </c>
      <c r="F1897" t="inlineStr">
        <is>
          <t>kg</t>
        </is>
      </c>
      <c r="G1897" s="4" t="n">
        <v>1.9011915</v>
      </c>
      <c r="H1897" s="2">
        <f>XLOOKUP(B1897, '00_TONG_HOP_BAO_GIA'!B:B, '00_TONG_HOP_BAO_GIA'!G:G, 1)</f>
        <v/>
      </c>
      <c r="I1897" s="5">
        <f>G1897*H1897</f>
        <v/>
      </c>
      <c r="J1897" s="2">
        <f>XLOOKUP(E1897, '06_BANG_GIA_VAT_TU_AP_DUNG'!B:B, '06_BANG_GIA_VAT_TU_AP_DUNG'!C:C, "LỖI_MÃ_VT")</f>
        <v/>
      </c>
      <c r="K1897" s="2">
        <f>I1897*J1897</f>
        <v/>
      </c>
      <c r="L1897" t="inlineStr">
        <is>
          <t>3 cánh cao 153mm</t>
        </is>
      </c>
    </row>
    <row r="1898">
      <c r="A1898" t="inlineStr">
        <is>
          <t>SW-DAMPER-446-AXLE</t>
        </is>
      </c>
      <c r="B1898" t="inlineStr">
        <is>
          <t>SW-DAMPER-446</t>
        </is>
      </c>
      <c r="C1898" t="inlineStr">
        <is>
          <t>Trục Sus 201 D10</t>
        </is>
      </c>
      <c r="D1898" t="inlineStr">
        <is>
          <t>PHỤ_KIỆN_VAN</t>
        </is>
      </c>
      <c r="E1898" t="inlineStr">
        <is>
          <t>MAT-DAMPER-TRUC-SUS-201-D10</t>
        </is>
      </c>
      <c r="F1898" t="inlineStr">
        <is>
          <t>m</t>
        </is>
      </c>
      <c r="G1898" s="4" t="n">
        <v>2.13</v>
      </c>
      <c r="H1898" s="2">
        <f>XLOOKUP(B1898, '00_TONG_HOP_BAO_GIA'!B:B, '00_TONG_HOP_BAO_GIA'!G:G, 1)</f>
        <v/>
      </c>
      <c r="I1898" s="5">
        <f>G1898*H1898</f>
        <v/>
      </c>
      <c r="J1898" s="2">
        <f>XLOOKUP(E1898, '06_BANG_GIA_VAT_TU_AP_DUNG'!B:B, '06_BANG_GIA_VAT_TU_AP_DUNG'!C:C, "LỖI_MÃ_VT")</f>
        <v/>
      </c>
      <c r="K1898" s="2">
        <f>I1898*J1898</f>
        <v/>
      </c>
      <c r="L1898" t="inlineStr">
        <is>
          <t>3 trục dài 710mm</t>
        </is>
      </c>
    </row>
    <row r="1899">
      <c r="A1899" t="inlineStr">
        <is>
          <t>SW-DAMPER-446-BEARING</t>
        </is>
      </c>
      <c r="B1899" t="inlineStr">
        <is>
          <t>SW-DAMPER-446</t>
        </is>
      </c>
      <c r="C1899" t="inlineStr">
        <is>
          <t>Bạc đồng D10</t>
        </is>
      </c>
      <c r="D1899" t="inlineStr">
        <is>
          <t>PHỤ_KIỆN_VAN</t>
        </is>
      </c>
      <c r="E1899" t="inlineStr">
        <is>
          <t>MAT-DAMPER-BAC-DONG-D10</t>
        </is>
      </c>
      <c r="F1899" t="inlineStr">
        <is>
          <t>Đôi</t>
        </is>
      </c>
      <c r="G1899" s="4" t="n">
        <v>3</v>
      </c>
      <c r="H1899" s="2">
        <f>XLOOKUP(B1899, '00_TONG_HOP_BAO_GIA'!B:B, '00_TONG_HOP_BAO_GIA'!G:G, 1)</f>
        <v/>
      </c>
      <c r="I1899" s="5">
        <f>G1899*H1899</f>
        <v/>
      </c>
      <c r="J1899" s="2">
        <f>XLOOKUP(E1899, '06_BANG_GIA_VAT_TU_AP_DUNG'!B:B, '06_BANG_GIA_VAT_TU_AP_DUNG'!C:C, "LỖI_MÃ_VT")</f>
        <v/>
      </c>
      <c r="K1899" s="2">
        <f>I1899*J1899</f>
        <v/>
      </c>
      <c r="L1899" t="inlineStr">
        <is>
          <t>3 đôi bạc đỡ 2 bên thân</t>
        </is>
      </c>
    </row>
    <row r="1900">
      <c r="A1900" t="inlineStr">
        <is>
          <t>SW-DAMPER-446-GEAR</t>
        </is>
      </c>
      <c r="B1900" t="inlineStr">
        <is>
          <t>SW-DAMPER-446</t>
        </is>
      </c>
      <c r="C1900" t="inlineStr">
        <is>
          <t>Bánh răng van nhôm</t>
        </is>
      </c>
      <c r="D1900" t="inlineStr">
        <is>
          <t>PHỤ_KIỆN_VAN</t>
        </is>
      </c>
      <c r="E1900" t="inlineStr">
        <is>
          <t>MAT-DAMPER-BANH-RANG-VAN-NHOM</t>
        </is>
      </c>
      <c r="F1900" t="inlineStr">
        <is>
          <t>Bộ</t>
        </is>
      </c>
      <c r="G1900" s="4" t="n">
        <v>1</v>
      </c>
      <c r="H1900" s="2">
        <f>XLOOKUP(B1900, '00_TONG_HOP_BAO_GIA'!B:B, '00_TONG_HOP_BAO_GIA'!G:G, 1)</f>
        <v/>
      </c>
      <c r="I1900" s="5">
        <f>G1900*H1900</f>
        <v/>
      </c>
      <c r="J1900" s="2">
        <f>XLOOKUP(E1900, '06_BANG_GIA_VAT_TU_AP_DUNG'!B:B, '06_BANG_GIA_VAT_TU_AP_DUNG'!C:C, "LỖI_MÃ_VT")</f>
        <v/>
      </c>
      <c r="K1900" s="2">
        <f>I1900*J1900</f>
        <v/>
      </c>
      <c r="L1900" t="inlineStr">
        <is>
          <t>Cơ cấu liên động bánh răng van</t>
        </is>
      </c>
    </row>
    <row r="1901">
      <c r="A1901" t="inlineStr">
        <is>
          <t>SW-DAMPER-446-FUSE</t>
        </is>
      </c>
      <c r="B1901" t="inlineStr">
        <is>
          <t>SW-DAMPER-446</t>
        </is>
      </c>
      <c r="C1901" t="inlineStr">
        <is>
          <t>Cầu chì nhiệt nóng chảy 70°C (Elsie/USA)</t>
        </is>
      </c>
      <c r="D1901" t="inlineStr">
        <is>
          <t>PHỤ_KIỆN_VAN</t>
        </is>
      </c>
      <c r="E1901" t="inlineStr">
        <is>
          <t>MAT-DAMPER-CAU-CHI-USA-2-400X400</t>
        </is>
      </c>
      <c r="F1901" t="inlineStr">
        <is>
          <t>Cái</t>
        </is>
      </c>
      <c r="G1901" s="4" t="n">
        <v>1</v>
      </c>
      <c r="H1901" s="2">
        <f>XLOOKUP(B1901, '00_TONG_HOP_BAO_GIA'!B:B, '00_TONG_HOP_BAO_GIA'!G:G, 1)</f>
        <v/>
      </c>
      <c r="I1901" s="5">
        <f>G1901*H1901</f>
        <v/>
      </c>
      <c r="J1901" s="2">
        <f>XLOOKUP(E1901, '06_BANG_GIA_VAT_TU_AP_DUNG'!B:B, '06_BANG_GIA_VAT_TU_AP_DUNG'!C:C, "LỖI_MÃ_VT")</f>
        <v/>
      </c>
      <c r="K1901" s="2">
        <f>I1901*J1901</f>
        <v/>
      </c>
      <c r="L1901" t="inlineStr">
        <is>
          <t>Cầu chì kiểm định PCCC</t>
        </is>
      </c>
    </row>
    <row r="1902">
      <c r="A1902" t="inlineStr">
        <is>
          <t>SW-DAMPER-447-BODY</t>
        </is>
      </c>
      <c r="B1902" t="inlineStr">
        <is>
          <t>SW-DAMPER-447</t>
        </is>
      </c>
      <c r="C1902" t="inlineStr">
        <is>
          <t>Thân vỏ van FD bích TDF (0.75mm)</t>
        </is>
      </c>
      <c r="D1902" t="inlineStr">
        <is>
          <t>TÔN_CUỘN_MẠ_KẼM</t>
        </is>
      </c>
      <c r="E1902" t="inlineStr">
        <is>
          <t>MAT-STEEL-PN-0.75</t>
        </is>
      </c>
      <c r="F1902" t="inlineStr">
        <is>
          <t>kg</t>
        </is>
      </c>
      <c r="G1902" s="4" t="n">
        <v>4.431168</v>
      </c>
      <c r="H1902" s="2">
        <f>XLOOKUP(B1902, '00_TONG_HOP_BAO_GIA'!B:B, '00_TONG_HOP_BAO_GIA'!G:G, 1)</f>
        <v/>
      </c>
      <c r="I1902" s="5">
        <f>G1902*H1902</f>
        <v/>
      </c>
      <c r="J1902" s="2">
        <f>XLOOKUP(E1902, '06_BANG_GIA_VAT_TU_AP_DUNG'!B:B, '06_BANG_GIA_VAT_TU_AP_DUNG'!C:C, "LỖI_MÃ_VT")</f>
        <v/>
      </c>
      <c r="K1902" s="2">
        <f>I1902*J1902</f>
        <v/>
      </c>
      <c r="L1902" t="inlineStr">
        <is>
          <t>Kích thước vỏ 700.0x400.0x250mm</t>
        </is>
      </c>
    </row>
    <row r="1903">
      <c r="A1903" t="inlineStr">
        <is>
          <t>SW-DAMPER-447-BLADE</t>
        </is>
      </c>
      <c r="B1903" t="inlineStr">
        <is>
          <t>SW-DAMPER-447</t>
        </is>
      </c>
      <c r="C1903" t="inlineStr">
        <is>
          <t>Lá cánh van (3 cánh overlap)</t>
        </is>
      </c>
      <c r="D1903" t="inlineStr">
        <is>
          <t>TÔN_CUỘN_MẠ_KẼM</t>
        </is>
      </c>
      <c r="E1903" t="inlineStr">
        <is>
          <t>MAT-STEEL-PN-0.75</t>
        </is>
      </c>
      <c r="F1903" t="inlineStr">
        <is>
          <t>kg</t>
        </is>
      </c>
      <c r="G1903" s="4" t="n">
        <v>2.047437</v>
      </c>
      <c r="H1903" s="2">
        <f>XLOOKUP(B1903, '00_TONG_HOP_BAO_GIA'!B:B, '00_TONG_HOP_BAO_GIA'!G:G, 1)</f>
        <v/>
      </c>
      <c r="I1903" s="5">
        <f>G1903*H1903</f>
        <v/>
      </c>
      <c r="J1903" s="2">
        <f>XLOOKUP(E1903, '06_BANG_GIA_VAT_TU_AP_DUNG'!B:B, '06_BANG_GIA_VAT_TU_AP_DUNG'!C:C, "LỖI_MÃ_VT")</f>
        <v/>
      </c>
      <c r="K1903" s="2">
        <f>I1903*J1903</f>
        <v/>
      </c>
      <c r="L1903" t="inlineStr">
        <is>
          <t>3 cánh cao 153mm</t>
        </is>
      </c>
    </row>
    <row r="1904">
      <c r="A1904" t="inlineStr">
        <is>
          <t>SW-DAMPER-447-AXLE</t>
        </is>
      </c>
      <c r="B1904" t="inlineStr">
        <is>
          <t>SW-DAMPER-447</t>
        </is>
      </c>
      <c r="C1904" t="inlineStr">
        <is>
          <t>Trục Sus 201 D10</t>
        </is>
      </c>
      <c r="D1904" t="inlineStr">
        <is>
          <t>PHỤ_KIỆN_VAN</t>
        </is>
      </c>
      <c r="E1904" t="inlineStr">
        <is>
          <t>MAT-DAMPER-TRUC-SUS-201-D10</t>
        </is>
      </c>
      <c r="F1904" t="inlineStr">
        <is>
          <t>m</t>
        </is>
      </c>
      <c r="G1904" s="4" t="n">
        <v>2.28</v>
      </c>
      <c r="H1904" s="2">
        <f>XLOOKUP(B1904, '00_TONG_HOP_BAO_GIA'!B:B, '00_TONG_HOP_BAO_GIA'!G:G, 1)</f>
        <v/>
      </c>
      <c r="I1904" s="5">
        <f>G1904*H1904</f>
        <v/>
      </c>
      <c r="J1904" s="2">
        <f>XLOOKUP(E1904, '06_BANG_GIA_VAT_TU_AP_DUNG'!B:B, '06_BANG_GIA_VAT_TU_AP_DUNG'!C:C, "LỖI_MÃ_VT")</f>
        <v/>
      </c>
      <c r="K1904" s="2">
        <f>I1904*J1904</f>
        <v/>
      </c>
      <c r="L1904" t="inlineStr">
        <is>
          <t>3 trục dài 760mm</t>
        </is>
      </c>
    </row>
    <row r="1905">
      <c r="A1905" t="inlineStr">
        <is>
          <t>SW-DAMPER-447-BEARING</t>
        </is>
      </c>
      <c r="B1905" t="inlineStr">
        <is>
          <t>SW-DAMPER-447</t>
        </is>
      </c>
      <c r="C1905" t="inlineStr">
        <is>
          <t>Bạc đồng D10</t>
        </is>
      </c>
      <c r="D1905" t="inlineStr">
        <is>
          <t>PHỤ_KIỆN_VAN</t>
        </is>
      </c>
      <c r="E1905" t="inlineStr">
        <is>
          <t>MAT-DAMPER-BAC-DONG-D10</t>
        </is>
      </c>
      <c r="F1905" t="inlineStr">
        <is>
          <t>Đôi</t>
        </is>
      </c>
      <c r="G1905" s="4" t="n">
        <v>3</v>
      </c>
      <c r="H1905" s="2">
        <f>XLOOKUP(B1905, '00_TONG_HOP_BAO_GIA'!B:B, '00_TONG_HOP_BAO_GIA'!G:G, 1)</f>
        <v/>
      </c>
      <c r="I1905" s="5">
        <f>G1905*H1905</f>
        <v/>
      </c>
      <c r="J1905" s="2">
        <f>XLOOKUP(E1905, '06_BANG_GIA_VAT_TU_AP_DUNG'!B:B, '06_BANG_GIA_VAT_TU_AP_DUNG'!C:C, "LỖI_MÃ_VT")</f>
        <v/>
      </c>
      <c r="K1905" s="2">
        <f>I1905*J1905</f>
        <v/>
      </c>
      <c r="L1905" t="inlineStr">
        <is>
          <t>3 đôi bạc đỡ 2 bên thân</t>
        </is>
      </c>
    </row>
    <row r="1906">
      <c r="A1906" t="inlineStr">
        <is>
          <t>SW-DAMPER-447-GEAR</t>
        </is>
      </c>
      <c r="B1906" t="inlineStr">
        <is>
          <t>SW-DAMPER-447</t>
        </is>
      </c>
      <c r="C1906" t="inlineStr">
        <is>
          <t>Bánh răng van nhôm</t>
        </is>
      </c>
      <c r="D1906" t="inlineStr">
        <is>
          <t>PHỤ_KIỆN_VAN</t>
        </is>
      </c>
      <c r="E1906" t="inlineStr">
        <is>
          <t>MAT-DAMPER-BANH-RANG-VAN-NHOM</t>
        </is>
      </c>
      <c r="F1906" t="inlineStr">
        <is>
          <t>Bộ</t>
        </is>
      </c>
      <c r="G1906" s="4" t="n">
        <v>1</v>
      </c>
      <c r="H1906" s="2">
        <f>XLOOKUP(B1906, '00_TONG_HOP_BAO_GIA'!B:B, '00_TONG_HOP_BAO_GIA'!G:G, 1)</f>
        <v/>
      </c>
      <c r="I1906" s="5">
        <f>G1906*H1906</f>
        <v/>
      </c>
      <c r="J1906" s="2">
        <f>XLOOKUP(E1906, '06_BANG_GIA_VAT_TU_AP_DUNG'!B:B, '06_BANG_GIA_VAT_TU_AP_DUNG'!C:C, "LỖI_MÃ_VT")</f>
        <v/>
      </c>
      <c r="K1906" s="2">
        <f>I1906*J1906</f>
        <v/>
      </c>
      <c r="L1906" t="inlineStr">
        <is>
          <t>Cơ cấu liên động bánh răng van</t>
        </is>
      </c>
    </row>
    <row r="1907">
      <c r="A1907" t="inlineStr">
        <is>
          <t>SW-DAMPER-447-FUSE</t>
        </is>
      </c>
      <c r="B1907" t="inlineStr">
        <is>
          <t>SW-DAMPER-447</t>
        </is>
      </c>
      <c r="C1907" t="inlineStr">
        <is>
          <t>Cầu chì nhiệt nóng chảy 70°C (Elsie/USA)</t>
        </is>
      </c>
      <c r="D1907" t="inlineStr">
        <is>
          <t>PHỤ_KIỆN_VAN</t>
        </is>
      </c>
      <c r="E1907" t="inlineStr">
        <is>
          <t>MAT-DAMPER-CAU-CHI-USA-2-400X400</t>
        </is>
      </c>
      <c r="F1907" t="inlineStr">
        <is>
          <t>Cái</t>
        </is>
      </c>
      <c r="G1907" s="4" t="n">
        <v>1</v>
      </c>
      <c r="H1907" s="2">
        <f>XLOOKUP(B1907, '00_TONG_HOP_BAO_GIA'!B:B, '00_TONG_HOP_BAO_GIA'!G:G, 1)</f>
        <v/>
      </c>
      <c r="I1907" s="5">
        <f>G1907*H1907</f>
        <v/>
      </c>
      <c r="J1907" s="2">
        <f>XLOOKUP(E1907, '06_BANG_GIA_VAT_TU_AP_DUNG'!B:B, '06_BANG_GIA_VAT_TU_AP_DUNG'!C:C, "LỖI_MÃ_VT")</f>
        <v/>
      </c>
      <c r="K1907" s="2">
        <f>I1907*J1907</f>
        <v/>
      </c>
      <c r="L1907" t="inlineStr">
        <is>
          <t>Cầu chì kiểm định PCCC</t>
        </is>
      </c>
    </row>
    <row r="1908">
      <c r="A1908" t="inlineStr">
        <is>
          <t>SW-DAMPER-448-BODY</t>
        </is>
      </c>
      <c r="B1908" t="inlineStr">
        <is>
          <t>SW-DAMPER-448</t>
        </is>
      </c>
      <c r="C1908" t="inlineStr">
        <is>
          <t>Thân vỏ van FD bích TDF (0.75mm)</t>
        </is>
      </c>
      <c r="D1908" t="inlineStr">
        <is>
          <t>TÔN_CUỘN_MẠ_KẼM</t>
        </is>
      </c>
      <c r="E1908" t="inlineStr">
        <is>
          <t>MAT-STEEL-PN-0.75</t>
        </is>
      </c>
      <c r="F1908" t="inlineStr">
        <is>
          <t>kg</t>
        </is>
      </c>
      <c r="G1908" s="4" t="n">
        <v>5.024628</v>
      </c>
      <c r="H1908" s="2">
        <f>XLOOKUP(B1908, '00_TONG_HOP_BAO_GIA'!B:B, '00_TONG_HOP_BAO_GIA'!G:G, 1)</f>
        <v/>
      </c>
      <c r="I1908" s="5">
        <f>G1908*H1908</f>
        <v/>
      </c>
      <c r="J1908" s="2">
        <f>XLOOKUP(E1908, '06_BANG_GIA_VAT_TU_AP_DUNG'!B:B, '06_BANG_GIA_VAT_TU_AP_DUNG'!C:C, "LỖI_MÃ_VT")</f>
        <v/>
      </c>
      <c r="K1908" s="2">
        <f>I1908*J1908</f>
        <v/>
      </c>
      <c r="L1908" t="inlineStr">
        <is>
          <t>Kích thước vỏ 750.0x500.0x250mm</t>
        </is>
      </c>
    </row>
    <row r="1909">
      <c r="A1909" t="inlineStr">
        <is>
          <t>SW-DAMPER-448-BLADE</t>
        </is>
      </c>
      <c r="B1909" t="inlineStr">
        <is>
          <t>SW-DAMPER-448</t>
        </is>
      </c>
      <c r="C1909" t="inlineStr">
        <is>
          <t>Lá cánh van (3 cánh overlap)</t>
        </is>
      </c>
      <c r="D1909" t="inlineStr">
        <is>
          <t>TÔN_CUỘN_MẠ_KẼM</t>
        </is>
      </c>
      <c r="E1909" t="inlineStr">
        <is>
          <t>MAT-STEEL-PN-0.75</t>
        </is>
      </c>
      <c r="F1909" t="inlineStr">
        <is>
          <t>kg</t>
        </is>
      </c>
      <c r="G1909" s="4" t="n">
        <v>2.670569999999999</v>
      </c>
      <c r="H1909" s="2">
        <f>XLOOKUP(B1909, '00_TONG_HOP_BAO_GIA'!B:B, '00_TONG_HOP_BAO_GIA'!G:G, 1)</f>
        <v/>
      </c>
      <c r="I1909" s="5">
        <f>G1909*H1909</f>
        <v/>
      </c>
      <c r="J1909" s="2">
        <f>XLOOKUP(E1909, '06_BANG_GIA_VAT_TU_AP_DUNG'!B:B, '06_BANG_GIA_VAT_TU_AP_DUNG'!C:C, "LỖI_MÃ_VT")</f>
        <v/>
      </c>
      <c r="K1909" s="2">
        <f>I1909*J1909</f>
        <v/>
      </c>
      <c r="L1909" t="inlineStr">
        <is>
          <t>3 cánh cao 187mm</t>
        </is>
      </c>
    </row>
    <row r="1910">
      <c r="A1910" t="inlineStr">
        <is>
          <t>SW-DAMPER-448-AXLE</t>
        </is>
      </c>
      <c r="B1910" t="inlineStr">
        <is>
          <t>SW-DAMPER-448</t>
        </is>
      </c>
      <c r="C1910" t="inlineStr">
        <is>
          <t>Trục Sus 201 D10</t>
        </is>
      </c>
      <c r="D1910" t="inlineStr">
        <is>
          <t>PHỤ_KIỆN_VAN</t>
        </is>
      </c>
      <c r="E1910" t="inlineStr">
        <is>
          <t>MAT-DAMPER-TRUC-SUS-201-D10</t>
        </is>
      </c>
      <c r="F1910" t="inlineStr">
        <is>
          <t>m</t>
        </is>
      </c>
      <c r="G1910" s="4" t="n">
        <v>2.43</v>
      </c>
      <c r="H1910" s="2">
        <f>XLOOKUP(B1910, '00_TONG_HOP_BAO_GIA'!B:B, '00_TONG_HOP_BAO_GIA'!G:G, 1)</f>
        <v/>
      </c>
      <c r="I1910" s="5">
        <f>G1910*H1910</f>
        <v/>
      </c>
      <c r="J1910" s="2">
        <f>XLOOKUP(E1910, '06_BANG_GIA_VAT_TU_AP_DUNG'!B:B, '06_BANG_GIA_VAT_TU_AP_DUNG'!C:C, "LỖI_MÃ_VT")</f>
        <v/>
      </c>
      <c r="K1910" s="2">
        <f>I1910*J1910</f>
        <v/>
      </c>
      <c r="L1910" t="inlineStr">
        <is>
          <t>3 trục dài 810mm</t>
        </is>
      </c>
    </row>
    <row r="1911">
      <c r="A1911" t="inlineStr">
        <is>
          <t>SW-DAMPER-448-BEARING</t>
        </is>
      </c>
      <c r="B1911" t="inlineStr">
        <is>
          <t>SW-DAMPER-448</t>
        </is>
      </c>
      <c r="C1911" t="inlineStr">
        <is>
          <t>Bạc đồng D10</t>
        </is>
      </c>
      <c r="D1911" t="inlineStr">
        <is>
          <t>PHỤ_KIỆN_VAN</t>
        </is>
      </c>
      <c r="E1911" t="inlineStr">
        <is>
          <t>MAT-DAMPER-BAC-DONG-D10</t>
        </is>
      </c>
      <c r="F1911" t="inlineStr">
        <is>
          <t>Đôi</t>
        </is>
      </c>
      <c r="G1911" s="4" t="n">
        <v>3</v>
      </c>
      <c r="H1911" s="2">
        <f>XLOOKUP(B1911, '00_TONG_HOP_BAO_GIA'!B:B, '00_TONG_HOP_BAO_GIA'!G:G, 1)</f>
        <v/>
      </c>
      <c r="I1911" s="5">
        <f>G1911*H1911</f>
        <v/>
      </c>
      <c r="J1911" s="2">
        <f>XLOOKUP(E1911, '06_BANG_GIA_VAT_TU_AP_DUNG'!B:B, '06_BANG_GIA_VAT_TU_AP_DUNG'!C:C, "LỖI_MÃ_VT")</f>
        <v/>
      </c>
      <c r="K1911" s="2">
        <f>I1911*J1911</f>
        <v/>
      </c>
      <c r="L1911" t="inlineStr">
        <is>
          <t>3 đôi bạc đỡ 2 bên thân</t>
        </is>
      </c>
    </row>
    <row r="1912">
      <c r="A1912" t="inlineStr">
        <is>
          <t>SW-DAMPER-448-GEAR</t>
        </is>
      </c>
      <c r="B1912" t="inlineStr">
        <is>
          <t>SW-DAMPER-448</t>
        </is>
      </c>
      <c r="C1912" t="inlineStr">
        <is>
          <t>Bánh răng van nhôm</t>
        </is>
      </c>
      <c r="D1912" t="inlineStr">
        <is>
          <t>PHỤ_KIỆN_VAN</t>
        </is>
      </c>
      <c r="E1912" t="inlineStr">
        <is>
          <t>MAT-DAMPER-BANH-RANG-VAN-NHOM</t>
        </is>
      </c>
      <c r="F1912" t="inlineStr">
        <is>
          <t>Bộ</t>
        </is>
      </c>
      <c r="G1912" s="4" t="n">
        <v>1</v>
      </c>
      <c r="H1912" s="2">
        <f>XLOOKUP(B1912, '00_TONG_HOP_BAO_GIA'!B:B, '00_TONG_HOP_BAO_GIA'!G:G, 1)</f>
        <v/>
      </c>
      <c r="I1912" s="5">
        <f>G1912*H1912</f>
        <v/>
      </c>
      <c r="J1912" s="2">
        <f>XLOOKUP(E1912, '06_BANG_GIA_VAT_TU_AP_DUNG'!B:B, '06_BANG_GIA_VAT_TU_AP_DUNG'!C:C, "LỖI_MÃ_VT")</f>
        <v/>
      </c>
      <c r="K1912" s="2">
        <f>I1912*J1912</f>
        <v/>
      </c>
      <c r="L1912" t="inlineStr">
        <is>
          <t>Cơ cấu liên động bánh răng van</t>
        </is>
      </c>
    </row>
    <row r="1913">
      <c r="A1913" t="inlineStr">
        <is>
          <t>SW-DAMPER-448-FUSE</t>
        </is>
      </c>
      <c r="B1913" t="inlineStr">
        <is>
          <t>SW-DAMPER-448</t>
        </is>
      </c>
      <c r="C1913" t="inlineStr">
        <is>
          <t>Cầu chì nhiệt nóng chảy 70°C (Elsie/USA)</t>
        </is>
      </c>
      <c r="D1913" t="inlineStr">
        <is>
          <t>PHỤ_KIỆN_VAN</t>
        </is>
      </c>
      <c r="E1913" t="inlineStr">
        <is>
          <t>MAT-DAMPER-CAU-CHI-USA-2-400X400</t>
        </is>
      </c>
      <c r="F1913" t="inlineStr">
        <is>
          <t>Cái</t>
        </is>
      </c>
      <c r="G1913" s="4" t="n">
        <v>1</v>
      </c>
      <c r="H1913" s="2">
        <f>XLOOKUP(B1913, '00_TONG_HOP_BAO_GIA'!B:B, '00_TONG_HOP_BAO_GIA'!G:G, 1)</f>
        <v/>
      </c>
      <c r="I1913" s="5">
        <f>G1913*H1913</f>
        <v/>
      </c>
      <c r="J1913" s="2">
        <f>XLOOKUP(E1913, '06_BANG_GIA_VAT_TU_AP_DUNG'!B:B, '06_BANG_GIA_VAT_TU_AP_DUNG'!C:C, "LỖI_MÃ_VT")</f>
        <v/>
      </c>
      <c r="K1913" s="2">
        <f>I1913*J1913</f>
        <v/>
      </c>
      <c r="L1913" t="inlineStr">
        <is>
          <t>Cầu chì kiểm định PCCC</t>
        </is>
      </c>
    </row>
    <row r="1914">
      <c r="A1914" t="inlineStr">
        <is>
          <t>SW-DAMPER-449-BODY</t>
        </is>
      </c>
      <c r="B1914" t="inlineStr">
        <is>
          <t>SW-DAMPER-449</t>
        </is>
      </c>
      <c r="C1914" t="inlineStr">
        <is>
          <t>Thân vỏ van FD bích TDF (0.75mm)</t>
        </is>
      </c>
      <c r="D1914" t="inlineStr">
        <is>
          <t>TÔN_CUỘN_MẠ_KẼM</t>
        </is>
      </c>
      <c r="E1914" t="inlineStr">
        <is>
          <t>MAT-STEEL-PN-0.75</t>
        </is>
      </c>
      <c r="F1914" t="inlineStr">
        <is>
          <t>kg</t>
        </is>
      </c>
      <c r="G1914" s="4" t="n">
        <v>5.222448</v>
      </c>
      <c r="H1914" s="2">
        <f>XLOOKUP(B1914, '00_TONG_HOP_BAO_GIA'!B:B, '00_TONG_HOP_BAO_GIA'!G:G, 1)</f>
        <v/>
      </c>
      <c r="I1914" s="5">
        <f>G1914*H1914</f>
        <v/>
      </c>
      <c r="J1914" s="2">
        <f>XLOOKUP(E1914, '06_BANG_GIA_VAT_TU_AP_DUNG'!B:B, '06_BANG_GIA_VAT_TU_AP_DUNG'!C:C, "LỖI_MÃ_VT")</f>
        <v/>
      </c>
      <c r="K1914" s="2">
        <f>I1914*J1914</f>
        <v/>
      </c>
      <c r="L1914" t="inlineStr">
        <is>
          <t>Kích thước vỏ 750.0x550.0x250mm</t>
        </is>
      </c>
    </row>
    <row r="1915">
      <c r="A1915" t="inlineStr">
        <is>
          <t>SW-DAMPER-449-BLADE</t>
        </is>
      </c>
      <c r="B1915" t="inlineStr">
        <is>
          <t>SW-DAMPER-449</t>
        </is>
      </c>
      <c r="C1915" t="inlineStr">
        <is>
          <t>Lá cánh van (4 cánh overlap)</t>
        </is>
      </c>
      <c r="D1915" t="inlineStr">
        <is>
          <t>TÔN_CUỘN_MẠ_KẼM</t>
        </is>
      </c>
      <c r="E1915" t="inlineStr">
        <is>
          <t>MAT-STEEL-PN-0.75</t>
        </is>
      </c>
      <c r="F1915" t="inlineStr">
        <is>
          <t>kg</t>
        </is>
      </c>
      <c r="G1915" s="4" t="n">
        <v>3.00439125</v>
      </c>
      <c r="H1915" s="2">
        <f>XLOOKUP(B1915, '00_TONG_HOP_BAO_GIA'!B:B, '00_TONG_HOP_BAO_GIA'!G:G, 1)</f>
        <v/>
      </c>
      <c r="I1915" s="5">
        <f>G1915*H1915</f>
        <v/>
      </c>
      <c r="J1915" s="2">
        <f>XLOOKUP(E1915, '06_BANG_GIA_VAT_TU_AP_DUNG'!B:B, '06_BANG_GIA_VAT_TU_AP_DUNG'!C:C, "LỖI_MÃ_VT")</f>
        <v/>
      </c>
      <c r="K1915" s="2">
        <f>I1915*J1915</f>
        <v/>
      </c>
      <c r="L1915" t="inlineStr">
        <is>
          <t>4 cánh cao 158mm</t>
        </is>
      </c>
    </row>
    <row r="1916">
      <c r="A1916" t="inlineStr">
        <is>
          <t>SW-DAMPER-449-AXLE</t>
        </is>
      </c>
      <c r="B1916" t="inlineStr">
        <is>
          <t>SW-DAMPER-449</t>
        </is>
      </c>
      <c r="C1916" t="inlineStr">
        <is>
          <t>Trục Sus 201 D10</t>
        </is>
      </c>
      <c r="D1916" t="inlineStr">
        <is>
          <t>PHỤ_KIỆN_VAN</t>
        </is>
      </c>
      <c r="E1916" t="inlineStr">
        <is>
          <t>MAT-DAMPER-TRUC-SUS-201-D10</t>
        </is>
      </c>
      <c r="F1916" t="inlineStr">
        <is>
          <t>m</t>
        </is>
      </c>
      <c r="G1916" s="4" t="n">
        <v>3.24</v>
      </c>
      <c r="H1916" s="2">
        <f>XLOOKUP(B1916, '00_TONG_HOP_BAO_GIA'!B:B, '00_TONG_HOP_BAO_GIA'!G:G, 1)</f>
        <v/>
      </c>
      <c r="I1916" s="5">
        <f>G1916*H1916</f>
        <v/>
      </c>
      <c r="J1916" s="2">
        <f>XLOOKUP(E1916, '06_BANG_GIA_VAT_TU_AP_DUNG'!B:B, '06_BANG_GIA_VAT_TU_AP_DUNG'!C:C, "LỖI_MÃ_VT")</f>
        <v/>
      </c>
      <c r="K1916" s="2">
        <f>I1916*J1916</f>
        <v/>
      </c>
      <c r="L1916" t="inlineStr">
        <is>
          <t>4 trục dài 810mm</t>
        </is>
      </c>
    </row>
    <row r="1917">
      <c r="A1917" t="inlineStr">
        <is>
          <t>SW-DAMPER-449-BEARING</t>
        </is>
      </c>
      <c r="B1917" t="inlineStr">
        <is>
          <t>SW-DAMPER-449</t>
        </is>
      </c>
      <c r="C1917" t="inlineStr">
        <is>
          <t>Bạc đồng D10</t>
        </is>
      </c>
      <c r="D1917" t="inlineStr">
        <is>
          <t>PHỤ_KIỆN_VAN</t>
        </is>
      </c>
      <c r="E1917" t="inlineStr">
        <is>
          <t>MAT-DAMPER-BAC-DONG-D10</t>
        </is>
      </c>
      <c r="F1917" t="inlineStr">
        <is>
          <t>Đôi</t>
        </is>
      </c>
      <c r="G1917" s="4" t="n">
        <v>4</v>
      </c>
      <c r="H1917" s="2">
        <f>XLOOKUP(B1917, '00_TONG_HOP_BAO_GIA'!B:B, '00_TONG_HOP_BAO_GIA'!G:G, 1)</f>
        <v/>
      </c>
      <c r="I1917" s="5">
        <f>G1917*H1917</f>
        <v/>
      </c>
      <c r="J1917" s="2">
        <f>XLOOKUP(E1917, '06_BANG_GIA_VAT_TU_AP_DUNG'!B:B, '06_BANG_GIA_VAT_TU_AP_DUNG'!C:C, "LỖI_MÃ_VT")</f>
        <v/>
      </c>
      <c r="K1917" s="2">
        <f>I1917*J1917</f>
        <v/>
      </c>
      <c r="L1917" t="inlineStr">
        <is>
          <t>4 đôi bạc đỡ 2 bên thân</t>
        </is>
      </c>
    </row>
    <row r="1918">
      <c r="A1918" t="inlineStr">
        <is>
          <t>SW-DAMPER-449-GEAR</t>
        </is>
      </c>
      <c r="B1918" t="inlineStr">
        <is>
          <t>SW-DAMPER-449</t>
        </is>
      </c>
      <c r="C1918" t="inlineStr">
        <is>
          <t>Bánh răng van nhôm</t>
        </is>
      </c>
      <c r="D1918" t="inlineStr">
        <is>
          <t>PHỤ_KIỆN_VAN</t>
        </is>
      </c>
      <c r="E1918" t="inlineStr">
        <is>
          <t>MAT-DAMPER-BANH-RANG-VAN-NHOM</t>
        </is>
      </c>
      <c r="F1918" t="inlineStr">
        <is>
          <t>Bộ</t>
        </is>
      </c>
      <c r="G1918" s="4" t="n">
        <v>1</v>
      </c>
      <c r="H1918" s="2">
        <f>XLOOKUP(B1918, '00_TONG_HOP_BAO_GIA'!B:B, '00_TONG_HOP_BAO_GIA'!G:G, 1)</f>
        <v/>
      </c>
      <c r="I1918" s="5">
        <f>G1918*H1918</f>
        <v/>
      </c>
      <c r="J1918" s="2">
        <f>XLOOKUP(E1918, '06_BANG_GIA_VAT_TU_AP_DUNG'!B:B, '06_BANG_GIA_VAT_TU_AP_DUNG'!C:C, "LỖI_MÃ_VT")</f>
        <v/>
      </c>
      <c r="K1918" s="2">
        <f>I1918*J1918</f>
        <v/>
      </c>
      <c r="L1918" t="inlineStr">
        <is>
          <t>Cơ cấu liên động bánh răng van</t>
        </is>
      </c>
    </row>
    <row r="1919">
      <c r="A1919" t="inlineStr">
        <is>
          <t>SW-DAMPER-449-FUSE</t>
        </is>
      </c>
      <c r="B1919" t="inlineStr">
        <is>
          <t>SW-DAMPER-449</t>
        </is>
      </c>
      <c r="C1919" t="inlineStr">
        <is>
          <t>Cầu chì nhiệt nóng chảy 70°C (Elsie/USA)</t>
        </is>
      </c>
      <c r="D1919" t="inlineStr">
        <is>
          <t>PHỤ_KIỆN_VAN</t>
        </is>
      </c>
      <c r="E1919" t="inlineStr">
        <is>
          <t>MAT-DAMPER-CAU-CHI-USA-2-400X400</t>
        </is>
      </c>
      <c r="F1919" t="inlineStr">
        <is>
          <t>Cái</t>
        </is>
      </c>
      <c r="G1919" s="4" t="n">
        <v>1</v>
      </c>
      <c r="H1919" s="2">
        <f>XLOOKUP(B1919, '00_TONG_HOP_BAO_GIA'!B:B, '00_TONG_HOP_BAO_GIA'!G:G, 1)</f>
        <v/>
      </c>
      <c r="I1919" s="5">
        <f>G1919*H1919</f>
        <v/>
      </c>
      <c r="J1919" s="2">
        <f>XLOOKUP(E1919, '06_BANG_GIA_VAT_TU_AP_DUNG'!B:B, '06_BANG_GIA_VAT_TU_AP_DUNG'!C:C, "LỖI_MÃ_VT")</f>
        <v/>
      </c>
      <c r="K1919" s="2">
        <f>I1919*J1919</f>
        <v/>
      </c>
      <c r="L1919" t="inlineStr">
        <is>
          <t>Cầu chì kiểm định PCCC</t>
        </is>
      </c>
    </row>
    <row r="1920">
      <c r="A1920" t="inlineStr">
        <is>
          <t>SW-DAMPER-450-BODY</t>
        </is>
      </c>
      <c r="B1920" t="inlineStr">
        <is>
          <t>SW-DAMPER-450</t>
        </is>
      </c>
      <c r="C1920" t="inlineStr">
        <is>
          <t>Thân vỏ van FD bích TDF (0.75mm)</t>
        </is>
      </c>
      <c r="D1920" t="inlineStr">
        <is>
          <t>TÔN_CUỘN_MẠ_KẼM</t>
        </is>
      </c>
      <c r="E1920" t="inlineStr">
        <is>
          <t>MAT-STEEL-PN-0.75</t>
        </is>
      </c>
      <c r="F1920" t="inlineStr">
        <is>
          <t>kg</t>
        </is>
      </c>
      <c r="G1920" s="4" t="n">
        <v>4.826808</v>
      </c>
      <c r="H1920" s="2">
        <f>XLOOKUP(B1920, '00_TONG_HOP_BAO_GIA'!B:B, '00_TONG_HOP_BAO_GIA'!G:G, 1)</f>
        <v/>
      </c>
      <c r="I1920" s="5">
        <f>G1920*H1920</f>
        <v/>
      </c>
      <c r="J1920" s="2">
        <f>XLOOKUP(E1920, '06_BANG_GIA_VAT_TU_AP_DUNG'!B:B, '06_BANG_GIA_VAT_TU_AP_DUNG'!C:C, "LỖI_MÃ_VT")</f>
        <v/>
      </c>
      <c r="K1920" s="2">
        <f>I1920*J1920</f>
        <v/>
      </c>
      <c r="L1920" t="inlineStr">
        <is>
          <t>Kích thước vỏ 800.0x400.0x250mm</t>
        </is>
      </c>
    </row>
    <row r="1921">
      <c r="A1921" t="inlineStr">
        <is>
          <t>SW-DAMPER-450-BLADE</t>
        </is>
      </c>
      <c r="B1921" t="inlineStr">
        <is>
          <t>SW-DAMPER-450</t>
        </is>
      </c>
      <c r="C1921" t="inlineStr">
        <is>
          <t>Lá cánh van (3 cánh overlap)</t>
        </is>
      </c>
      <c r="D1921" t="inlineStr">
        <is>
          <t>TÔN_CUỘN_MẠ_KẼM</t>
        </is>
      </c>
      <c r="E1921" t="inlineStr">
        <is>
          <t>MAT-STEEL-PN-0.75</t>
        </is>
      </c>
      <c r="F1921" t="inlineStr">
        <is>
          <t>kg</t>
        </is>
      </c>
      <c r="G1921" s="4" t="n">
        <v>2.339928</v>
      </c>
      <c r="H1921" s="2">
        <f>XLOOKUP(B1921, '00_TONG_HOP_BAO_GIA'!B:B, '00_TONG_HOP_BAO_GIA'!G:G, 1)</f>
        <v/>
      </c>
      <c r="I1921" s="5">
        <f>G1921*H1921</f>
        <v/>
      </c>
      <c r="J1921" s="2">
        <f>XLOOKUP(E1921, '06_BANG_GIA_VAT_TU_AP_DUNG'!B:B, '06_BANG_GIA_VAT_TU_AP_DUNG'!C:C, "LỖI_MÃ_VT")</f>
        <v/>
      </c>
      <c r="K1921" s="2">
        <f>I1921*J1921</f>
        <v/>
      </c>
      <c r="L1921" t="inlineStr">
        <is>
          <t>3 cánh cao 153mm</t>
        </is>
      </c>
    </row>
    <row r="1922">
      <c r="A1922" t="inlineStr">
        <is>
          <t>SW-DAMPER-450-AXLE</t>
        </is>
      </c>
      <c r="B1922" t="inlineStr">
        <is>
          <t>SW-DAMPER-450</t>
        </is>
      </c>
      <c r="C1922" t="inlineStr">
        <is>
          <t>Trục Sus 201 D10</t>
        </is>
      </c>
      <c r="D1922" t="inlineStr">
        <is>
          <t>PHỤ_KIỆN_VAN</t>
        </is>
      </c>
      <c r="E1922" t="inlineStr">
        <is>
          <t>MAT-DAMPER-TRUC-SUS-201-D10</t>
        </is>
      </c>
      <c r="F1922" t="inlineStr">
        <is>
          <t>m</t>
        </is>
      </c>
      <c r="G1922" s="4" t="n">
        <v>2.58</v>
      </c>
      <c r="H1922" s="2">
        <f>XLOOKUP(B1922, '00_TONG_HOP_BAO_GIA'!B:B, '00_TONG_HOP_BAO_GIA'!G:G, 1)</f>
        <v/>
      </c>
      <c r="I1922" s="5">
        <f>G1922*H1922</f>
        <v/>
      </c>
      <c r="J1922" s="2">
        <f>XLOOKUP(E1922, '06_BANG_GIA_VAT_TU_AP_DUNG'!B:B, '06_BANG_GIA_VAT_TU_AP_DUNG'!C:C, "LỖI_MÃ_VT")</f>
        <v/>
      </c>
      <c r="K1922" s="2">
        <f>I1922*J1922</f>
        <v/>
      </c>
      <c r="L1922" t="inlineStr">
        <is>
          <t>3 trục dài 860mm</t>
        </is>
      </c>
    </row>
    <row r="1923">
      <c r="A1923" t="inlineStr">
        <is>
          <t>SW-DAMPER-450-BEARING</t>
        </is>
      </c>
      <c r="B1923" t="inlineStr">
        <is>
          <t>SW-DAMPER-450</t>
        </is>
      </c>
      <c r="C1923" t="inlineStr">
        <is>
          <t>Bạc đồng D10</t>
        </is>
      </c>
      <c r="D1923" t="inlineStr">
        <is>
          <t>PHỤ_KIỆN_VAN</t>
        </is>
      </c>
      <c r="E1923" t="inlineStr">
        <is>
          <t>MAT-DAMPER-BAC-DONG-D10</t>
        </is>
      </c>
      <c r="F1923" t="inlineStr">
        <is>
          <t>Đôi</t>
        </is>
      </c>
      <c r="G1923" s="4" t="n">
        <v>3</v>
      </c>
      <c r="H1923" s="2">
        <f>XLOOKUP(B1923, '00_TONG_HOP_BAO_GIA'!B:B, '00_TONG_HOP_BAO_GIA'!G:G, 1)</f>
        <v/>
      </c>
      <c r="I1923" s="5">
        <f>G1923*H1923</f>
        <v/>
      </c>
      <c r="J1923" s="2">
        <f>XLOOKUP(E1923, '06_BANG_GIA_VAT_TU_AP_DUNG'!B:B, '06_BANG_GIA_VAT_TU_AP_DUNG'!C:C, "LỖI_MÃ_VT")</f>
        <v/>
      </c>
      <c r="K1923" s="2">
        <f>I1923*J1923</f>
        <v/>
      </c>
      <c r="L1923" t="inlineStr">
        <is>
          <t>3 đôi bạc đỡ 2 bên thân</t>
        </is>
      </c>
    </row>
    <row r="1924">
      <c r="A1924" t="inlineStr">
        <is>
          <t>SW-DAMPER-450-GEAR</t>
        </is>
      </c>
      <c r="B1924" t="inlineStr">
        <is>
          <t>SW-DAMPER-450</t>
        </is>
      </c>
      <c r="C1924" t="inlineStr">
        <is>
          <t>Bánh răng van nhôm</t>
        </is>
      </c>
      <c r="D1924" t="inlineStr">
        <is>
          <t>PHỤ_KIỆN_VAN</t>
        </is>
      </c>
      <c r="E1924" t="inlineStr">
        <is>
          <t>MAT-DAMPER-BANH-RANG-VAN-NHOM</t>
        </is>
      </c>
      <c r="F1924" t="inlineStr">
        <is>
          <t>Bộ</t>
        </is>
      </c>
      <c r="G1924" s="4" t="n">
        <v>1</v>
      </c>
      <c r="H1924" s="2">
        <f>XLOOKUP(B1924, '00_TONG_HOP_BAO_GIA'!B:B, '00_TONG_HOP_BAO_GIA'!G:G, 1)</f>
        <v/>
      </c>
      <c r="I1924" s="5">
        <f>G1924*H1924</f>
        <v/>
      </c>
      <c r="J1924" s="2">
        <f>XLOOKUP(E1924, '06_BANG_GIA_VAT_TU_AP_DUNG'!B:B, '06_BANG_GIA_VAT_TU_AP_DUNG'!C:C, "LỖI_MÃ_VT")</f>
        <v/>
      </c>
      <c r="K1924" s="2">
        <f>I1924*J1924</f>
        <v/>
      </c>
      <c r="L1924" t="inlineStr">
        <is>
          <t>Cơ cấu liên động bánh răng van</t>
        </is>
      </c>
    </row>
    <row r="1925">
      <c r="A1925" t="inlineStr">
        <is>
          <t>SW-DAMPER-450-FUSE</t>
        </is>
      </c>
      <c r="B1925" t="inlineStr">
        <is>
          <t>SW-DAMPER-450</t>
        </is>
      </c>
      <c r="C1925" t="inlineStr">
        <is>
          <t>Cầu chì nhiệt nóng chảy 70°C (Elsie/USA)</t>
        </is>
      </c>
      <c r="D1925" t="inlineStr">
        <is>
          <t>PHỤ_KIỆN_VAN</t>
        </is>
      </c>
      <c r="E1925" t="inlineStr">
        <is>
          <t>MAT-DAMPER-CAU-CHI-USA-2-400X400</t>
        </is>
      </c>
      <c r="F1925" t="inlineStr">
        <is>
          <t>Cái</t>
        </is>
      </c>
      <c r="G1925" s="4" t="n">
        <v>1</v>
      </c>
      <c r="H1925" s="2">
        <f>XLOOKUP(B1925, '00_TONG_HOP_BAO_GIA'!B:B, '00_TONG_HOP_BAO_GIA'!G:G, 1)</f>
        <v/>
      </c>
      <c r="I1925" s="5">
        <f>G1925*H1925</f>
        <v/>
      </c>
      <c r="J1925" s="2">
        <f>XLOOKUP(E1925, '06_BANG_GIA_VAT_TU_AP_DUNG'!B:B, '06_BANG_GIA_VAT_TU_AP_DUNG'!C:C, "LỖI_MÃ_VT")</f>
        <v/>
      </c>
      <c r="K1925" s="2">
        <f>I1925*J1925</f>
        <v/>
      </c>
      <c r="L1925" t="inlineStr">
        <is>
          <t>Cầu chì kiểm định PCCC</t>
        </is>
      </c>
    </row>
    <row r="1926">
      <c r="A1926" t="inlineStr">
        <is>
          <t>SW-DAMPER-451-BODY</t>
        </is>
      </c>
      <c r="B1926" t="inlineStr">
        <is>
          <t>SW-DAMPER-451</t>
        </is>
      </c>
      <c r="C1926" t="inlineStr">
        <is>
          <t>Thân vỏ van FD bích TDF (0.75mm)</t>
        </is>
      </c>
      <c r="D1926" t="inlineStr">
        <is>
          <t>TÔN_CUỘN_MẠ_KẼM</t>
        </is>
      </c>
      <c r="E1926" t="inlineStr">
        <is>
          <t>MAT-STEEL-PN-0.75</t>
        </is>
      </c>
      <c r="F1926" t="inlineStr">
        <is>
          <t>kg</t>
        </is>
      </c>
      <c r="G1926" s="4" t="n">
        <v>5.024628</v>
      </c>
      <c r="H1926" s="2">
        <f>XLOOKUP(B1926, '00_TONG_HOP_BAO_GIA'!B:B, '00_TONG_HOP_BAO_GIA'!G:G, 1)</f>
        <v/>
      </c>
      <c r="I1926" s="5">
        <f>G1926*H1926</f>
        <v/>
      </c>
      <c r="J1926" s="2">
        <f>XLOOKUP(E1926, '06_BANG_GIA_VAT_TU_AP_DUNG'!B:B, '06_BANG_GIA_VAT_TU_AP_DUNG'!C:C, "LỖI_MÃ_VT")</f>
        <v/>
      </c>
      <c r="K1926" s="2">
        <f>I1926*J1926</f>
        <v/>
      </c>
      <c r="L1926" t="inlineStr">
        <is>
          <t>Kích thước vỏ 800.0x450.0x250mm</t>
        </is>
      </c>
    </row>
    <row r="1927">
      <c r="A1927" t="inlineStr">
        <is>
          <t>SW-DAMPER-451-BLADE</t>
        </is>
      </c>
      <c r="B1927" t="inlineStr">
        <is>
          <t>SW-DAMPER-451</t>
        </is>
      </c>
      <c r="C1927" t="inlineStr">
        <is>
          <t>Lá cánh van (3 cánh overlap)</t>
        </is>
      </c>
      <c r="D1927" t="inlineStr">
        <is>
          <t>TÔN_CUỘN_MẠ_KẼM</t>
        </is>
      </c>
      <c r="E1927" t="inlineStr">
        <is>
          <t>MAT-STEEL-PN-0.75</t>
        </is>
      </c>
      <c r="F1927" t="inlineStr">
        <is>
          <t>kg</t>
        </is>
      </c>
      <c r="G1927" s="4" t="n">
        <v>2.594268</v>
      </c>
      <c r="H1927" s="2">
        <f>XLOOKUP(B1927, '00_TONG_HOP_BAO_GIA'!B:B, '00_TONG_HOP_BAO_GIA'!G:G, 1)</f>
        <v/>
      </c>
      <c r="I1927" s="5">
        <f>G1927*H1927</f>
        <v/>
      </c>
      <c r="J1927" s="2">
        <f>XLOOKUP(E1927, '06_BANG_GIA_VAT_TU_AP_DUNG'!B:B, '06_BANG_GIA_VAT_TU_AP_DUNG'!C:C, "LỖI_MÃ_VT")</f>
        <v/>
      </c>
      <c r="K1927" s="2">
        <f>I1927*J1927</f>
        <v/>
      </c>
      <c r="L1927" t="inlineStr">
        <is>
          <t>3 cánh cao 170mm</t>
        </is>
      </c>
    </row>
    <row r="1928">
      <c r="A1928" t="inlineStr">
        <is>
          <t>SW-DAMPER-451-AXLE</t>
        </is>
      </c>
      <c r="B1928" t="inlineStr">
        <is>
          <t>SW-DAMPER-451</t>
        </is>
      </c>
      <c r="C1928" t="inlineStr">
        <is>
          <t>Trục Sus 201 D10</t>
        </is>
      </c>
      <c r="D1928" t="inlineStr">
        <is>
          <t>PHỤ_KIỆN_VAN</t>
        </is>
      </c>
      <c r="E1928" t="inlineStr">
        <is>
          <t>MAT-DAMPER-TRUC-SUS-201-D10</t>
        </is>
      </c>
      <c r="F1928" t="inlineStr">
        <is>
          <t>m</t>
        </is>
      </c>
      <c r="G1928" s="4" t="n">
        <v>2.58</v>
      </c>
      <c r="H1928" s="2">
        <f>XLOOKUP(B1928, '00_TONG_HOP_BAO_GIA'!B:B, '00_TONG_HOP_BAO_GIA'!G:G, 1)</f>
        <v/>
      </c>
      <c r="I1928" s="5">
        <f>G1928*H1928</f>
        <v/>
      </c>
      <c r="J1928" s="2">
        <f>XLOOKUP(E1928, '06_BANG_GIA_VAT_TU_AP_DUNG'!B:B, '06_BANG_GIA_VAT_TU_AP_DUNG'!C:C, "LỖI_MÃ_VT")</f>
        <v/>
      </c>
      <c r="K1928" s="2">
        <f>I1928*J1928</f>
        <v/>
      </c>
      <c r="L1928" t="inlineStr">
        <is>
          <t>3 trục dài 860mm</t>
        </is>
      </c>
    </row>
    <row r="1929">
      <c r="A1929" t="inlineStr">
        <is>
          <t>SW-DAMPER-451-BEARING</t>
        </is>
      </c>
      <c r="B1929" t="inlineStr">
        <is>
          <t>SW-DAMPER-451</t>
        </is>
      </c>
      <c r="C1929" t="inlineStr">
        <is>
          <t>Bạc đồng D10</t>
        </is>
      </c>
      <c r="D1929" t="inlineStr">
        <is>
          <t>PHỤ_KIỆN_VAN</t>
        </is>
      </c>
      <c r="E1929" t="inlineStr">
        <is>
          <t>MAT-DAMPER-BAC-DONG-D10</t>
        </is>
      </c>
      <c r="F1929" t="inlineStr">
        <is>
          <t>Đôi</t>
        </is>
      </c>
      <c r="G1929" s="4" t="n">
        <v>3</v>
      </c>
      <c r="H1929" s="2">
        <f>XLOOKUP(B1929, '00_TONG_HOP_BAO_GIA'!B:B, '00_TONG_HOP_BAO_GIA'!G:G, 1)</f>
        <v/>
      </c>
      <c r="I1929" s="5">
        <f>G1929*H1929</f>
        <v/>
      </c>
      <c r="J1929" s="2">
        <f>XLOOKUP(E1929, '06_BANG_GIA_VAT_TU_AP_DUNG'!B:B, '06_BANG_GIA_VAT_TU_AP_DUNG'!C:C, "LỖI_MÃ_VT")</f>
        <v/>
      </c>
      <c r="K1929" s="2">
        <f>I1929*J1929</f>
        <v/>
      </c>
      <c r="L1929" t="inlineStr">
        <is>
          <t>3 đôi bạc đỡ 2 bên thân</t>
        </is>
      </c>
    </row>
    <row r="1930">
      <c r="A1930" t="inlineStr">
        <is>
          <t>SW-DAMPER-451-GEAR</t>
        </is>
      </c>
      <c r="B1930" t="inlineStr">
        <is>
          <t>SW-DAMPER-451</t>
        </is>
      </c>
      <c r="C1930" t="inlineStr">
        <is>
          <t>Bánh răng van nhôm</t>
        </is>
      </c>
      <c r="D1930" t="inlineStr">
        <is>
          <t>PHỤ_KIỆN_VAN</t>
        </is>
      </c>
      <c r="E1930" t="inlineStr">
        <is>
          <t>MAT-DAMPER-BANH-RANG-VAN-NHOM</t>
        </is>
      </c>
      <c r="F1930" t="inlineStr">
        <is>
          <t>Bộ</t>
        </is>
      </c>
      <c r="G1930" s="4" t="n">
        <v>1</v>
      </c>
      <c r="H1930" s="2">
        <f>XLOOKUP(B1930, '00_TONG_HOP_BAO_GIA'!B:B, '00_TONG_HOP_BAO_GIA'!G:G, 1)</f>
        <v/>
      </c>
      <c r="I1930" s="5">
        <f>G1930*H1930</f>
        <v/>
      </c>
      <c r="J1930" s="2">
        <f>XLOOKUP(E1930, '06_BANG_GIA_VAT_TU_AP_DUNG'!B:B, '06_BANG_GIA_VAT_TU_AP_DUNG'!C:C, "LỖI_MÃ_VT")</f>
        <v/>
      </c>
      <c r="K1930" s="2">
        <f>I1930*J1930</f>
        <v/>
      </c>
      <c r="L1930" t="inlineStr">
        <is>
          <t>Cơ cấu liên động bánh răng van</t>
        </is>
      </c>
    </row>
    <row r="1931">
      <c r="A1931" t="inlineStr">
        <is>
          <t>SW-DAMPER-451-FUSE</t>
        </is>
      </c>
      <c r="B1931" t="inlineStr">
        <is>
          <t>SW-DAMPER-451</t>
        </is>
      </c>
      <c r="C1931" t="inlineStr">
        <is>
          <t>Cầu chì nhiệt nóng chảy 70°C (Elsie/USA)</t>
        </is>
      </c>
      <c r="D1931" t="inlineStr">
        <is>
          <t>PHỤ_KIỆN_VAN</t>
        </is>
      </c>
      <c r="E1931" t="inlineStr">
        <is>
          <t>MAT-DAMPER-CAU-CHI-USA-2-400X400</t>
        </is>
      </c>
      <c r="F1931" t="inlineStr">
        <is>
          <t>Cái</t>
        </is>
      </c>
      <c r="G1931" s="4" t="n">
        <v>1</v>
      </c>
      <c r="H1931" s="2">
        <f>XLOOKUP(B1931, '00_TONG_HOP_BAO_GIA'!B:B, '00_TONG_HOP_BAO_GIA'!G:G, 1)</f>
        <v/>
      </c>
      <c r="I1931" s="5">
        <f>G1931*H1931</f>
        <v/>
      </c>
      <c r="J1931" s="2">
        <f>XLOOKUP(E1931, '06_BANG_GIA_VAT_TU_AP_DUNG'!B:B, '06_BANG_GIA_VAT_TU_AP_DUNG'!C:C, "LỖI_MÃ_VT")</f>
        <v/>
      </c>
      <c r="K1931" s="2">
        <f>I1931*J1931</f>
        <v/>
      </c>
      <c r="L1931" t="inlineStr">
        <is>
          <t>Cầu chì kiểm định PCCC</t>
        </is>
      </c>
    </row>
    <row r="1932">
      <c r="A1932" t="inlineStr">
        <is>
          <t>SW-DAMPER-452-BODY</t>
        </is>
      </c>
      <c r="B1932" t="inlineStr">
        <is>
          <t>SW-DAMPER-452</t>
        </is>
      </c>
      <c r="C1932" t="inlineStr">
        <is>
          <t>Thân vỏ van FD bích TDF (0.95mm)</t>
        </is>
      </c>
      <c r="D1932" t="inlineStr">
        <is>
          <t>TÔN_CUỘN_MẠ_KẼM</t>
        </is>
      </c>
      <c r="E1932" t="inlineStr">
        <is>
          <t>MAT-STEEL-PN-0.95</t>
        </is>
      </c>
      <c r="F1932" t="inlineStr">
        <is>
          <t>kg</t>
        </is>
      </c>
      <c r="G1932" s="4" t="n">
        <v>6.1139568</v>
      </c>
      <c r="H1932" s="2">
        <f>XLOOKUP(B1932, '00_TONG_HOP_BAO_GIA'!B:B, '00_TONG_HOP_BAO_GIA'!G:G, 1)</f>
        <v/>
      </c>
      <c r="I1932" s="5">
        <f>G1932*H1932</f>
        <v/>
      </c>
      <c r="J1932" s="2">
        <f>XLOOKUP(E1932, '06_BANG_GIA_VAT_TU_AP_DUNG'!B:B, '06_BANG_GIA_VAT_TU_AP_DUNG'!C:C, "LỖI_MÃ_VT")</f>
        <v/>
      </c>
      <c r="K1932" s="2">
        <f>I1932*J1932</f>
        <v/>
      </c>
      <c r="L1932" t="inlineStr">
        <is>
          <t>Kích thước vỏ 900.0x300.0x250mm</t>
        </is>
      </c>
    </row>
    <row r="1933">
      <c r="A1933" t="inlineStr">
        <is>
          <t>SW-DAMPER-452-BLADE</t>
        </is>
      </c>
      <c r="B1933" t="inlineStr">
        <is>
          <t>SW-DAMPER-452</t>
        </is>
      </c>
      <c r="C1933" t="inlineStr">
        <is>
          <t>Lá cánh van (2 cánh overlap)</t>
        </is>
      </c>
      <c r="D1933" t="inlineStr">
        <is>
          <t>TÔN_CUỘN_MẠ_KẼM</t>
        </is>
      </c>
      <c r="E1933" t="inlineStr">
        <is>
          <t>MAT-STEEL-PN-0.75</t>
        </is>
      </c>
      <c r="F1933" t="inlineStr">
        <is>
          <t>kg</t>
        </is>
      </c>
      <c r="G1933" s="4" t="n">
        <v>1.945701</v>
      </c>
      <c r="H1933" s="2">
        <f>XLOOKUP(B1933, '00_TONG_HOP_BAO_GIA'!B:B, '00_TONG_HOP_BAO_GIA'!G:G, 1)</f>
        <v/>
      </c>
      <c r="I1933" s="5">
        <f>G1933*H1933</f>
        <v/>
      </c>
      <c r="J1933" s="2">
        <f>XLOOKUP(E1933, '06_BANG_GIA_VAT_TU_AP_DUNG'!B:B, '06_BANG_GIA_VAT_TU_AP_DUNG'!C:C, "LỖI_MÃ_VT")</f>
        <v/>
      </c>
      <c r="K1933" s="2">
        <f>I1933*J1933</f>
        <v/>
      </c>
      <c r="L1933" t="inlineStr">
        <is>
          <t>2 cánh cao 170mm</t>
        </is>
      </c>
    </row>
    <row r="1934">
      <c r="A1934" t="inlineStr">
        <is>
          <t>SW-DAMPER-452-AXLE</t>
        </is>
      </c>
      <c r="B1934" t="inlineStr">
        <is>
          <t>SW-DAMPER-452</t>
        </is>
      </c>
      <c r="C1934" t="inlineStr">
        <is>
          <t>Trục Sus 201 D10</t>
        </is>
      </c>
      <c r="D1934" t="inlineStr">
        <is>
          <t>PHỤ_KIỆN_VAN</t>
        </is>
      </c>
      <c r="E1934" t="inlineStr">
        <is>
          <t>MAT-DAMPER-TRUC-SUS-201-D10</t>
        </is>
      </c>
      <c r="F1934" t="inlineStr">
        <is>
          <t>m</t>
        </is>
      </c>
      <c r="G1934" s="4" t="n">
        <v>1.92</v>
      </c>
      <c r="H1934" s="2">
        <f>XLOOKUP(B1934, '00_TONG_HOP_BAO_GIA'!B:B, '00_TONG_HOP_BAO_GIA'!G:G, 1)</f>
        <v/>
      </c>
      <c r="I1934" s="5">
        <f>G1934*H1934</f>
        <v/>
      </c>
      <c r="J1934" s="2">
        <f>XLOOKUP(E1934, '06_BANG_GIA_VAT_TU_AP_DUNG'!B:B, '06_BANG_GIA_VAT_TU_AP_DUNG'!C:C, "LỖI_MÃ_VT")</f>
        <v/>
      </c>
      <c r="K1934" s="2">
        <f>I1934*J1934</f>
        <v/>
      </c>
      <c r="L1934" t="inlineStr">
        <is>
          <t>2 trục dài 960mm</t>
        </is>
      </c>
    </row>
    <row r="1935">
      <c r="A1935" t="inlineStr">
        <is>
          <t>SW-DAMPER-452-BEARING</t>
        </is>
      </c>
      <c r="B1935" t="inlineStr">
        <is>
          <t>SW-DAMPER-452</t>
        </is>
      </c>
      <c r="C1935" t="inlineStr">
        <is>
          <t>Bạc đồng D10</t>
        </is>
      </c>
      <c r="D1935" t="inlineStr">
        <is>
          <t>PHỤ_KIỆN_VAN</t>
        </is>
      </c>
      <c r="E1935" t="inlineStr">
        <is>
          <t>MAT-DAMPER-BAC-DONG-D10</t>
        </is>
      </c>
      <c r="F1935" t="inlineStr">
        <is>
          <t>Đôi</t>
        </is>
      </c>
      <c r="G1935" s="4" t="n">
        <v>2</v>
      </c>
      <c r="H1935" s="2">
        <f>XLOOKUP(B1935, '00_TONG_HOP_BAO_GIA'!B:B, '00_TONG_HOP_BAO_GIA'!G:G, 1)</f>
        <v/>
      </c>
      <c r="I1935" s="5">
        <f>G1935*H1935</f>
        <v/>
      </c>
      <c r="J1935" s="2">
        <f>XLOOKUP(E1935, '06_BANG_GIA_VAT_TU_AP_DUNG'!B:B, '06_BANG_GIA_VAT_TU_AP_DUNG'!C:C, "LỖI_MÃ_VT")</f>
        <v/>
      </c>
      <c r="K1935" s="2">
        <f>I1935*J1935</f>
        <v/>
      </c>
      <c r="L1935" t="inlineStr">
        <is>
          <t>2 đôi bạc đỡ 2 bên thân</t>
        </is>
      </c>
    </row>
    <row r="1936">
      <c r="A1936" t="inlineStr">
        <is>
          <t>SW-DAMPER-452-GEAR</t>
        </is>
      </c>
      <c r="B1936" t="inlineStr">
        <is>
          <t>SW-DAMPER-452</t>
        </is>
      </c>
      <c r="C1936" t="inlineStr">
        <is>
          <t>Bánh răng van nhôm</t>
        </is>
      </c>
      <c r="D1936" t="inlineStr">
        <is>
          <t>PHỤ_KIỆN_VAN</t>
        </is>
      </c>
      <c r="E1936" t="inlineStr">
        <is>
          <t>MAT-DAMPER-BANH-RANG-VAN-NHOM</t>
        </is>
      </c>
      <c r="F1936" t="inlineStr">
        <is>
          <t>Bộ</t>
        </is>
      </c>
      <c r="G1936" s="4" t="n">
        <v>1</v>
      </c>
      <c r="H1936" s="2">
        <f>XLOOKUP(B1936, '00_TONG_HOP_BAO_GIA'!B:B, '00_TONG_HOP_BAO_GIA'!G:G, 1)</f>
        <v/>
      </c>
      <c r="I1936" s="5">
        <f>G1936*H1936</f>
        <v/>
      </c>
      <c r="J1936" s="2">
        <f>XLOOKUP(E1936, '06_BANG_GIA_VAT_TU_AP_DUNG'!B:B, '06_BANG_GIA_VAT_TU_AP_DUNG'!C:C, "LỖI_MÃ_VT")</f>
        <v/>
      </c>
      <c r="K1936" s="2">
        <f>I1936*J1936</f>
        <v/>
      </c>
      <c r="L1936" t="inlineStr">
        <is>
          <t>Cơ cấu liên động bánh răng van</t>
        </is>
      </c>
    </row>
    <row r="1937">
      <c r="A1937" t="inlineStr">
        <is>
          <t>SW-DAMPER-452-FUSE</t>
        </is>
      </c>
      <c r="B1937" t="inlineStr">
        <is>
          <t>SW-DAMPER-452</t>
        </is>
      </c>
      <c r="C1937" t="inlineStr">
        <is>
          <t>Cầu chì nhiệt nóng chảy 70°C (Elsie/USA)</t>
        </is>
      </c>
      <c r="D1937" t="inlineStr">
        <is>
          <t>PHỤ_KIỆN_VAN</t>
        </is>
      </c>
      <c r="E1937" t="inlineStr">
        <is>
          <t>MAT-DAMPER-CAU-CHI-USA-2-400X400</t>
        </is>
      </c>
      <c r="F1937" t="inlineStr">
        <is>
          <t>Cái</t>
        </is>
      </c>
      <c r="G1937" s="4" t="n">
        <v>1</v>
      </c>
      <c r="H1937" s="2">
        <f>XLOOKUP(B1937, '00_TONG_HOP_BAO_GIA'!B:B, '00_TONG_HOP_BAO_GIA'!G:G, 1)</f>
        <v/>
      </c>
      <c r="I1937" s="5">
        <f>G1937*H1937</f>
        <v/>
      </c>
      <c r="J1937" s="2">
        <f>XLOOKUP(E1937, '06_BANG_GIA_VAT_TU_AP_DUNG'!B:B, '06_BANG_GIA_VAT_TU_AP_DUNG'!C:C, "LỖI_MÃ_VT")</f>
        <v/>
      </c>
      <c r="K1937" s="2">
        <f>I1937*J1937</f>
        <v/>
      </c>
      <c r="L1937" t="inlineStr">
        <is>
          <t>Cầu chì kiểm định PCCC</t>
        </is>
      </c>
    </row>
    <row r="1938">
      <c r="A1938" t="inlineStr">
        <is>
          <t>SW-DAMPER-453-BODY</t>
        </is>
      </c>
      <c r="B1938" t="inlineStr">
        <is>
          <t>SW-DAMPER-453</t>
        </is>
      </c>
      <c r="C1938" t="inlineStr">
        <is>
          <t>Thân vỏ van FD bích TDF (0.95mm)</t>
        </is>
      </c>
      <c r="D1938" t="inlineStr">
        <is>
          <t>TÔN_CUỘN_MẠ_KẼM</t>
        </is>
      </c>
      <c r="E1938" t="inlineStr">
        <is>
          <t>MAT-STEEL-PN-0.95</t>
        </is>
      </c>
      <c r="F1938" t="inlineStr">
        <is>
          <t>kg</t>
        </is>
      </c>
      <c r="G1938" s="4" t="n">
        <v>7.1162448</v>
      </c>
      <c r="H1938" s="2">
        <f>XLOOKUP(B1938, '00_TONG_HOP_BAO_GIA'!B:B, '00_TONG_HOP_BAO_GIA'!G:G, 1)</f>
        <v/>
      </c>
      <c r="I1938" s="5">
        <f>G1938*H1938</f>
        <v/>
      </c>
      <c r="J1938" s="2">
        <f>XLOOKUP(E1938, '06_BANG_GIA_VAT_TU_AP_DUNG'!B:B, '06_BANG_GIA_VAT_TU_AP_DUNG'!C:C, "LỖI_MÃ_VT")</f>
        <v/>
      </c>
      <c r="K1938" s="2">
        <f>I1938*J1938</f>
        <v/>
      </c>
      <c r="L1938" t="inlineStr">
        <is>
          <t>Kích thước vỏ 900.0x500.0x250mm</t>
        </is>
      </c>
    </row>
    <row r="1939">
      <c r="A1939" t="inlineStr">
        <is>
          <t>SW-DAMPER-453-BLADE</t>
        </is>
      </c>
      <c r="B1939" t="inlineStr">
        <is>
          <t>SW-DAMPER-453</t>
        </is>
      </c>
      <c r="C1939" t="inlineStr">
        <is>
          <t>Lá cánh van (3 cánh overlap)</t>
        </is>
      </c>
      <c r="D1939" t="inlineStr">
        <is>
          <t>TÔN_CUỘN_MẠ_KẼM</t>
        </is>
      </c>
      <c r="E1939" t="inlineStr">
        <is>
          <t>MAT-STEEL-PN-0.75</t>
        </is>
      </c>
      <c r="F1939" t="inlineStr">
        <is>
          <t>kg</t>
        </is>
      </c>
      <c r="G1939" s="4" t="n">
        <v>3.204684</v>
      </c>
      <c r="H1939" s="2">
        <f>XLOOKUP(B1939, '00_TONG_HOP_BAO_GIA'!B:B, '00_TONG_HOP_BAO_GIA'!G:G, 1)</f>
        <v/>
      </c>
      <c r="I1939" s="5">
        <f>G1939*H1939</f>
        <v/>
      </c>
      <c r="J1939" s="2">
        <f>XLOOKUP(E1939, '06_BANG_GIA_VAT_TU_AP_DUNG'!B:B, '06_BANG_GIA_VAT_TU_AP_DUNG'!C:C, "LỖI_MÃ_VT")</f>
        <v/>
      </c>
      <c r="K1939" s="2">
        <f>I1939*J1939</f>
        <v/>
      </c>
      <c r="L1939" t="inlineStr">
        <is>
          <t>3 cánh cao 187mm</t>
        </is>
      </c>
    </row>
    <row r="1940">
      <c r="A1940" t="inlineStr">
        <is>
          <t>SW-DAMPER-453-AXLE</t>
        </is>
      </c>
      <c r="B1940" t="inlineStr">
        <is>
          <t>SW-DAMPER-453</t>
        </is>
      </c>
      <c r="C1940" t="inlineStr">
        <is>
          <t>Trục Sus 201 D10</t>
        </is>
      </c>
      <c r="D1940" t="inlineStr">
        <is>
          <t>PHỤ_KIỆN_VAN</t>
        </is>
      </c>
      <c r="E1940" t="inlineStr">
        <is>
          <t>MAT-DAMPER-TRUC-SUS-201-D10</t>
        </is>
      </c>
      <c r="F1940" t="inlineStr">
        <is>
          <t>m</t>
        </is>
      </c>
      <c r="G1940" s="4" t="n">
        <v>2.88</v>
      </c>
      <c r="H1940" s="2">
        <f>XLOOKUP(B1940, '00_TONG_HOP_BAO_GIA'!B:B, '00_TONG_HOP_BAO_GIA'!G:G, 1)</f>
        <v/>
      </c>
      <c r="I1940" s="5">
        <f>G1940*H1940</f>
        <v/>
      </c>
      <c r="J1940" s="2">
        <f>XLOOKUP(E1940, '06_BANG_GIA_VAT_TU_AP_DUNG'!B:B, '06_BANG_GIA_VAT_TU_AP_DUNG'!C:C, "LỖI_MÃ_VT")</f>
        <v/>
      </c>
      <c r="K1940" s="2">
        <f>I1940*J1940</f>
        <v/>
      </c>
      <c r="L1940" t="inlineStr">
        <is>
          <t>3 trục dài 960mm</t>
        </is>
      </c>
    </row>
    <row r="1941">
      <c r="A1941" t="inlineStr">
        <is>
          <t>SW-DAMPER-453-BEARING</t>
        </is>
      </c>
      <c r="B1941" t="inlineStr">
        <is>
          <t>SW-DAMPER-453</t>
        </is>
      </c>
      <c r="C1941" t="inlineStr">
        <is>
          <t>Bạc đồng D10</t>
        </is>
      </c>
      <c r="D1941" t="inlineStr">
        <is>
          <t>PHỤ_KIỆN_VAN</t>
        </is>
      </c>
      <c r="E1941" t="inlineStr">
        <is>
          <t>MAT-DAMPER-BAC-DONG-D10</t>
        </is>
      </c>
      <c r="F1941" t="inlineStr">
        <is>
          <t>Đôi</t>
        </is>
      </c>
      <c r="G1941" s="4" t="n">
        <v>3</v>
      </c>
      <c r="H1941" s="2">
        <f>XLOOKUP(B1941, '00_TONG_HOP_BAO_GIA'!B:B, '00_TONG_HOP_BAO_GIA'!G:G, 1)</f>
        <v/>
      </c>
      <c r="I1941" s="5">
        <f>G1941*H1941</f>
        <v/>
      </c>
      <c r="J1941" s="2">
        <f>XLOOKUP(E1941, '06_BANG_GIA_VAT_TU_AP_DUNG'!B:B, '06_BANG_GIA_VAT_TU_AP_DUNG'!C:C, "LỖI_MÃ_VT")</f>
        <v/>
      </c>
      <c r="K1941" s="2">
        <f>I1941*J1941</f>
        <v/>
      </c>
      <c r="L1941" t="inlineStr">
        <is>
          <t>3 đôi bạc đỡ 2 bên thân</t>
        </is>
      </c>
    </row>
    <row r="1942">
      <c r="A1942" t="inlineStr">
        <is>
          <t>SW-DAMPER-453-GEAR</t>
        </is>
      </c>
      <c r="B1942" t="inlineStr">
        <is>
          <t>SW-DAMPER-453</t>
        </is>
      </c>
      <c r="C1942" t="inlineStr">
        <is>
          <t>Bánh răng van nhôm</t>
        </is>
      </c>
      <c r="D1942" t="inlineStr">
        <is>
          <t>PHỤ_KIỆN_VAN</t>
        </is>
      </c>
      <c r="E1942" t="inlineStr">
        <is>
          <t>MAT-DAMPER-BANH-RANG-VAN-NHOM</t>
        </is>
      </c>
      <c r="F1942" t="inlineStr">
        <is>
          <t>Bộ</t>
        </is>
      </c>
      <c r="G1942" s="4" t="n">
        <v>1</v>
      </c>
      <c r="H1942" s="2">
        <f>XLOOKUP(B1942, '00_TONG_HOP_BAO_GIA'!B:B, '00_TONG_HOP_BAO_GIA'!G:G, 1)</f>
        <v/>
      </c>
      <c r="I1942" s="5">
        <f>G1942*H1942</f>
        <v/>
      </c>
      <c r="J1942" s="2">
        <f>XLOOKUP(E1942, '06_BANG_GIA_VAT_TU_AP_DUNG'!B:B, '06_BANG_GIA_VAT_TU_AP_DUNG'!C:C, "LỖI_MÃ_VT")</f>
        <v/>
      </c>
      <c r="K1942" s="2">
        <f>I1942*J1942</f>
        <v/>
      </c>
      <c r="L1942" t="inlineStr">
        <is>
          <t>Cơ cấu liên động bánh răng van</t>
        </is>
      </c>
    </row>
    <row r="1943">
      <c r="A1943" t="inlineStr">
        <is>
          <t>SW-DAMPER-453-FUSE</t>
        </is>
      </c>
      <c r="B1943" t="inlineStr">
        <is>
          <t>SW-DAMPER-453</t>
        </is>
      </c>
      <c r="C1943" t="inlineStr">
        <is>
          <t>Cầu chì nhiệt nóng chảy 70°C (Elsie/USA)</t>
        </is>
      </c>
      <c r="D1943" t="inlineStr">
        <is>
          <t>PHỤ_KIỆN_VAN</t>
        </is>
      </c>
      <c r="E1943" t="inlineStr">
        <is>
          <t>MAT-DAMPER-CAU-CHI-USA-2-400X400</t>
        </is>
      </c>
      <c r="F1943" t="inlineStr">
        <is>
          <t>Cái</t>
        </is>
      </c>
      <c r="G1943" s="4" t="n">
        <v>1</v>
      </c>
      <c r="H1943" s="2">
        <f>XLOOKUP(B1943, '00_TONG_HOP_BAO_GIA'!B:B, '00_TONG_HOP_BAO_GIA'!G:G, 1)</f>
        <v/>
      </c>
      <c r="I1943" s="5">
        <f>G1943*H1943</f>
        <v/>
      </c>
      <c r="J1943" s="2">
        <f>XLOOKUP(E1943, '06_BANG_GIA_VAT_TU_AP_DUNG'!B:B, '06_BANG_GIA_VAT_TU_AP_DUNG'!C:C, "LỖI_MÃ_VT")</f>
        <v/>
      </c>
      <c r="K1943" s="2">
        <f>I1943*J1943</f>
        <v/>
      </c>
      <c r="L1943" t="inlineStr">
        <is>
          <t>Cầu chì kiểm định PCCC</t>
        </is>
      </c>
    </row>
    <row r="1944">
      <c r="A1944" t="inlineStr">
        <is>
          <t>SW-DAMPER-454-BODY</t>
        </is>
      </c>
      <c r="B1944" t="inlineStr">
        <is>
          <t>SW-DAMPER-454</t>
        </is>
      </c>
      <c r="C1944" t="inlineStr">
        <is>
          <t>Thân vỏ van FD bích TDF (0.95mm)</t>
        </is>
      </c>
      <c r="D1944" t="inlineStr">
        <is>
          <t>TÔN_CUỘN_MẠ_KẼM</t>
        </is>
      </c>
      <c r="E1944" t="inlineStr">
        <is>
          <t>MAT-STEEL-PN-0.95</t>
        </is>
      </c>
      <c r="F1944" t="inlineStr">
        <is>
          <t>kg</t>
        </is>
      </c>
      <c r="G1944" s="4" t="n">
        <v>10.1231088</v>
      </c>
      <c r="H1944" s="2">
        <f>XLOOKUP(B1944, '00_TONG_HOP_BAO_GIA'!B:B, '00_TONG_HOP_BAO_GIA'!G:G, 1)</f>
        <v/>
      </c>
      <c r="I1944" s="5">
        <f>G1944*H1944</f>
        <v/>
      </c>
      <c r="J1944" s="2">
        <f>XLOOKUP(E1944, '06_BANG_GIA_VAT_TU_AP_DUNG'!B:B, '06_BANG_GIA_VAT_TU_AP_DUNG'!C:C, "LỖI_MÃ_VT")</f>
        <v/>
      </c>
      <c r="K1944" s="2">
        <f>I1944*J1944</f>
        <v/>
      </c>
      <c r="L1944" t="inlineStr">
        <is>
          <t>Kích thước vỏ 1000.0x1000.0x250mm</t>
        </is>
      </c>
    </row>
    <row r="1945">
      <c r="A1945" t="inlineStr">
        <is>
          <t>SW-DAMPER-454-BLADE</t>
        </is>
      </c>
      <c r="B1945" t="inlineStr">
        <is>
          <t>SW-DAMPER-454</t>
        </is>
      </c>
      <c r="C1945" t="inlineStr">
        <is>
          <t>Lá cánh van (6 cánh overlap)</t>
        </is>
      </c>
      <c r="D1945" t="inlineStr">
        <is>
          <t>TÔN_CUỘN_MẠ_KẼM</t>
        </is>
      </c>
      <c r="E1945" t="inlineStr">
        <is>
          <t>MAT-STEEL-PN-0.75</t>
        </is>
      </c>
      <c r="F1945" t="inlineStr">
        <is>
          <t>kg</t>
        </is>
      </c>
      <c r="G1945" s="4" t="n">
        <v>7.121519999999999</v>
      </c>
      <c r="H1945" s="2">
        <f>XLOOKUP(B1945, '00_TONG_HOP_BAO_GIA'!B:B, '00_TONG_HOP_BAO_GIA'!G:G, 1)</f>
        <v/>
      </c>
      <c r="I1945" s="5">
        <f>G1945*H1945</f>
        <v/>
      </c>
      <c r="J1945" s="2">
        <f>XLOOKUP(E1945, '06_BANG_GIA_VAT_TU_AP_DUNG'!B:B, '06_BANG_GIA_VAT_TU_AP_DUNG'!C:C, "LỖI_MÃ_VT")</f>
        <v/>
      </c>
      <c r="K1945" s="2">
        <f>I1945*J1945</f>
        <v/>
      </c>
      <c r="L1945" t="inlineStr">
        <is>
          <t>6 cánh cao 187mm</t>
        </is>
      </c>
    </row>
    <row r="1946">
      <c r="A1946" t="inlineStr">
        <is>
          <t>SW-DAMPER-454-AXLE</t>
        </is>
      </c>
      <c r="B1946" t="inlineStr">
        <is>
          <t>SW-DAMPER-454</t>
        </is>
      </c>
      <c r="C1946" t="inlineStr">
        <is>
          <t>Trục Sus 201 D10</t>
        </is>
      </c>
      <c r="D1946" t="inlineStr">
        <is>
          <t>PHỤ_KIỆN_VAN</t>
        </is>
      </c>
      <c r="E1946" t="inlineStr">
        <is>
          <t>MAT-DAMPER-TRUC-SUS-201-D10</t>
        </is>
      </c>
      <c r="F1946" t="inlineStr">
        <is>
          <t>m</t>
        </is>
      </c>
      <c r="G1946" s="4" t="n">
        <v>6.36</v>
      </c>
      <c r="H1946" s="2">
        <f>XLOOKUP(B1946, '00_TONG_HOP_BAO_GIA'!B:B, '00_TONG_HOP_BAO_GIA'!G:G, 1)</f>
        <v/>
      </c>
      <c r="I1946" s="5">
        <f>G1946*H1946</f>
        <v/>
      </c>
      <c r="J1946" s="2">
        <f>XLOOKUP(E1946, '06_BANG_GIA_VAT_TU_AP_DUNG'!B:B, '06_BANG_GIA_VAT_TU_AP_DUNG'!C:C, "LỖI_MÃ_VT")</f>
        <v/>
      </c>
      <c r="K1946" s="2">
        <f>I1946*J1946</f>
        <v/>
      </c>
      <c r="L1946" t="inlineStr">
        <is>
          <t>6 trục dài 1060mm</t>
        </is>
      </c>
    </row>
    <row r="1947">
      <c r="A1947" t="inlineStr">
        <is>
          <t>SW-DAMPER-454-BEARING</t>
        </is>
      </c>
      <c r="B1947" t="inlineStr">
        <is>
          <t>SW-DAMPER-454</t>
        </is>
      </c>
      <c r="C1947" t="inlineStr">
        <is>
          <t>Bạc đồng D10</t>
        </is>
      </c>
      <c r="D1947" t="inlineStr">
        <is>
          <t>PHỤ_KIỆN_VAN</t>
        </is>
      </c>
      <c r="E1947" t="inlineStr">
        <is>
          <t>MAT-DAMPER-BAC-DONG-D10</t>
        </is>
      </c>
      <c r="F1947" t="inlineStr">
        <is>
          <t>Đôi</t>
        </is>
      </c>
      <c r="G1947" s="4" t="n">
        <v>6</v>
      </c>
      <c r="H1947" s="2">
        <f>XLOOKUP(B1947, '00_TONG_HOP_BAO_GIA'!B:B, '00_TONG_HOP_BAO_GIA'!G:G, 1)</f>
        <v/>
      </c>
      <c r="I1947" s="5">
        <f>G1947*H1947</f>
        <v/>
      </c>
      <c r="J1947" s="2">
        <f>XLOOKUP(E1947, '06_BANG_GIA_VAT_TU_AP_DUNG'!B:B, '06_BANG_GIA_VAT_TU_AP_DUNG'!C:C, "LỖI_MÃ_VT")</f>
        <v/>
      </c>
      <c r="K1947" s="2">
        <f>I1947*J1947</f>
        <v/>
      </c>
      <c r="L1947" t="inlineStr">
        <is>
          <t>6 đôi bạc đỡ 2 bên thân</t>
        </is>
      </c>
    </row>
    <row r="1948">
      <c r="A1948" t="inlineStr">
        <is>
          <t>SW-DAMPER-454-GEAR</t>
        </is>
      </c>
      <c r="B1948" t="inlineStr">
        <is>
          <t>SW-DAMPER-454</t>
        </is>
      </c>
      <c r="C1948" t="inlineStr">
        <is>
          <t>Bánh răng van nhôm</t>
        </is>
      </c>
      <c r="D1948" t="inlineStr">
        <is>
          <t>PHỤ_KIỆN_VAN</t>
        </is>
      </c>
      <c r="E1948" t="inlineStr">
        <is>
          <t>MAT-DAMPER-BANH-RANG-VAN-NHOM</t>
        </is>
      </c>
      <c r="F1948" t="inlineStr">
        <is>
          <t>Bộ</t>
        </is>
      </c>
      <c r="G1948" s="4" t="n">
        <v>1</v>
      </c>
      <c r="H1948" s="2">
        <f>XLOOKUP(B1948, '00_TONG_HOP_BAO_GIA'!B:B, '00_TONG_HOP_BAO_GIA'!G:G, 1)</f>
        <v/>
      </c>
      <c r="I1948" s="5">
        <f>G1948*H1948</f>
        <v/>
      </c>
      <c r="J1948" s="2">
        <f>XLOOKUP(E1948, '06_BANG_GIA_VAT_TU_AP_DUNG'!B:B, '06_BANG_GIA_VAT_TU_AP_DUNG'!C:C, "LỖI_MÃ_VT")</f>
        <v/>
      </c>
      <c r="K1948" s="2">
        <f>I1948*J1948</f>
        <v/>
      </c>
      <c r="L1948" t="inlineStr">
        <is>
          <t>Cơ cấu liên động bánh răng van</t>
        </is>
      </c>
    </row>
    <row r="1949">
      <c r="A1949" t="inlineStr">
        <is>
          <t>SW-DAMPER-454-FUSE</t>
        </is>
      </c>
      <c r="B1949" t="inlineStr">
        <is>
          <t>SW-DAMPER-454</t>
        </is>
      </c>
      <c r="C1949" t="inlineStr">
        <is>
          <t>Cầu chì nhiệt nóng chảy 70°C (Elsie/USA)</t>
        </is>
      </c>
      <c r="D1949" t="inlineStr">
        <is>
          <t>PHỤ_KIỆN_VAN</t>
        </is>
      </c>
      <c r="E1949" t="inlineStr">
        <is>
          <t>MAT-DAMPER-CAU-CHI-USA-2-400X400</t>
        </is>
      </c>
      <c r="F1949" t="inlineStr">
        <is>
          <t>Cái</t>
        </is>
      </c>
      <c r="G1949" s="4" t="n">
        <v>1</v>
      </c>
      <c r="H1949" s="2">
        <f>XLOOKUP(B1949, '00_TONG_HOP_BAO_GIA'!B:B, '00_TONG_HOP_BAO_GIA'!G:G, 1)</f>
        <v/>
      </c>
      <c r="I1949" s="5">
        <f>G1949*H1949</f>
        <v/>
      </c>
      <c r="J1949" s="2">
        <f>XLOOKUP(E1949, '06_BANG_GIA_VAT_TU_AP_DUNG'!B:B, '06_BANG_GIA_VAT_TU_AP_DUNG'!C:C, "LỖI_MÃ_VT")</f>
        <v/>
      </c>
      <c r="K1949" s="2">
        <f>I1949*J1949</f>
        <v/>
      </c>
      <c r="L1949" t="inlineStr">
        <is>
          <t>Cầu chì kiểm định PCCC</t>
        </is>
      </c>
    </row>
    <row r="1950">
      <c r="A1950" t="inlineStr">
        <is>
          <t>SW-DAMPER-455-BODY</t>
        </is>
      </c>
      <c r="B1950" t="inlineStr">
        <is>
          <t>SW-DAMPER-455</t>
        </is>
      </c>
      <c r="C1950" t="inlineStr">
        <is>
          <t>Thân vỏ van FD bích TDF (0.95mm)</t>
        </is>
      </c>
      <c r="D1950" t="inlineStr">
        <is>
          <t>TÔN_CUỘN_MẠ_KẼM</t>
        </is>
      </c>
      <c r="E1950" t="inlineStr">
        <is>
          <t>MAT-STEEL-PN-0.95</t>
        </is>
      </c>
      <c r="F1950" t="inlineStr">
        <is>
          <t>kg</t>
        </is>
      </c>
      <c r="G1950" s="4" t="n">
        <v>9.371392800000001</v>
      </c>
      <c r="H1950" s="2">
        <f>XLOOKUP(B1950, '00_TONG_HOP_BAO_GIA'!B:B, '00_TONG_HOP_BAO_GIA'!G:G, 1)</f>
        <v/>
      </c>
      <c r="I1950" s="5">
        <f>G1950*H1950</f>
        <v/>
      </c>
      <c r="J1950" s="2">
        <f>XLOOKUP(E1950, '06_BANG_GIA_VAT_TU_AP_DUNG'!B:B, '06_BANG_GIA_VAT_TU_AP_DUNG'!C:C, "LỖI_MÃ_VT")</f>
        <v/>
      </c>
      <c r="K1950" s="2">
        <f>I1950*J1950</f>
        <v/>
      </c>
      <c r="L1950" t="inlineStr">
        <is>
          <t>Kích thước vỏ 1200.0x650.0x250mm</t>
        </is>
      </c>
    </row>
    <row r="1951">
      <c r="A1951" t="inlineStr">
        <is>
          <t>SW-DAMPER-455-BLADE</t>
        </is>
      </c>
      <c r="B1951" t="inlineStr">
        <is>
          <t>SW-DAMPER-455</t>
        </is>
      </c>
      <c r="C1951" t="inlineStr">
        <is>
          <t>Lá cánh van (4 cánh overlap)</t>
        </is>
      </c>
      <c r="D1951" t="inlineStr">
        <is>
          <t>TÔN_CUỘN_MẠ_KẼM</t>
        </is>
      </c>
      <c r="E1951" t="inlineStr">
        <is>
          <t>MAT-STEEL-PN-0.75</t>
        </is>
      </c>
      <c r="F1951" t="inlineStr">
        <is>
          <t>kg</t>
        </is>
      </c>
      <c r="G1951" s="4" t="n">
        <v>5.570046</v>
      </c>
      <c r="H1951" s="2">
        <f>XLOOKUP(B1951, '00_TONG_HOP_BAO_GIA'!B:B, '00_TONG_HOP_BAO_GIA'!G:G, 1)</f>
        <v/>
      </c>
      <c r="I1951" s="5">
        <f>G1951*H1951</f>
        <v/>
      </c>
      <c r="J1951" s="2">
        <f>XLOOKUP(E1951, '06_BANG_GIA_VAT_TU_AP_DUNG'!B:B, '06_BANG_GIA_VAT_TU_AP_DUNG'!C:C, "LỖI_MÃ_VT")</f>
        <v/>
      </c>
      <c r="K1951" s="2">
        <f>I1951*J1951</f>
        <v/>
      </c>
      <c r="L1951" t="inlineStr">
        <is>
          <t>4 cánh cao 182mm</t>
        </is>
      </c>
    </row>
    <row r="1952">
      <c r="A1952" t="inlineStr">
        <is>
          <t>SW-DAMPER-455-AXLE</t>
        </is>
      </c>
      <c r="B1952" t="inlineStr">
        <is>
          <t>SW-DAMPER-455</t>
        </is>
      </c>
      <c r="C1952" t="inlineStr">
        <is>
          <t>Trục Sus 201 D10</t>
        </is>
      </c>
      <c r="D1952" t="inlineStr">
        <is>
          <t>PHỤ_KIỆN_VAN</t>
        </is>
      </c>
      <c r="E1952" t="inlineStr">
        <is>
          <t>MAT-DAMPER-TRUC-SUS-201-D10</t>
        </is>
      </c>
      <c r="F1952" t="inlineStr">
        <is>
          <t>m</t>
        </is>
      </c>
      <c r="G1952" s="4" t="n">
        <v>5.04</v>
      </c>
      <c r="H1952" s="2">
        <f>XLOOKUP(B1952, '00_TONG_HOP_BAO_GIA'!B:B, '00_TONG_HOP_BAO_GIA'!G:G, 1)</f>
        <v/>
      </c>
      <c r="I1952" s="5">
        <f>G1952*H1952</f>
        <v/>
      </c>
      <c r="J1952" s="2">
        <f>XLOOKUP(E1952, '06_BANG_GIA_VAT_TU_AP_DUNG'!B:B, '06_BANG_GIA_VAT_TU_AP_DUNG'!C:C, "LỖI_MÃ_VT")</f>
        <v/>
      </c>
      <c r="K1952" s="2">
        <f>I1952*J1952</f>
        <v/>
      </c>
      <c r="L1952" t="inlineStr">
        <is>
          <t>4 trục dài 1260mm</t>
        </is>
      </c>
    </row>
    <row r="1953">
      <c r="A1953" t="inlineStr">
        <is>
          <t>SW-DAMPER-455-BEARING</t>
        </is>
      </c>
      <c r="B1953" t="inlineStr">
        <is>
          <t>SW-DAMPER-455</t>
        </is>
      </c>
      <c r="C1953" t="inlineStr">
        <is>
          <t>Bạc đồng D10</t>
        </is>
      </c>
      <c r="D1953" t="inlineStr">
        <is>
          <t>PHỤ_KIỆN_VAN</t>
        </is>
      </c>
      <c r="E1953" t="inlineStr">
        <is>
          <t>MAT-DAMPER-BAC-DONG-D10</t>
        </is>
      </c>
      <c r="F1953" t="inlineStr">
        <is>
          <t>Đôi</t>
        </is>
      </c>
      <c r="G1953" s="4" t="n">
        <v>4</v>
      </c>
      <c r="H1953" s="2">
        <f>XLOOKUP(B1953, '00_TONG_HOP_BAO_GIA'!B:B, '00_TONG_HOP_BAO_GIA'!G:G, 1)</f>
        <v/>
      </c>
      <c r="I1953" s="5">
        <f>G1953*H1953</f>
        <v/>
      </c>
      <c r="J1953" s="2">
        <f>XLOOKUP(E1953, '06_BANG_GIA_VAT_TU_AP_DUNG'!B:B, '06_BANG_GIA_VAT_TU_AP_DUNG'!C:C, "LỖI_MÃ_VT")</f>
        <v/>
      </c>
      <c r="K1953" s="2">
        <f>I1953*J1953</f>
        <v/>
      </c>
      <c r="L1953" t="inlineStr">
        <is>
          <t>4 đôi bạc đỡ 2 bên thân</t>
        </is>
      </c>
    </row>
    <row r="1954">
      <c r="A1954" t="inlineStr">
        <is>
          <t>SW-DAMPER-455-GEAR</t>
        </is>
      </c>
      <c r="B1954" t="inlineStr">
        <is>
          <t>SW-DAMPER-455</t>
        </is>
      </c>
      <c r="C1954" t="inlineStr">
        <is>
          <t>Bánh răng van nhôm</t>
        </is>
      </c>
      <c r="D1954" t="inlineStr">
        <is>
          <t>PHỤ_KIỆN_VAN</t>
        </is>
      </c>
      <c r="E1954" t="inlineStr">
        <is>
          <t>MAT-DAMPER-BANH-RANG-VAN-NHOM</t>
        </is>
      </c>
      <c r="F1954" t="inlineStr">
        <is>
          <t>Bộ</t>
        </is>
      </c>
      <c r="G1954" s="4" t="n">
        <v>1</v>
      </c>
      <c r="H1954" s="2">
        <f>XLOOKUP(B1954, '00_TONG_HOP_BAO_GIA'!B:B, '00_TONG_HOP_BAO_GIA'!G:G, 1)</f>
        <v/>
      </c>
      <c r="I1954" s="5">
        <f>G1954*H1954</f>
        <v/>
      </c>
      <c r="J1954" s="2">
        <f>XLOOKUP(E1954, '06_BANG_GIA_VAT_TU_AP_DUNG'!B:B, '06_BANG_GIA_VAT_TU_AP_DUNG'!C:C, "LỖI_MÃ_VT")</f>
        <v/>
      </c>
      <c r="K1954" s="2">
        <f>I1954*J1954</f>
        <v/>
      </c>
      <c r="L1954" t="inlineStr">
        <is>
          <t>Cơ cấu liên động bánh răng van</t>
        </is>
      </c>
    </row>
    <row r="1955">
      <c r="A1955" t="inlineStr">
        <is>
          <t>SW-DAMPER-455-FUSE</t>
        </is>
      </c>
      <c r="B1955" t="inlineStr">
        <is>
          <t>SW-DAMPER-455</t>
        </is>
      </c>
      <c r="C1955" t="inlineStr">
        <is>
          <t>Cầu chì nhiệt nóng chảy 70°C (Elsie/USA)</t>
        </is>
      </c>
      <c r="D1955" t="inlineStr">
        <is>
          <t>PHỤ_KIỆN_VAN</t>
        </is>
      </c>
      <c r="E1955" t="inlineStr">
        <is>
          <t>MAT-DAMPER-CAU-CHI-USA-2-400X400</t>
        </is>
      </c>
      <c r="F1955" t="inlineStr">
        <is>
          <t>Cái</t>
        </is>
      </c>
      <c r="G1955" s="4" t="n">
        <v>1</v>
      </c>
      <c r="H1955" s="2">
        <f>XLOOKUP(B1955, '00_TONG_HOP_BAO_GIA'!B:B, '00_TONG_HOP_BAO_GIA'!G:G, 1)</f>
        <v/>
      </c>
      <c r="I1955" s="5">
        <f>G1955*H1955</f>
        <v/>
      </c>
      <c r="J1955" s="2">
        <f>XLOOKUP(E1955, '06_BANG_GIA_VAT_TU_AP_DUNG'!B:B, '06_BANG_GIA_VAT_TU_AP_DUNG'!C:C, "LỖI_MÃ_VT")</f>
        <v/>
      </c>
      <c r="K1955" s="2">
        <f>I1955*J1955</f>
        <v/>
      </c>
      <c r="L1955" t="inlineStr">
        <is>
          <t>Cầu chì kiểm định PCCC</t>
        </is>
      </c>
    </row>
    <row r="1956">
      <c r="A1956" t="inlineStr">
        <is>
          <t>SW-DAMPER-456-BODY</t>
        </is>
      </c>
      <c r="B1956" t="inlineStr">
        <is>
          <t>SW-DAMPER-456</t>
        </is>
      </c>
      <c r="C1956" t="inlineStr">
        <is>
          <t>Thân vỏ van FD bích TDF (0.95mm)</t>
        </is>
      </c>
      <c r="D1956" t="inlineStr">
        <is>
          <t>TÔN_CUỘN_MẠ_KẼM</t>
        </is>
      </c>
      <c r="E1956" t="inlineStr">
        <is>
          <t>MAT-STEEL-PN-0.95</t>
        </is>
      </c>
      <c r="F1956" t="inlineStr">
        <is>
          <t>kg</t>
        </is>
      </c>
      <c r="G1956" s="4" t="n">
        <v>10.1231088</v>
      </c>
      <c r="H1956" s="2">
        <f>XLOOKUP(B1956, '00_TONG_HOP_BAO_GIA'!B:B, '00_TONG_HOP_BAO_GIA'!G:G, 1)</f>
        <v/>
      </c>
      <c r="I1956" s="5">
        <f>G1956*H1956</f>
        <v/>
      </c>
      <c r="J1956" s="2">
        <f>XLOOKUP(E1956, '06_BANG_GIA_VAT_TU_AP_DUNG'!B:B, '06_BANG_GIA_VAT_TU_AP_DUNG'!C:C, "LỖI_MÃ_VT")</f>
        <v/>
      </c>
      <c r="K1956" s="2">
        <f>I1956*J1956</f>
        <v/>
      </c>
      <c r="L1956" t="inlineStr">
        <is>
          <t>Kích thước vỏ 1400.0x600.0x250mm</t>
        </is>
      </c>
    </row>
    <row r="1957">
      <c r="A1957" t="inlineStr">
        <is>
          <t>SW-DAMPER-456-BLADE</t>
        </is>
      </c>
      <c r="B1957" t="inlineStr">
        <is>
          <t>SW-DAMPER-456</t>
        </is>
      </c>
      <c r="C1957" t="inlineStr">
        <is>
          <t>Lá cánh van (4 cánh overlap)</t>
        </is>
      </c>
      <c r="D1957" t="inlineStr">
        <is>
          <t>TÔN_CUỘN_MẠ_KẼM</t>
        </is>
      </c>
      <c r="E1957" t="inlineStr">
        <is>
          <t>MAT-STEEL-PN-0.75</t>
        </is>
      </c>
      <c r="F1957" t="inlineStr">
        <is>
          <t>kg</t>
        </is>
      </c>
      <c r="G1957" s="4" t="n">
        <v>6.053291999999999</v>
      </c>
      <c r="H1957" s="2">
        <f>XLOOKUP(B1957, '00_TONG_HOP_BAO_GIA'!B:B, '00_TONG_HOP_BAO_GIA'!G:G, 1)</f>
        <v/>
      </c>
      <c r="I1957" s="5">
        <f>G1957*H1957</f>
        <v/>
      </c>
      <c r="J1957" s="2">
        <f>XLOOKUP(E1957, '06_BANG_GIA_VAT_TU_AP_DUNG'!B:B, '06_BANG_GIA_VAT_TU_AP_DUNG'!C:C, "LỖI_MÃ_VT")</f>
        <v/>
      </c>
      <c r="K1957" s="2">
        <f>I1957*J1957</f>
        <v/>
      </c>
      <c r="L1957" t="inlineStr">
        <is>
          <t>4 cánh cao 170mm</t>
        </is>
      </c>
    </row>
    <row r="1958">
      <c r="A1958" t="inlineStr">
        <is>
          <t>SW-DAMPER-456-AXLE</t>
        </is>
      </c>
      <c r="B1958" t="inlineStr">
        <is>
          <t>SW-DAMPER-456</t>
        </is>
      </c>
      <c r="C1958" t="inlineStr">
        <is>
          <t>Trục Sus 201 D10</t>
        </is>
      </c>
      <c r="D1958" t="inlineStr">
        <is>
          <t>PHỤ_KIỆN_VAN</t>
        </is>
      </c>
      <c r="E1958" t="inlineStr">
        <is>
          <t>MAT-DAMPER-TRUC-SUS-201-D10</t>
        </is>
      </c>
      <c r="F1958" t="inlineStr">
        <is>
          <t>m</t>
        </is>
      </c>
      <c r="G1958" s="4" t="n">
        <v>5.84</v>
      </c>
      <c r="H1958" s="2">
        <f>XLOOKUP(B1958, '00_TONG_HOP_BAO_GIA'!B:B, '00_TONG_HOP_BAO_GIA'!G:G, 1)</f>
        <v/>
      </c>
      <c r="I1958" s="5">
        <f>G1958*H1958</f>
        <v/>
      </c>
      <c r="J1958" s="2">
        <f>XLOOKUP(E1958, '06_BANG_GIA_VAT_TU_AP_DUNG'!B:B, '06_BANG_GIA_VAT_TU_AP_DUNG'!C:C, "LỖI_MÃ_VT")</f>
        <v/>
      </c>
      <c r="K1958" s="2">
        <f>I1958*J1958</f>
        <v/>
      </c>
      <c r="L1958" t="inlineStr">
        <is>
          <t>4 trục dài 1460mm</t>
        </is>
      </c>
    </row>
    <row r="1959">
      <c r="A1959" t="inlineStr">
        <is>
          <t>SW-DAMPER-456-BEARING</t>
        </is>
      </c>
      <c r="B1959" t="inlineStr">
        <is>
          <t>SW-DAMPER-456</t>
        </is>
      </c>
      <c r="C1959" t="inlineStr">
        <is>
          <t>Bạc đồng D10</t>
        </is>
      </c>
      <c r="D1959" t="inlineStr">
        <is>
          <t>PHỤ_KIỆN_VAN</t>
        </is>
      </c>
      <c r="E1959" t="inlineStr">
        <is>
          <t>MAT-DAMPER-BAC-DONG-D10</t>
        </is>
      </c>
      <c r="F1959" t="inlineStr">
        <is>
          <t>Đôi</t>
        </is>
      </c>
      <c r="G1959" s="4" t="n">
        <v>4</v>
      </c>
      <c r="H1959" s="2">
        <f>XLOOKUP(B1959, '00_TONG_HOP_BAO_GIA'!B:B, '00_TONG_HOP_BAO_GIA'!G:G, 1)</f>
        <v/>
      </c>
      <c r="I1959" s="5">
        <f>G1959*H1959</f>
        <v/>
      </c>
      <c r="J1959" s="2">
        <f>XLOOKUP(E1959, '06_BANG_GIA_VAT_TU_AP_DUNG'!B:B, '06_BANG_GIA_VAT_TU_AP_DUNG'!C:C, "LỖI_MÃ_VT")</f>
        <v/>
      </c>
      <c r="K1959" s="2">
        <f>I1959*J1959</f>
        <v/>
      </c>
      <c r="L1959" t="inlineStr">
        <is>
          <t>4 đôi bạc đỡ 2 bên thân</t>
        </is>
      </c>
    </row>
    <row r="1960">
      <c r="A1960" t="inlineStr">
        <is>
          <t>SW-DAMPER-456-GEAR</t>
        </is>
      </c>
      <c r="B1960" t="inlineStr">
        <is>
          <t>SW-DAMPER-456</t>
        </is>
      </c>
      <c r="C1960" t="inlineStr">
        <is>
          <t>Bánh răng van nhôm</t>
        </is>
      </c>
      <c r="D1960" t="inlineStr">
        <is>
          <t>PHỤ_KIỆN_VAN</t>
        </is>
      </c>
      <c r="E1960" t="inlineStr">
        <is>
          <t>MAT-DAMPER-BANH-RANG-VAN-NHOM</t>
        </is>
      </c>
      <c r="F1960" t="inlineStr">
        <is>
          <t>Bộ</t>
        </is>
      </c>
      <c r="G1960" s="4" t="n">
        <v>1</v>
      </c>
      <c r="H1960" s="2">
        <f>XLOOKUP(B1960, '00_TONG_HOP_BAO_GIA'!B:B, '00_TONG_HOP_BAO_GIA'!G:G, 1)</f>
        <v/>
      </c>
      <c r="I1960" s="5">
        <f>G1960*H1960</f>
        <v/>
      </c>
      <c r="J1960" s="2">
        <f>XLOOKUP(E1960, '06_BANG_GIA_VAT_TU_AP_DUNG'!B:B, '06_BANG_GIA_VAT_TU_AP_DUNG'!C:C, "LỖI_MÃ_VT")</f>
        <v/>
      </c>
      <c r="K1960" s="2">
        <f>I1960*J1960</f>
        <v/>
      </c>
      <c r="L1960" t="inlineStr">
        <is>
          <t>Cơ cấu liên động bánh răng van</t>
        </is>
      </c>
    </row>
    <row r="1961">
      <c r="A1961" t="inlineStr">
        <is>
          <t>SW-DAMPER-456-FUSE</t>
        </is>
      </c>
      <c r="B1961" t="inlineStr">
        <is>
          <t>SW-DAMPER-456</t>
        </is>
      </c>
      <c r="C1961" t="inlineStr">
        <is>
          <t>Cầu chì nhiệt nóng chảy 70°C (Elsie/USA)</t>
        </is>
      </c>
      <c r="D1961" t="inlineStr">
        <is>
          <t>PHỤ_KIỆN_VAN</t>
        </is>
      </c>
      <c r="E1961" t="inlineStr">
        <is>
          <t>MAT-DAMPER-CAU-CHI-USA-2-400X400</t>
        </is>
      </c>
      <c r="F1961" t="inlineStr">
        <is>
          <t>Cái</t>
        </is>
      </c>
      <c r="G1961" s="4" t="n">
        <v>1</v>
      </c>
      <c r="H1961" s="2">
        <f>XLOOKUP(B1961, '00_TONG_HOP_BAO_GIA'!B:B, '00_TONG_HOP_BAO_GIA'!G:G, 1)</f>
        <v/>
      </c>
      <c r="I1961" s="5">
        <f>G1961*H1961</f>
        <v/>
      </c>
      <c r="J1961" s="2">
        <f>XLOOKUP(E1961, '06_BANG_GIA_VAT_TU_AP_DUNG'!B:B, '06_BANG_GIA_VAT_TU_AP_DUNG'!C:C, "LỖI_MÃ_VT")</f>
        <v/>
      </c>
      <c r="K1961" s="2">
        <f>I1961*J1961</f>
        <v/>
      </c>
      <c r="L1961" t="inlineStr">
        <is>
          <t>Cầu chì kiểm định PCCC</t>
        </is>
      </c>
    </row>
    <row r="1962">
      <c r="A1962" t="inlineStr">
        <is>
          <t>SW-DAMPER-457-BODY</t>
        </is>
      </c>
      <c r="B1962" t="inlineStr">
        <is>
          <t>SW-DAMPER-457</t>
        </is>
      </c>
      <c r="C1962" t="inlineStr">
        <is>
          <t>Thân vỏ van FD bích TDF (0.95mm)</t>
        </is>
      </c>
      <c r="D1962" t="inlineStr">
        <is>
          <t>TÔN_CUỘN_MẠ_KẼM</t>
        </is>
      </c>
      <c r="E1962" t="inlineStr">
        <is>
          <t>MAT-STEEL-PN-0.95</t>
        </is>
      </c>
      <c r="F1962" t="inlineStr">
        <is>
          <t>kg</t>
        </is>
      </c>
      <c r="G1962" s="4" t="n">
        <v>12.6288288</v>
      </c>
      <c r="H1962" s="2">
        <f>XLOOKUP(B1962, '00_TONG_HOP_BAO_GIA'!B:B, '00_TONG_HOP_BAO_GIA'!G:G, 1)</f>
        <v/>
      </c>
      <c r="I1962" s="5">
        <f>G1962*H1962</f>
        <v/>
      </c>
      <c r="J1962" s="2">
        <f>XLOOKUP(E1962, '06_BANG_GIA_VAT_TU_AP_DUNG'!B:B, '06_BANG_GIA_VAT_TU_AP_DUNG'!C:C, "LỖI_MÃ_VT")</f>
        <v/>
      </c>
      <c r="K1962" s="2">
        <f>I1962*J1962</f>
        <v/>
      </c>
      <c r="L1962" t="inlineStr">
        <is>
          <t>Kích thước vỏ 1900.0x600.0x250mm</t>
        </is>
      </c>
    </row>
    <row r="1963">
      <c r="A1963" t="inlineStr">
        <is>
          <t>SW-DAMPER-457-BLADE</t>
        </is>
      </c>
      <c r="B1963" t="inlineStr">
        <is>
          <t>SW-DAMPER-457</t>
        </is>
      </c>
      <c r="C1963" t="inlineStr">
        <is>
          <t>Lá cánh van (4 cánh overlap)</t>
        </is>
      </c>
      <c r="D1963" t="inlineStr">
        <is>
          <t>TÔN_CUỘN_MẠ_KẼM</t>
        </is>
      </c>
      <c r="E1963" t="inlineStr">
        <is>
          <t>MAT-STEEL-PN-0.75</t>
        </is>
      </c>
      <c r="F1963" t="inlineStr">
        <is>
          <t>kg</t>
        </is>
      </c>
      <c r="G1963" s="4" t="n">
        <v>8.215182</v>
      </c>
      <c r="H1963" s="2">
        <f>XLOOKUP(B1963, '00_TONG_HOP_BAO_GIA'!B:B, '00_TONG_HOP_BAO_GIA'!G:G, 1)</f>
        <v/>
      </c>
      <c r="I1963" s="5">
        <f>G1963*H1963</f>
        <v/>
      </c>
      <c r="J1963" s="2">
        <f>XLOOKUP(E1963, '06_BANG_GIA_VAT_TU_AP_DUNG'!B:B, '06_BANG_GIA_VAT_TU_AP_DUNG'!C:C, "LỖI_MÃ_VT")</f>
        <v/>
      </c>
      <c r="K1963" s="2">
        <f>I1963*J1963</f>
        <v/>
      </c>
      <c r="L1963" t="inlineStr">
        <is>
          <t>4 cánh cao 170mm</t>
        </is>
      </c>
    </row>
    <row r="1964">
      <c r="A1964" t="inlineStr">
        <is>
          <t>SW-DAMPER-457-AXLE</t>
        </is>
      </c>
      <c r="B1964" t="inlineStr">
        <is>
          <t>SW-DAMPER-457</t>
        </is>
      </c>
      <c r="C1964" t="inlineStr">
        <is>
          <t>Trục Sus 201 D10</t>
        </is>
      </c>
      <c r="D1964" t="inlineStr">
        <is>
          <t>PHỤ_KIỆN_VAN</t>
        </is>
      </c>
      <c r="E1964" t="inlineStr">
        <is>
          <t>MAT-DAMPER-TRUC-SUS-201-D10</t>
        </is>
      </c>
      <c r="F1964" t="inlineStr">
        <is>
          <t>m</t>
        </is>
      </c>
      <c r="G1964" s="4" t="n">
        <v>7.84</v>
      </c>
      <c r="H1964" s="2">
        <f>XLOOKUP(B1964, '00_TONG_HOP_BAO_GIA'!B:B, '00_TONG_HOP_BAO_GIA'!G:G, 1)</f>
        <v/>
      </c>
      <c r="I1964" s="5">
        <f>G1964*H1964</f>
        <v/>
      </c>
      <c r="J1964" s="2">
        <f>XLOOKUP(E1964, '06_BANG_GIA_VAT_TU_AP_DUNG'!B:B, '06_BANG_GIA_VAT_TU_AP_DUNG'!C:C, "LỖI_MÃ_VT")</f>
        <v/>
      </c>
      <c r="K1964" s="2">
        <f>I1964*J1964</f>
        <v/>
      </c>
      <c r="L1964" t="inlineStr">
        <is>
          <t>4 trục dài 1960mm</t>
        </is>
      </c>
    </row>
    <row r="1965">
      <c r="A1965" t="inlineStr">
        <is>
          <t>SW-DAMPER-457-BEARING</t>
        </is>
      </c>
      <c r="B1965" t="inlineStr">
        <is>
          <t>SW-DAMPER-457</t>
        </is>
      </c>
      <c r="C1965" t="inlineStr">
        <is>
          <t>Bạc đồng D10</t>
        </is>
      </c>
      <c r="D1965" t="inlineStr">
        <is>
          <t>PHỤ_KIỆN_VAN</t>
        </is>
      </c>
      <c r="E1965" t="inlineStr">
        <is>
          <t>MAT-DAMPER-BAC-DONG-D10</t>
        </is>
      </c>
      <c r="F1965" t="inlineStr">
        <is>
          <t>Đôi</t>
        </is>
      </c>
      <c r="G1965" s="4" t="n">
        <v>4</v>
      </c>
      <c r="H1965" s="2">
        <f>XLOOKUP(B1965, '00_TONG_HOP_BAO_GIA'!B:B, '00_TONG_HOP_BAO_GIA'!G:G, 1)</f>
        <v/>
      </c>
      <c r="I1965" s="5">
        <f>G1965*H1965</f>
        <v/>
      </c>
      <c r="J1965" s="2">
        <f>XLOOKUP(E1965, '06_BANG_GIA_VAT_TU_AP_DUNG'!B:B, '06_BANG_GIA_VAT_TU_AP_DUNG'!C:C, "LỖI_MÃ_VT")</f>
        <v/>
      </c>
      <c r="K1965" s="2">
        <f>I1965*J1965</f>
        <v/>
      </c>
      <c r="L1965" t="inlineStr">
        <is>
          <t>4 đôi bạc đỡ 2 bên thân</t>
        </is>
      </c>
    </row>
    <row r="1966">
      <c r="A1966" t="inlineStr">
        <is>
          <t>SW-DAMPER-457-GEAR</t>
        </is>
      </c>
      <c r="B1966" t="inlineStr">
        <is>
          <t>SW-DAMPER-457</t>
        </is>
      </c>
      <c r="C1966" t="inlineStr">
        <is>
          <t>Bánh răng van nhôm</t>
        </is>
      </c>
      <c r="D1966" t="inlineStr">
        <is>
          <t>PHỤ_KIỆN_VAN</t>
        </is>
      </c>
      <c r="E1966" t="inlineStr">
        <is>
          <t>MAT-DAMPER-BANH-RANG-VAN-NHOM</t>
        </is>
      </c>
      <c r="F1966" t="inlineStr">
        <is>
          <t>Bộ</t>
        </is>
      </c>
      <c r="G1966" s="4" t="n">
        <v>1</v>
      </c>
      <c r="H1966" s="2">
        <f>XLOOKUP(B1966, '00_TONG_HOP_BAO_GIA'!B:B, '00_TONG_HOP_BAO_GIA'!G:G, 1)</f>
        <v/>
      </c>
      <c r="I1966" s="5">
        <f>G1966*H1966</f>
        <v/>
      </c>
      <c r="J1966" s="2">
        <f>XLOOKUP(E1966, '06_BANG_GIA_VAT_TU_AP_DUNG'!B:B, '06_BANG_GIA_VAT_TU_AP_DUNG'!C:C, "LỖI_MÃ_VT")</f>
        <v/>
      </c>
      <c r="K1966" s="2">
        <f>I1966*J1966</f>
        <v/>
      </c>
      <c r="L1966" t="inlineStr">
        <is>
          <t>Cơ cấu liên động bánh răng van</t>
        </is>
      </c>
    </row>
    <row r="1967">
      <c r="A1967" t="inlineStr">
        <is>
          <t>SW-DAMPER-457-FUSE</t>
        </is>
      </c>
      <c r="B1967" t="inlineStr">
        <is>
          <t>SW-DAMPER-457</t>
        </is>
      </c>
      <c r="C1967" t="inlineStr">
        <is>
          <t>Cầu chì nhiệt nóng chảy 70°C (Elsie/USA)</t>
        </is>
      </c>
      <c r="D1967" t="inlineStr">
        <is>
          <t>PHỤ_KIỆN_VAN</t>
        </is>
      </c>
      <c r="E1967" t="inlineStr">
        <is>
          <t>MAT-DAMPER-CAU-CHI-USA-2-400X400</t>
        </is>
      </c>
      <c r="F1967" t="inlineStr">
        <is>
          <t>Cái</t>
        </is>
      </c>
      <c r="G1967" s="4" t="n">
        <v>1</v>
      </c>
      <c r="H1967" s="2">
        <f>XLOOKUP(B1967, '00_TONG_HOP_BAO_GIA'!B:B, '00_TONG_HOP_BAO_GIA'!G:G, 1)</f>
        <v/>
      </c>
      <c r="I1967" s="5">
        <f>G1967*H1967</f>
        <v/>
      </c>
      <c r="J1967" s="2">
        <f>XLOOKUP(E1967, '06_BANG_GIA_VAT_TU_AP_DUNG'!B:B, '06_BANG_GIA_VAT_TU_AP_DUNG'!C:C, "LỖI_MÃ_VT")</f>
        <v/>
      </c>
      <c r="K1967" s="2">
        <f>I1967*J1967</f>
        <v/>
      </c>
      <c r="L1967" t="inlineStr">
        <is>
          <t>Cầu chì kiểm định PCCC</t>
        </is>
      </c>
    </row>
    <row r="1968">
      <c r="A1968" t="inlineStr">
        <is>
          <t>SW-DAMPER-499-BODY</t>
        </is>
      </c>
      <c r="B1968" t="inlineStr">
        <is>
          <t>SW-DAMPER-499</t>
        </is>
      </c>
      <c r="C1968" t="inlineStr">
        <is>
          <t>Thân vỏ van VCD bích TDF (0.75mm)</t>
        </is>
      </c>
      <c r="D1968" t="inlineStr">
        <is>
          <t>TÔN_CUỘN_MẠ_KẼM</t>
        </is>
      </c>
      <c r="E1968" t="inlineStr">
        <is>
          <t>MAT-STEEL-PN-0.75</t>
        </is>
      </c>
      <c r="F1968" t="inlineStr">
        <is>
          <t>kg</t>
        </is>
      </c>
      <c r="G1968" s="4" t="n">
        <v>1.800162</v>
      </c>
      <c r="H1968" s="2">
        <f>XLOOKUP(B1968, '00_TONG_HOP_BAO_GIA'!B:B, '00_TONG_HOP_BAO_GIA'!G:G, 1)</f>
        <v/>
      </c>
      <c r="I1968" s="5">
        <f>G1968*H1968</f>
        <v/>
      </c>
      <c r="J1968" s="2">
        <f>XLOOKUP(E1968, '06_BANG_GIA_VAT_TU_AP_DUNG'!B:B, '06_BANG_GIA_VAT_TU_AP_DUNG'!C:C, "LỖI_MÃ_VT")</f>
        <v/>
      </c>
      <c r="K1968" s="2">
        <f>I1968*J1968</f>
        <v/>
      </c>
      <c r="L1968" t="inlineStr">
        <is>
          <t>Kích thước vỏ 200.0x300x210mm</t>
        </is>
      </c>
    </row>
    <row r="1969">
      <c r="A1969" t="inlineStr">
        <is>
          <t>SW-DAMPER-499-BLADE</t>
        </is>
      </c>
      <c r="B1969" t="inlineStr">
        <is>
          <t>SW-DAMPER-499</t>
        </is>
      </c>
      <c r="C1969" t="inlineStr">
        <is>
          <t>Lá cánh van (2 cánh overlap)</t>
        </is>
      </c>
      <c r="D1969" t="inlineStr">
        <is>
          <t>TÔN_CUỘN_MẠ_KẼM</t>
        </is>
      </c>
      <c r="E1969" t="inlineStr">
        <is>
          <t>MAT-STEEL-PN-0.75</t>
        </is>
      </c>
      <c r="F1969" t="inlineStr">
        <is>
          <t>kg</t>
        </is>
      </c>
      <c r="G1969" s="4" t="n">
        <v>0.432378</v>
      </c>
      <c r="H1969" s="2">
        <f>XLOOKUP(B1969, '00_TONG_HOP_BAO_GIA'!B:B, '00_TONG_HOP_BAO_GIA'!G:G, 1)</f>
        <v/>
      </c>
      <c r="I1969" s="5">
        <f>G1969*H1969</f>
        <v/>
      </c>
      <c r="J1969" s="2">
        <f>XLOOKUP(E1969, '06_BANG_GIA_VAT_TU_AP_DUNG'!B:B, '06_BANG_GIA_VAT_TU_AP_DUNG'!C:C, "LỖI_MÃ_VT")</f>
        <v/>
      </c>
      <c r="K1969" s="2">
        <f>I1969*J1969</f>
        <v/>
      </c>
      <c r="L1969" t="inlineStr">
        <is>
          <t>2 cánh cao 170mm</t>
        </is>
      </c>
    </row>
    <row r="1970">
      <c r="A1970" t="inlineStr">
        <is>
          <t>SW-DAMPER-499-AXLE</t>
        </is>
      </c>
      <c r="B1970" t="inlineStr">
        <is>
          <t>SW-DAMPER-499</t>
        </is>
      </c>
      <c r="C1970" t="inlineStr">
        <is>
          <t>Trục Sus 201 D10</t>
        </is>
      </c>
      <c r="D1970" t="inlineStr">
        <is>
          <t>PHỤ_KIỆN_VAN</t>
        </is>
      </c>
      <c r="E1970" t="inlineStr">
        <is>
          <t>MAT-DAMPER-TRUC-SUS-201-D10</t>
        </is>
      </c>
      <c r="F1970" t="inlineStr">
        <is>
          <t>m</t>
        </is>
      </c>
      <c r="G1970" s="4" t="n">
        <v>0.52</v>
      </c>
      <c r="H1970" s="2">
        <f>XLOOKUP(B1970, '00_TONG_HOP_BAO_GIA'!B:B, '00_TONG_HOP_BAO_GIA'!G:G, 1)</f>
        <v/>
      </c>
      <c r="I1970" s="5">
        <f>G1970*H1970</f>
        <v/>
      </c>
      <c r="J1970" s="2">
        <f>XLOOKUP(E1970, '06_BANG_GIA_VAT_TU_AP_DUNG'!B:B, '06_BANG_GIA_VAT_TU_AP_DUNG'!C:C, "LỖI_MÃ_VT")</f>
        <v/>
      </c>
      <c r="K1970" s="2">
        <f>I1970*J1970</f>
        <v/>
      </c>
      <c r="L1970" t="inlineStr">
        <is>
          <t>2 trục dài 260mm</t>
        </is>
      </c>
    </row>
    <row r="1971">
      <c r="A1971" t="inlineStr">
        <is>
          <t>SW-DAMPER-499-BEARING</t>
        </is>
      </c>
      <c r="B1971" t="inlineStr">
        <is>
          <t>SW-DAMPER-499</t>
        </is>
      </c>
      <c r="C1971" t="inlineStr">
        <is>
          <t>Bạc đồng D10</t>
        </is>
      </c>
      <c r="D1971" t="inlineStr">
        <is>
          <t>PHỤ_KIỆN_VAN</t>
        </is>
      </c>
      <c r="E1971" t="inlineStr">
        <is>
          <t>MAT-DAMPER-BAC-DONG-D10</t>
        </is>
      </c>
      <c r="F1971" t="inlineStr">
        <is>
          <t>Đôi</t>
        </is>
      </c>
      <c r="G1971" s="4" t="n">
        <v>2</v>
      </c>
      <c r="H1971" s="2">
        <f>XLOOKUP(B1971, '00_TONG_HOP_BAO_GIA'!B:B, '00_TONG_HOP_BAO_GIA'!G:G, 1)</f>
        <v/>
      </c>
      <c r="I1971" s="5">
        <f>G1971*H1971</f>
        <v/>
      </c>
      <c r="J1971" s="2">
        <f>XLOOKUP(E1971, '06_BANG_GIA_VAT_TU_AP_DUNG'!B:B, '06_BANG_GIA_VAT_TU_AP_DUNG'!C:C, "LỖI_MÃ_VT")</f>
        <v/>
      </c>
      <c r="K1971" s="2">
        <f>I1971*J1971</f>
        <v/>
      </c>
      <c r="L1971" t="inlineStr">
        <is>
          <t>2 đôi bạc đỡ 2 bên thân</t>
        </is>
      </c>
    </row>
    <row r="1972">
      <c r="A1972" t="inlineStr">
        <is>
          <t>SW-DAMPER-499-GEAR</t>
        </is>
      </c>
      <c r="B1972" t="inlineStr">
        <is>
          <t>SW-DAMPER-499</t>
        </is>
      </c>
      <c r="C1972" t="inlineStr">
        <is>
          <t>Bánh răng van nhôm</t>
        </is>
      </c>
      <c r="D1972" t="inlineStr">
        <is>
          <t>PHỤ_KIỆN_VAN</t>
        </is>
      </c>
      <c r="E1972" t="inlineStr">
        <is>
          <t>MAT-DAMPER-BANH-RANG-VAN-NHOM</t>
        </is>
      </c>
      <c r="F1972" t="inlineStr">
        <is>
          <t>Bộ</t>
        </is>
      </c>
      <c r="G1972" s="4" t="n">
        <v>1</v>
      </c>
      <c r="H1972" s="2">
        <f>XLOOKUP(B1972, '00_TONG_HOP_BAO_GIA'!B:B, '00_TONG_HOP_BAO_GIA'!G:G, 1)</f>
        <v/>
      </c>
      <c r="I1972" s="5">
        <f>G1972*H1972</f>
        <v/>
      </c>
      <c r="J1972" s="2">
        <f>XLOOKUP(E1972, '06_BANG_GIA_VAT_TU_AP_DUNG'!B:B, '06_BANG_GIA_VAT_TU_AP_DUNG'!C:C, "LỖI_MÃ_VT")</f>
        <v/>
      </c>
      <c r="K1972" s="2">
        <f>I1972*J1972</f>
        <v/>
      </c>
      <c r="L1972" t="inlineStr">
        <is>
          <t>Cơ cấu liên động bánh răng van</t>
        </is>
      </c>
    </row>
    <row r="1973">
      <c r="A1973" t="inlineStr">
        <is>
          <t>SW-DAMPER-499-HANDLE</t>
        </is>
      </c>
      <c r="B1973" t="inlineStr">
        <is>
          <t>SW-DAMPER-499</t>
        </is>
      </c>
      <c r="C1973" t="inlineStr">
        <is>
          <t>Tay gạt nhỏ</t>
        </is>
      </c>
      <c r="D1973" t="inlineStr">
        <is>
          <t>PHỤ_KIỆN_VAN</t>
        </is>
      </c>
      <c r="E1973" t="inlineStr">
        <is>
          <t>MAT-DAMPER-TAY-GAT-NHO</t>
        </is>
      </c>
      <c r="F1973" t="inlineStr">
        <is>
          <t>Bộ</t>
        </is>
      </c>
      <c r="G1973" s="4" t="n">
        <v>1</v>
      </c>
      <c r="H1973" s="2">
        <f>XLOOKUP(B1973, '00_TONG_HOP_BAO_GIA'!B:B, '00_TONG_HOP_BAO_GIA'!G:G, 1)</f>
        <v/>
      </c>
      <c r="I1973" s="5">
        <f>G1973*H1973</f>
        <v/>
      </c>
      <c r="J1973" s="2">
        <f>XLOOKUP(E1973, '06_BANG_GIA_VAT_TU_AP_DUNG'!B:B, '06_BANG_GIA_VAT_TU_AP_DUNG'!C:C, "LỖI_MÃ_VT")</f>
        <v/>
      </c>
      <c r="K1973" s="2">
        <f>I1973*J1973</f>
        <v/>
      </c>
      <c r="L1973" t="inlineStr">
        <is>
          <t>Tay gạt khóa vị trí nan (S=0.06m2)</t>
        </is>
      </c>
    </row>
    <row r="1974">
      <c r="A1974" t="inlineStr">
        <is>
          <t>SW-DAMPER-500-BODY</t>
        </is>
      </c>
      <c r="B1974" t="inlineStr">
        <is>
          <t>SW-DAMPER-500</t>
        </is>
      </c>
      <c r="C1974" t="inlineStr">
        <is>
          <t>Thân vỏ van VCD bích TDF (0.75mm)</t>
        </is>
      </c>
      <c r="D1974" t="inlineStr">
        <is>
          <t>TÔN_CUỘN_MẠ_KẼM</t>
        </is>
      </c>
      <c r="E1974" t="inlineStr">
        <is>
          <t>MAT-STEEL-PN-0.75</t>
        </is>
      </c>
      <c r="F1974" t="inlineStr">
        <is>
          <t>kg</t>
        </is>
      </c>
      <c r="G1974" s="4" t="n">
        <v>1.9732545</v>
      </c>
      <c r="H1974" s="2">
        <f>XLOOKUP(B1974, '00_TONG_HOP_BAO_GIA'!B:B, '00_TONG_HOP_BAO_GIA'!G:G, 1)</f>
        <v/>
      </c>
      <c r="I1974" s="5">
        <f>G1974*H1974</f>
        <v/>
      </c>
      <c r="J1974" s="2">
        <f>XLOOKUP(E1974, '06_BANG_GIA_VAT_TU_AP_DUNG'!B:B, '06_BANG_GIA_VAT_TU_AP_DUNG'!C:C, "LỖI_MÃ_VT")</f>
        <v/>
      </c>
      <c r="K1974" s="2">
        <f>I1974*J1974</f>
        <v/>
      </c>
      <c r="L1974" t="inlineStr">
        <is>
          <t>Kích thước vỏ 250.0x300x210mm</t>
        </is>
      </c>
    </row>
    <row r="1975">
      <c r="A1975" t="inlineStr">
        <is>
          <t>SW-DAMPER-500-BLADE</t>
        </is>
      </c>
      <c r="B1975" t="inlineStr">
        <is>
          <t>SW-DAMPER-500</t>
        </is>
      </c>
      <c r="C1975" t="inlineStr">
        <is>
          <t>Lá cánh van (2 cánh overlap)</t>
        </is>
      </c>
      <c r="D1975" t="inlineStr">
        <is>
          <t>TÔN_CUỘN_MẠ_KẼM</t>
        </is>
      </c>
      <c r="E1975" t="inlineStr">
        <is>
          <t>MAT-STEEL-PN-0.75</t>
        </is>
      </c>
      <c r="F1975" t="inlineStr">
        <is>
          <t>kg</t>
        </is>
      </c>
      <c r="G1975" s="4" t="n">
        <v>0.5404725</v>
      </c>
      <c r="H1975" s="2">
        <f>XLOOKUP(B1975, '00_TONG_HOP_BAO_GIA'!B:B, '00_TONG_HOP_BAO_GIA'!G:G, 1)</f>
        <v/>
      </c>
      <c r="I1975" s="5">
        <f>G1975*H1975</f>
        <v/>
      </c>
      <c r="J1975" s="2">
        <f>XLOOKUP(E1975, '06_BANG_GIA_VAT_TU_AP_DUNG'!B:B, '06_BANG_GIA_VAT_TU_AP_DUNG'!C:C, "LỖI_MÃ_VT")</f>
        <v/>
      </c>
      <c r="K1975" s="2">
        <f>I1975*J1975</f>
        <v/>
      </c>
      <c r="L1975" t="inlineStr">
        <is>
          <t>2 cánh cao 170mm</t>
        </is>
      </c>
    </row>
    <row r="1976">
      <c r="A1976" t="inlineStr">
        <is>
          <t>SW-DAMPER-500-AXLE</t>
        </is>
      </c>
      <c r="B1976" t="inlineStr">
        <is>
          <t>SW-DAMPER-500</t>
        </is>
      </c>
      <c r="C1976" t="inlineStr">
        <is>
          <t>Trục Sus 201 D10</t>
        </is>
      </c>
      <c r="D1976" t="inlineStr">
        <is>
          <t>PHỤ_KIỆN_VAN</t>
        </is>
      </c>
      <c r="E1976" t="inlineStr">
        <is>
          <t>MAT-DAMPER-TRUC-SUS-201-D10</t>
        </is>
      </c>
      <c r="F1976" t="inlineStr">
        <is>
          <t>m</t>
        </is>
      </c>
      <c r="G1976" s="4" t="n">
        <v>0.62</v>
      </c>
      <c r="H1976" s="2">
        <f>XLOOKUP(B1976, '00_TONG_HOP_BAO_GIA'!B:B, '00_TONG_HOP_BAO_GIA'!G:G, 1)</f>
        <v/>
      </c>
      <c r="I1976" s="5">
        <f>G1976*H1976</f>
        <v/>
      </c>
      <c r="J1976" s="2">
        <f>XLOOKUP(E1976, '06_BANG_GIA_VAT_TU_AP_DUNG'!B:B, '06_BANG_GIA_VAT_TU_AP_DUNG'!C:C, "LỖI_MÃ_VT")</f>
        <v/>
      </c>
      <c r="K1976" s="2">
        <f>I1976*J1976</f>
        <v/>
      </c>
      <c r="L1976" t="inlineStr">
        <is>
          <t>2 trục dài 310mm</t>
        </is>
      </c>
    </row>
    <row r="1977">
      <c r="A1977" t="inlineStr">
        <is>
          <t>SW-DAMPER-500-BEARING</t>
        </is>
      </c>
      <c r="B1977" t="inlineStr">
        <is>
          <t>SW-DAMPER-500</t>
        </is>
      </c>
      <c r="C1977" t="inlineStr">
        <is>
          <t>Bạc đồng D10</t>
        </is>
      </c>
      <c r="D1977" t="inlineStr">
        <is>
          <t>PHỤ_KIỆN_VAN</t>
        </is>
      </c>
      <c r="E1977" t="inlineStr">
        <is>
          <t>MAT-DAMPER-BAC-DONG-D10</t>
        </is>
      </c>
      <c r="F1977" t="inlineStr">
        <is>
          <t>Đôi</t>
        </is>
      </c>
      <c r="G1977" s="4" t="n">
        <v>2</v>
      </c>
      <c r="H1977" s="2">
        <f>XLOOKUP(B1977, '00_TONG_HOP_BAO_GIA'!B:B, '00_TONG_HOP_BAO_GIA'!G:G, 1)</f>
        <v/>
      </c>
      <c r="I1977" s="5">
        <f>G1977*H1977</f>
        <v/>
      </c>
      <c r="J1977" s="2">
        <f>XLOOKUP(E1977, '06_BANG_GIA_VAT_TU_AP_DUNG'!B:B, '06_BANG_GIA_VAT_TU_AP_DUNG'!C:C, "LỖI_MÃ_VT")</f>
        <v/>
      </c>
      <c r="K1977" s="2">
        <f>I1977*J1977</f>
        <v/>
      </c>
      <c r="L1977" t="inlineStr">
        <is>
          <t>2 đôi bạc đỡ 2 bên thân</t>
        </is>
      </c>
    </row>
    <row r="1978">
      <c r="A1978" t="inlineStr">
        <is>
          <t>SW-DAMPER-500-GEAR</t>
        </is>
      </c>
      <c r="B1978" t="inlineStr">
        <is>
          <t>SW-DAMPER-500</t>
        </is>
      </c>
      <c r="C1978" t="inlineStr">
        <is>
          <t>Bánh răng van nhôm</t>
        </is>
      </c>
      <c r="D1978" t="inlineStr">
        <is>
          <t>PHỤ_KIỆN_VAN</t>
        </is>
      </c>
      <c r="E1978" t="inlineStr">
        <is>
          <t>MAT-DAMPER-BANH-RANG-VAN-NHOM</t>
        </is>
      </c>
      <c r="F1978" t="inlineStr">
        <is>
          <t>Bộ</t>
        </is>
      </c>
      <c r="G1978" s="4" t="n">
        <v>1</v>
      </c>
      <c r="H1978" s="2">
        <f>XLOOKUP(B1978, '00_TONG_HOP_BAO_GIA'!B:B, '00_TONG_HOP_BAO_GIA'!G:G, 1)</f>
        <v/>
      </c>
      <c r="I1978" s="5">
        <f>G1978*H1978</f>
        <v/>
      </c>
      <c r="J1978" s="2">
        <f>XLOOKUP(E1978, '06_BANG_GIA_VAT_TU_AP_DUNG'!B:B, '06_BANG_GIA_VAT_TU_AP_DUNG'!C:C, "LỖI_MÃ_VT")</f>
        <v/>
      </c>
      <c r="K1978" s="2">
        <f>I1978*J1978</f>
        <v/>
      </c>
      <c r="L1978" t="inlineStr">
        <is>
          <t>Cơ cấu liên động bánh răng van</t>
        </is>
      </c>
    </row>
    <row r="1979">
      <c r="A1979" t="inlineStr">
        <is>
          <t>SW-DAMPER-500-HANDLE</t>
        </is>
      </c>
      <c r="B1979" t="inlineStr">
        <is>
          <t>SW-DAMPER-500</t>
        </is>
      </c>
      <c r="C1979" t="inlineStr">
        <is>
          <t>Tay gạt nhỏ</t>
        </is>
      </c>
      <c r="D1979" t="inlineStr">
        <is>
          <t>PHỤ_KIỆN_VAN</t>
        </is>
      </c>
      <c r="E1979" t="inlineStr">
        <is>
          <t>MAT-DAMPER-TAY-GAT-NHO</t>
        </is>
      </c>
      <c r="F1979" t="inlineStr">
        <is>
          <t>Bộ</t>
        </is>
      </c>
      <c r="G1979" s="4" t="n">
        <v>1</v>
      </c>
      <c r="H1979" s="2">
        <f>XLOOKUP(B1979, '00_TONG_HOP_BAO_GIA'!B:B, '00_TONG_HOP_BAO_GIA'!G:G, 1)</f>
        <v/>
      </c>
      <c r="I1979" s="5">
        <f>G1979*H1979</f>
        <v/>
      </c>
      <c r="J1979" s="2">
        <f>XLOOKUP(E1979, '06_BANG_GIA_VAT_TU_AP_DUNG'!B:B, '06_BANG_GIA_VAT_TU_AP_DUNG'!C:C, "LỖI_MÃ_VT")</f>
        <v/>
      </c>
      <c r="K1979" s="2">
        <f>I1979*J1979</f>
        <v/>
      </c>
      <c r="L1979" t="inlineStr">
        <is>
          <t>Tay gạt khóa vị trí nan (S=0.07m2)</t>
        </is>
      </c>
    </row>
    <row r="1980">
      <c r="A1980" t="inlineStr">
        <is>
          <t>SW-DAMPER-501-BODY</t>
        </is>
      </c>
      <c r="B1980" t="inlineStr">
        <is>
          <t>SW-DAMPER-501</t>
        </is>
      </c>
      <c r="C1980" t="inlineStr">
        <is>
          <t>Thân vỏ van VCD bích TDF (0.75mm)</t>
        </is>
      </c>
      <c r="D1980" t="inlineStr">
        <is>
          <t>TÔN_CUỘN_MẠ_KẼM</t>
        </is>
      </c>
      <c r="E1980" t="inlineStr">
        <is>
          <t>MAT-STEEL-PN-0.75</t>
        </is>
      </c>
      <c r="F1980" t="inlineStr">
        <is>
          <t>kg</t>
        </is>
      </c>
      <c r="G1980" s="4" t="n">
        <v>2.146347</v>
      </c>
      <c r="H1980" s="2">
        <f>XLOOKUP(B1980, '00_TONG_HOP_BAO_GIA'!B:B, '00_TONG_HOP_BAO_GIA'!G:G, 1)</f>
        <v/>
      </c>
      <c r="I1980" s="5">
        <f>G1980*H1980</f>
        <v/>
      </c>
      <c r="J1980" s="2">
        <f>XLOOKUP(E1980, '06_BANG_GIA_VAT_TU_AP_DUNG'!B:B, '06_BANG_GIA_VAT_TU_AP_DUNG'!C:C, "LỖI_MÃ_VT")</f>
        <v/>
      </c>
      <c r="K1980" s="2">
        <f>I1980*J1980</f>
        <v/>
      </c>
      <c r="L1980" t="inlineStr">
        <is>
          <t>Kích thước vỏ 300.0x300x210mm</t>
        </is>
      </c>
    </row>
    <row r="1981">
      <c r="A1981" t="inlineStr">
        <is>
          <t>SW-DAMPER-501-BLADE</t>
        </is>
      </c>
      <c r="B1981" t="inlineStr">
        <is>
          <t>SW-DAMPER-501</t>
        </is>
      </c>
      <c r="C1981" t="inlineStr">
        <is>
          <t>Lá cánh van (2 cánh overlap)</t>
        </is>
      </c>
      <c r="D1981" t="inlineStr">
        <is>
          <t>TÔN_CUỘN_MẠ_KẼM</t>
        </is>
      </c>
      <c r="E1981" t="inlineStr">
        <is>
          <t>MAT-STEEL-PN-0.75</t>
        </is>
      </c>
      <c r="F1981" t="inlineStr">
        <is>
          <t>kg</t>
        </is>
      </c>
      <c r="G1981" s="4" t="n">
        <v>0.648567</v>
      </c>
      <c r="H1981" s="2">
        <f>XLOOKUP(B1981, '00_TONG_HOP_BAO_GIA'!B:B, '00_TONG_HOP_BAO_GIA'!G:G, 1)</f>
        <v/>
      </c>
      <c r="I1981" s="5">
        <f>G1981*H1981</f>
        <v/>
      </c>
      <c r="J1981" s="2">
        <f>XLOOKUP(E1981, '06_BANG_GIA_VAT_TU_AP_DUNG'!B:B, '06_BANG_GIA_VAT_TU_AP_DUNG'!C:C, "LỖI_MÃ_VT")</f>
        <v/>
      </c>
      <c r="K1981" s="2">
        <f>I1981*J1981</f>
        <v/>
      </c>
      <c r="L1981" t="inlineStr">
        <is>
          <t>2 cánh cao 170mm</t>
        </is>
      </c>
    </row>
    <row r="1982">
      <c r="A1982" t="inlineStr">
        <is>
          <t>SW-DAMPER-501-AXLE</t>
        </is>
      </c>
      <c r="B1982" t="inlineStr">
        <is>
          <t>SW-DAMPER-501</t>
        </is>
      </c>
      <c r="C1982" t="inlineStr">
        <is>
          <t>Trục Sus 201 D10</t>
        </is>
      </c>
      <c r="D1982" t="inlineStr">
        <is>
          <t>PHỤ_KIỆN_VAN</t>
        </is>
      </c>
      <c r="E1982" t="inlineStr">
        <is>
          <t>MAT-DAMPER-TRUC-SUS-201-D10</t>
        </is>
      </c>
      <c r="F1982" t="inlineStr">
        <is>
          <t>m</t>
        </is>
      </c>
      <c r="G1982" s="4" t="n">
        <v>0.72</v>
      </c>
      <c r="H1982" s="2">
        <f>XLOOKUP(B1982, '00_TONG_HOP_BAO_GIA'!B:B, '00_TONG_HOP_BAO_GIA'!G:G, 1)</f>
        <v/>
      </c>
      <c r="I1982" s="5">
        <f>G1982*H1982</f>
        <v/>
      </c>
      <c r="J1982" s="2">
        <f>XLOOKUP(E1982, '06_BANG_GIA_VAT_TU_AP_DUNG'!B:B, '06_BANG_GIA_VAT_TU_AP_DUNG'!C:C, "LỖI_MÃ_VT")</f>
        <v/>
      </c>
      <c r="K1982" s="2">
        <f>I1982*J1982</f>
        <v/>
      </c>
      <c r="L1982" t="inlineStr">
        <is>
          <t>2 trục dài 360mm</t>
        </is>
      </c>
    </row>
    <row r="1983">
      <c r="A1983" t="inlineStr">
        <is>
          <t>SW-DAMPER-501-BEARING</t>
        </is>
      </c>
      <c r="B1983" t="inlineStr">
        <is>
          <t>SW-DAMPER-501</t>
        </is>
      </c>
      <c r="C1983" t="inlineStr">
        <is>
          <t>Bạc đồng D10</t>
        </is>
      </c>
      <c r="D1983" t="inlineStr">
        <is>
          <t>PHỤ_KIỆN_VAN</t>
        </is>
      </c>
      <c r="E1983" t="inlineStr">
        <is>
          <t>MAT-DAMPER-BAC-DONG-D10</t>
        </is>
      </c>
      <c r="F1983" t="inlineStr">
        <is>
          <t>Đôi</t>
        </is>
      </c>
      <c r="G1983" s="4" t="n">
        <v>2</v>
      </c>
      <c r="H1983" s="2">
        <f>XLOOKUP(B1983, '00_TONG_HOP_BAO_GIA'!B:B, '00_TONG_HOP_BAO_GIA'!G:G, 1)</f>
        <v/>
      </c>
      <c r="I1983" s="5">
        <f>G1983*H1983</f>
        <v/>
      </c>
      <c r="J1983" s="2">
        <f>XLOOKUP(E1983, '06_BANG_GIA_VAT_TU_AP_DUNG'!B:B, '06_BANG_GIA_VAT_TU_AP_DUNG'!C:C, "LỖI_MÃ_VT")</f>
        <v/>
      </c>
      <c r="K1983" s="2">
        <f>I1983*J1983</f>
        <v/>
      </c>
      <c r="L1983" t="inlineStr">
        <is>
          <t>2 đôi bạc đỡ 2 bên thân</t>
        </is>
      </c>
    </row>
    <row r="1984">
      <c r="A1984" t="inlineStr">
        <is>
          <t>SW-DAMPER-501-GEAR</t>
        </is>
      </c>
      <c r="B1984" t="inlineStr">
        <is>
          <t>SW-DAMPER-501</t>
        </is>
      </c>
      <c r="C1984" t="inlineStr">
        <is>
          <t>Bánh răng van nhôm</t>
        </is>
      </c>
      <c r="D1984" t="inlineStr">
        <is>
          <t>PHỤ_KIỆN_VAN</t>
        </is>
      </c>
      <c r="E1984" t="inlineStr">
        <is>
          <t>MAT-DAMPER-BANH-RANG-VAN-NHOM</t>
        </is>
      </c>
      <c r="F1984" t="inlineStr">
        <is>
          <t>Bộ</t>
        </is>
      </c>
      <c r="G1984" s="4" t="n">
        <v>1</v>
      </c>
      <c r="H1984" s="2">
        <f>XLOOKUP(B1984, '00_TONG_HOP_BAO_GIA'!B:B, '00_TONG_HOP_BAO_GIA'!G:G, 1)</f>
        <v/>
      </c>
      <c r="I1984" s="5">
        <f>G1984*H1984</f>
        <v/>
      </c>
      <c r="J1984" s="2">
        <f>XLOOKUP(E1984, '06_BANG_GIA_VAT_TU_AP_DUNG'!B:B, '06_BANG_GIA_VAT_TU_AP_DUNG'!C:C, "LỖI_MÃ_VT")</f>
        <v/>
      </c>
      <c r="K1984" s="2">
        <f>I1984*J1984</f>
        <v/>
      </c>
      <c r="L1984" t="inlineStr">
        <is>
          <t>Cơ cấu liên động bánh răng van</t>
        </is>
      </c>
    </row>
    <row r="1985">
      <c r="A1985" t="inlineStr">
        <is>
          <t>SW-DAMPER-501-HANDLE</t>
        </is>
      </c>
      <c r="B1985" t="inlineStr">
        <is>
          <t>SW-DAMPER-501</t>
        </is>
      </c>
      <c r="C1985" t="inlineStr">
        <is>
          <t>Tay gạt nhỏ</t>
        </is>
      </c>
      <c r="D1985" t="inlineStr">
        <is>
          <t>PHỤ_KIỆN_VAN</t>
        </is>
      </c>
      <c r="E1985" t="inlineStr">
        <is>
          <t>MAT-DAMPER-TAY-GAT-NHO</t>
        </is>
      </c>
      <c r="F1985" t="inlineStr">
        <is>
          <t>Bộ</t>
        </is>
      </c>
      <c r="G1985" s="4" t="n">
        <v>1</v>
      </c>
      <c r="H1985" s="2">
        <f>XLOOKUP(B1985, '00_TONG_HOP_BAO_GIA'!B:B, '00_TONG_HOP_BAO_GIA'!G:G, 1)</f>
        <v/>
      </c>
      <c r="I1985" s="5">
        <f>G1985*H1985</f>
        <v/>
      </c>
      <c r="J1985" s="2">
        <f>XLOOKUP(E1985, '06_BANG_GIA_VAT_TU_AP_DUNG'!B:B, '06_BANG_GIA_VAT_TU_AP_DUNG'!C:C, "LỖI_MÃ_VT")</f>
        <v/>
      </c>
      <c r="K1985" s="2">
        <f>I1985*J1985</f>
        <v/>
      </c>
      <c r="L1985" t="inlineStr">
        <is>
          <t>Tay gạt khóa vị trí nan (S=0.09m2)</t>
        </is>
      </c>
    </row>
    <row r="1986">
      <c r="A1986" t="inlineStr">
        <is>
          <t>SW-DAMPER-502-BODY</t>
        </is>
      </c>
      <c r="B1986" t="inlineStr">
        <is>
          <t>SW-DAMPER-502</t>
        </is>
      </c>
      <c r="C1986" t="inlineStr">
        <is>
          <t>Thân vỏ van VCD bích TDF (0.75mm)</t>
        </is>
      </c>
      <c r="D1986" t="inlineStr">
        <is>
          <t>TÔN_CUỘN_MẠ_KẼM</t>
        </is>
      </c>
      <c r="E1986" t="inlineStr">
        <is>
          <t>MAT-STEEL-PN-0.75</t>
        </is>
      </c>
      <c r="F1986" t="inlineStr">
        <is>
          <t>kg</t>
        </is>
      </c>
      <c r="G1986" s="4" t="n">
        <v>2.492532</v>
      </c>
      <c r="H1986" s="2">
        <f>XLOOKUP(B1986, '00_TONG_HOP_BAO_GIA'!B:B, '00_TONG_HOP_BAO_GIA'!G:G, 1)</f>
        <v/>
      </c>
      <c r="I1986" s="5">
        <f>G1986*H1986</f>
        <v/>
      </c>
      <c r="J1986" s="2">
        <f>XLOOKUP(E1986, '06_BANG_GIA_VAT_TU_AP_DUNG'!B:B, '06_BANG_GIA_VAT_TU_AP_DUNG'!C:C, "LỖI_MÃ_VT")</f>
        <v/>
      </c>
      <c r="K1986" s="2">
        <f>I1986*J1986</f>
        <v/>
      </c>
      <c r="L1986" t="inlineStr">
        <is>
          <t>Kích thước vỏ 400.0x300x210mm</t>
        </is>
      </c>
    </row>
    <row r="1987">
      <c r="A1987" t="inlineStr">
        <is>
          <t>SW-DAMPER-502-BLADE</t>
        </is>
      </c>
      <c r="B1987" t="inlineStr">
        <is>
          <t>SW-DAMPER-502</t>
        </is>
      </c>
      <c r="C1987" t="inlineStr">
        <is>
          <t>Lá cánh van (2 cánh overlap)</t>
        </is>
      </c>
      <c r="D1987" t="inlineStr">
        <is>
          <t>TÔN_CUỘN_MẠ_KẼM</t>
        </is>
      </c>
      <c r="E1987" t="inlineStr">
        <is>
          <t>MAT-STEEL-PN-0.75</t>
        </is>
      </c>
      <c r="F1987" t="inlineStr">
        <is>
          <t>kg</t>
        </is>
      </c>
      <c r="G1987" s="4" t="n">
        <v>0.864756</v>
      </c>
      <c r="H1987" s="2">
        <f>XLOOKUP(B1987, '00_TONG_HOP_BAO_GIA'!B:B, '00_TONG_HOP_BAO_GIA'!G:G, 1)</f>
        <v/>
      </c>
      <c r="I1987" s="5">
        <f>G1987*H1987</f>
        <v/>
      </c>
      <c r="J1987" s="2">
        <f>XLOOKUP(E1987, '06_BANG_GIA_VAT_TU_AP_DUNG'!B:B, '06_BANG_GIA_VAT_TU_AP_DUNG'!C:C, "LỖI_MÃ_VT")</f>
        <v/>
      </c>
      <c r="K1987" s="2">
        <f>I1987*J1987</f>
        <v/>
      </c>
      <c r="L1987" t="inlineStr">
        <is>
          <t>2 cánh cao 170mm</t>
        </is>
      </c>
    </row>
    <row r="1988">
      <c r="A1988" t="inlineStr">
        <is>
          <t>SW-DAMPER-502-AXLE</t>
        </is>
      </c>
      <c r="B1988" t="inlineStr">
        <is>
          <t>SW-DAMPER-502</t>
        </is>
      </c>
      <c r="C1988" t="inlineStr">
        <is>
          <t>Trục Sus 201 D10</t>
        </is>
      </c>
      <c r="D1988" t="inlineStr">
        <is>
          <t>PHỤ_KIỆN_VAN</t>
        </is>
      </c>
      <c r="E1988" t="inlineStr">
        <is>
          <t>MAT-DAMPER-TRUC-SUS-201-D10</t>
        </is>
      </c>
      <c r="F1988" t="inlineStr">
        <is>
          <t>m</t>
        </is>
      </c>
      <c r="G1988" s="4" t="n">
        <v>0.92</v>
      </c>
      <c r="H1988" s="2">
        <f>XLOOKUP(B1988, '00_TONG_HOP_BAO_GIA'!B:B, '00_TONG_HOP_BAO_GIA'!G:G, 1)</f>
        <v/>
      </c>
      <c r="I1988" s="5">
        <f>G1988*H1988</f>
        <v/>
      </c>
      <c r="J1988" s="2">
        <f>XLOOKUP(E1988, '06_BANG_GIA_VAT_TU_AP_DUNG'!B:B, '06_BANG_GIA_VAT_TU_AP_DUNG'!C:C, "LỖI_MÃ_VT")</f>
        <v/>
      </c>
      <c r="K1988" s="2">
        <f>I1988*J1988</f>
        <v/>
      </c>
      <c r="L1988" t="inlineStr">
        <is>
          <t>2 trục dài 460mm</t>
        </is>
      </c>
    </row>
    <row r="1989">
      <c r="A1989" t="inlineStr">
        <is>
          <t>SW-DAMPER-502-BEARING</t>
        </is>
      </c>
      <c r="B1989" t="inlineStr">
        <is>
          <t>SW-DAMPER-502</t>
        </is>
      </c>
      <c r="C1989" t="inlineStr">
        <is>
          <t>Bạc đồng D10</t>
        </is>
      </c>
      <c r="D1989" t="inlineStr">
        <is>
          <t>PHỤ_KIỆN_VAN</t>
        </is>
      </c>
      <c r="E1989" t="inlineStr">
        <is>
          <t>MAT-DAMPER-BAC-DONG-D10</t>
        </is>
      </c>
      <c r="F1989" t="inlineStr">
        <is>
          <t>Đôi</t>
        </is>
      </c>
      <c r="G1989" s="4" t="n">
        <v>2</v>
      </c>
      <c r="H1989" s="2">
        <f>XLOOKUP(B1989, '00_TONG_HOP_BAO_GIA'!B:B, '00_TONG_HOP_BAO_GIA'!G:G, 1)</f>
        <v/>
      </c>
      <c r="I1989" s="5">
        <f>G1989*H1989</f>
        <v/>
      </c>
      <c r="J1989" s="2">
        <f>XLOOKUP(E1989, '06_BANG_GIA_VAT_TU_AP_DUNG'!B:B, '06_BANG_GIA_VAT_TU_AP_DUNG'!C:C, "LỖI_MÃ_VT")</f>
        <v/>
      </c>
      <c r="K1989" s="2">
        <f>I1989*J1989</f>
        <v/>
      </c>
      <c r="L1989" t="inlineStr">
        <is>
          <t>2 đôi bạc đỡ 2 bên thân</t>
        </is>
      </c>
    </row>
    <row r="1990">
      <c r="A1990" t="inlineStr">
        <is>
          <t>SW-DAMPER-502-GEAR</t>
        </is>
      </c>
      <c r="B1990" t="inlineStr">
        <is>
          <t>SW-DAMPER-502</t>
        </is>
      </c>
      <c r="C1990" t="inlineStr">
        <is>
          <t>Bánh răng van nhôm</t>
        </is>
      </c>
      <c r="D1990" t="inlineStr">
        <is>
          <t>PHỤ_KIỆN_VAN</t>
        </is>
      </c>
      <c r="E1990" t="inlineStr">
        <is>
          <t>MAT-DAMPER-BANH-RANG-VAN-NHOM</t>
        </is>
      </c>
      <c r="F1990" t="inlineStr">
        <is>
          <t>Bộ</t>
        </is>
      </c>
      <c r="G1990" s="4" t="n">
        <v>1</v>
      </c>
      <c r="H1990" s="2">
        <f>XLOOKUP(B1990, '00_TONG_HOP_BAO_GIA'!B:B, '00_TONG_HOP_BAO_GIA'!G:G, 1)</f>
        <v/>
      </c>
      <c r="I1990" s="5">
        <f>G1990*H1990</f>
        <v/>
      </c>
      <c r="J1990" s="2">
        <f>XLOOKUP(E1990, '06_BANG_GIA_VAT_TU_AP_DUNG'!B:B, '06_BANG_GIA_VAT_TU_AP_DUNG'!C:C, "LỖI_MÃ_VT")</f>
        <v/>
      </c>
      <c r="K1990" s="2">
        <f>I1990*J1990</f>
        <v/>
      </c>
      <c r="L1990" t="inlineStr">
        <is>
          <t>Cơ cấu liên động bánh răng van</t>
        </is>
      </c>
    </row>
    <row r="1991">
      <c r="A1991" t="inlineStr">
        <is>
          <t>SW-DAMPER-502-HANDLE</t>
        </is>
      </c>
      <c r="B1991" t="inlineStr">
        <is>
          <t>SW-DAMPER-502</t>
        </is>
      </c>
      <c r="C1991" t="inlineStr">
        <is>
          <t>Tay gạt nhỏ</t>
        </is>
      </c>
      <c r="D1991" t="inlineStr">
        <is>
          <t>PHỤ_KIỆN_VAN</t>
        </is>
      </c>
      <c r="E1991" t="inlineStr">
        <is>
          <t>MAT-DAMPER-TAY-GAT-NHO</t>
        </is>
      </c>
      <c r="F1991" t="inlineStr">
        <is>
          <t>Bộ</t>
        </is>
      </c>
      <c r="G1991" s="4" t="n">
        <v>1</v>
      </c>
      <c r="H1991" s="2">
        <f>XLOOKUP(B1991, '00_TONG_HOP_BAO_GIA'!B:B, '00_TONG_HOP_BAO_GIA'!G:G, 1)</f>
        <v/>
      </c>
      <c r="I1991" s="5">
        <f>G1991*H1991</f>
        <v/>
      </c>
      <c r="J1991" s="2">
        <f>XLOOKUP(E1991, '06_BANG_GIA_VAT_TU_AP_DUNG'!B:B, '06_BANG_GIA_VAT_TU_AP_DUNG'!C:C, "LỖI_MÃ_VT")</f>
        <v/>
      </c>
      <c r="K1991" s="2">
        <f>I1991*J1991</f>
        <v/>
      </c>
      <c r="L1991" t="inlineStr">
        <is>
          <t>Tay gạt khóa vị trí nan (S=0.12m2)</t>
        </is>
      </c>
    </row>
    <row r="1992">
      <c r="A1992" t="inlineStr">
        <is>
          <t>SW-DAMPER-503-BODY</t>
        </is>
      </c>
      <c r="B1992" t="inlineStr">
        <is>
          <t>SW-DAMPER-503</t>
        </is>
      </c>
      <c r="C1992" t="inlineStr">
        <is>
          <t>Thân vỏ van VCD bích TDF (0.75mm)</t>
        </is>
      </c>
      <c r="D1992" t="inlineStr">
        <is>
          <t>TÔN_CUỘN_MẠ_KẼM</t>
        </is>
      </c>
      <c r="E1992" t="inlineStr">
        <is>
          <t>MAT-STEEL-PN-0.75</t>
        </is>
      </c>
      <c r="F1992" t="inlineStr">
        <is>
          <t>kg</t>
        </is>
      </c>
      <c r="G1992" s="4" t="n">
        <v>1.800162</v>
      </c>
      <c r="H1992" s="2">
        <f>XLOOKUP(B1992, '00_TONG_HOP_BAO_GIA'!B:B, '00_TONG_HOP_BAO_GIA'!G:G, 1)</f>
        <v/>
      </c>
      <c r="I1992" s="5">
        <f>G1992*H1992</f>
        <v/>
      </c>
      <c r="J1992" s="2">
        <f>XLOOKUP(E1992, '06_BANG_GIA_VAT_TU_AP_DUNG'!B:B, '06_BANG_GIA_VAT_TU_AP_DUNG'!C:C, "LỖI_MÃ_VT")</f>
        <v/>
      </c>
      <c r="K1992" s="2">
        <f>I1992*J1992</f>
        <v/>
      </c>
      <c r="L1992" t="inlineStr">
        <is>
          <t>Kích thước vỏ 300.0x200.0x210mm</t>
        </is>
      </c>
    </row>
    <row r="1993">
      <c r="A1993" t="inlineStr">
        <is>
          <t>SW-DAMPER-503-BLADE</t>
        </is>
      </c>
      <c r="B1993" t="inlineStr">
        <is>
          <t>SW-DAMPER-503</t>
        </is>
      </c>
      <c r="C1993" t="inlineStr">
        <is>
          <t>Lá cánh van (2 cánh overlap)</t>
        </is>
      </c>
      <c r="D1993" t="inlineStr">
        <is>
          <t>TÔN_CUỘN_MẠ_KẼM</t>
        </is>
      </c>
      <c r="E1993" t="inlineStr">
        <is>
          <t>MAT-STEEL-PN-0.75</t>
        </is>
      </c>
      <c r="F1993" t="inlineStr">
        <is>
          <t>kg</t>
        </is>
      </c>
      <c r="G1993" s="4" t="n">
        <v>0.4578119999999999</v>
      </c>
      <c r="H1993" s="2">
        <f>XLOOKUP(B1993, '00_TONG_HOP_BAO_GIA'!B:B, '00_TONG_HOP_BAO_GIA'!G:G, 1)</f>
        <v/>
      </c>
      <c r="I1993" s="5">
        <f>G1993*H1993</f>
        <v/>
      </c>
      <c r="J1993" s="2">
        <f>XLOOKUP(E1993, '06_BANG_GIA_VAT_TU_AP_DUNG'!B:B, '06_BANG_GIA_VAT_TU_AP_DUNG'!C:C, "LỖI_MÃ_VT")</f>
        <v/>
      </c>
      <c r="K1993" s="2">
        <f>I1993*J1993</f>
        <v/>
      </c>
      <c r="L1993" t="inlineStr">
        <is>
          <t>2 cánh cao 120mm</t>
        </is>
      </c>
    </row>
    <row r="1994">
      <c r="A1994" t="inlineStr">
        <is>
          <t>SW-DAMPER-503-AXLE</t>
        </is>
      </c>
      <c r="B1994" t="inlineStr">
        <is>
          <t>SW-DAMPER-503</t>
        </is>
      </c>
      <c r="C1994" t="inlineStr">
        <is>
          <t>Trục Sus 201 D10</t>
        </is>
      </c>
      <c r="D1994" t="inlineStr">
        <is>
          <t>PHỤ_KIỆN_VAN</t>
        </is>
      </c>
      <c r="E1994" t="inlineStr">
        <is>
          <t>MAT-DAMPER-TRUC-SUS-201-D10</t>
        </is>
      </c>
      <c r="F1994" t="inlineStr">
        <is>
          <t>m</t>
        </is>
      </c>
      <c r="G1994" s="4" t="n">
        <v>0.72</v>
      </c>
      <c r="H1994" s="2">
        <f>XLOOKUP(B1994, '00_TONG_HOP_BAO_GIA'!B:B, '00_TONG_HOP_BAO_GIA'!G:G, 1)</f>
        <v/>
      </c>
      <c r="I1994" s="5">
        <f>G1994*H1994</f>
        <v/>
      </c>
      <c r="J1994" s="2">
        <f>XLOOKUP(E1994, '06_BANG_GIA_VAT_TU_AP_DUNG'!B:B, '06_BANG_GIA_VAT_TU_AP_DUNG'!C:C, "LỖI_MÃ_VT")</f>
        <v/>
      </c>
      <c r="K1994" s="2">
        <f>I1994*J1994</f>
        <v/>
      </c>
      <c r="L1994" t="inlineStr">
        <is>
          <t>2 trục dài 360mm</t>
        </is>
      </c>
    </row>
    <row r="1995">
      <c r="A1995" t="inlineStr">
        <is>
          <t>SW-DAMPER-503-BEARING</t>
        </is>
      </c>
      <c r="B1995" t="inlineStr">
        <is>
          <t>SW-DAMPER-503</t>
        </is>
      </c>
      <c r="C1995" t="inlineStr">
        <is>
          <t>Bạc đồng D10</t>
        </is>
      </c>
      <c r="D1995" t="inlineStr">
        <is>
          <t>PHỤ_KIỆN_VAN</t>
        </is>
      </c>
      <c r="E1995" t="inlineStr">
        <is>
          <t>MAT-DAMPER-BAC-DONG-D10</t>
        </is>
      </c>
      <c r="F1995" t="inlineStr">
        <is>
          <t>Đôi</t>
        </is>
      </c>
      <c r="G1995" s="4" t="n">
        <v>2</v>
      </c>
      <c r="H1995" s="2">
        <f>XLOOKUP(B1995, '00_TONG_HOP_BAO_GIA'!B:B, '00_TONG_HOP_BAO_GIA'!G:G, 1)</f>
        <v/>
      </c>
      <c r="I1995" s="5">
        <f>G1995*H1995</f>
        <v/>
      </c>
      <c r="J1995" s="2">
        <f>XLOOKUP(E1995, '06_BANG_GIA_VAT_TU_AP_DUNG'!B:B, '06_BANG_GIA_VAT_TU_AP_DUNG'!C:C, "LỖI_MÃ_VT")</f>
        <v/>
      </c>
      <c r="K1995" s="2">
        <f>I1995*J1995</f>
        <v/>
      </c>
      <c r="L1995" t="inlineStr">
        <is>
          <t>2 đôi bạc đỡ 2 bên thân</t>
        </is>
      </c>
    </row>
    <row r="1996">
      <c r="A1996" t="inlineStr">
        <is>
          <t>SW-DAMPER-503-GEAR</t>
        </is>
      </c>
      <c r="B1996" t="inlineStr">
        <is>
          <t>SW-DAMPER-503</t>
        </is>
      </c>
      <c r="C1996" t="inlineStr">
        <is>
          <t>Bánh răng van nhôm</t>
        </is>
      </c>
      <c r="D1996" t="inlineStr">
        <is>
          <t>PHỤ_KIỆN_VAN</t>
        </is>
      </c>
      <c r="E1996" t="inlineStr">
        <is>
          <t>MAT-DAMPER-BANH-RANG-VAN-NHOM</t>
        </is>
      </c>
      <c r="F1996" t="inlineStr">
        <is>
          <t>Bộ</t>
        </is>
      </c>
      <c r="G1996" s="4" t="n">
        <v>1</v>
      </c>
      <c r="H1996" s="2">
        <f>XLOOKUP(B1996, '00_TONG_HOP_BAO_GIA'!B:B, '00_TONG_HOP_BAO_GIA'!G:G, 1)</f>
        <v/>
      </c>
      <c r="I1996" s="5">
        <f>G1996*H1996</f>
        <v/>
      </c>
      <c r="J1996" s="2">
        <f>XLOOKUP(E1996, '06_BANG_GIA_VAT_TU_AP_DUNG'!B:B, '06_BANG_GIA_VAT_TU_AP_DUNG'!C:C, "LỖI_MÃ_VT")</f>
        <v/>
      </c>
      <c r="K1996" s="2">
        <f>I1996*J1996</f>
        <v/>
      </c>
      <c r="L1996" t="inlineStr">
        <is>
          <t>Cơ cấu liên động bánh răng van</t>
        </is>
      </c>
    </row>
    <row r="1997">
      <c r="A1997" t="inlineStr">
        <is>
          <t>SW-DAMPER-503-HANDLE</t>
        </is>
      </c>
      <c r="B1997" t="inlineStr">
        <is>
          <t>SW-DAMPER-503</t>
        </is>
      </c>
      <c r="C1997" t="inlineStr">
        <is>
          <t>Tay gạt nhỏ</t>
        </is>
      </c>
      <c r="D1997" t="inlineStr">
        <is>
          <t>PHỤ_KIỆN_VAN</t>
        </is>
      </c>
      <c r="E1997" t="inlineStr">
        <is>
          <t>MAT-DAMPER-TAY-GAT-NHO</t>
        </is>
      </c>
      <c r="F1997" t="inlineStr">
        <is>
          <t>Bộ</t>
        </is>
      </c>
      <c r="G1997" s="4" t="n">
        <v>1</v>
      </c>
      <c r="H1997" s="2">
        <f>XLOOKUP(B1997, '00_TONG_HOP_BAO_GIA'!B:B, '00_TONG_HOP_BAO_GIA'!G:G, 1)</f>
        <v/>
      </c>
      <c r="I1997" s="5">
        <f>G1997*H1997</f>
        <v/>
      </c>
      <c r="J1997" s="2">
        <f>XLOOKUP(E1997, '06_BANG_GIA_VAT_TU_AP_DUNG'!B:B, '06_BANG_GIA_VAT_TU_AP_DUNG'!C:C, "LỖI_MÃ_VT")</f>
        <v/>
      </c>
      <c r="K1997" s="2">
        <f>I1997*J1997</f>
        <v/>
      </c>
      <c r="L1997" t="inlineStr">
        <is>
          <t>Tay gạt khóa vị trí nan (S=0.06m2)</t>
        </is>
      </c>
    </row>
    <row r="1998">
      <c r="A1998" t="inlineStr">
        <is>
          <t>SW-DAMPER-504-BODY</t>
        </is>
      </c>
      <c r="B1998" t="inlineStr">
        <is>
          <t>SW-DAMPER-504</t>
        </is>
      </c>
      <c r="C1998" t="inlineStr">
        <is>
          <t>Thân vỏ van VCD bích TDF (0.75mm)</t>
        </is>
      </c>
      <c r="D1998" t="inlineStr">
        <is>
          <t>TÔN_CUỘN_MẠ_KẼM</t>
        </is>
      </c>
      <c r="E1998" t="inlineStr">
        <is>
          <t>MAT-STEEL-PN-0.75</t>
        </is>
      </c>
      <c r="F1998" t="inlineStr">
        <is>
          <t>kg</t>
        </is>
      </c>
      <c r="G1998" s="4" t="n">
        <v>2.146347</v>
      </c>
      <c r="H1998" s="2">
        <f>XLOOKUP(B1998, '00_TONG_HOP_BAO_GIA'!B:B, '00_TONG_HOP_BAO_GIA'!G:G, 1)</f>
        <v/>
      </c>
      <c r="I1998" s="5">
        <f>G1998*H1998</f>
        <v/>
      </c>
      <c r="J1998" s="2">
        <f>XLOOKUP(E1998, '06_BANG_GIA_VAT_TU_AP_DUNG'!B:B, '06_BANG_GIA_VAT_TU_AP_DUNG'!C:C, "LỖI_MÃ_VT")</f>
        <v/>
      </c>
      <c r="K1998" s="2">
        <f>I1998*J1998</f>
        <v/>
      </c>
      <c r="L1998" t="inlineStr">
        <is>
          <t>Kích thước vỏ 300.0x300.0x210mm</t>
        </is>
      </c>
    </row>
    <row r="1999">
      <c r="A1999" t="inlineStr">
        <is>
          <t>SW-DAMPER-504-BLADE</t>
        </is>
      </c>
      <c r="B1999" t="inlineStr">
        <is>
          <t>SW-DAMPER-504</t>
        </is>
      </c>
      <c r="C1999" t="inlineStr">
        <is>
          <t>Lá cánh van (2 cánh overlap)</t>
        </is>
      </c>
      <c r="D1999" t="inlineStr">
        <is>
          <t>TÔN_CUỘN_MẠ_KẼM</t>
        </is>
      </c>
      <c r="E1999" t="inlineStr">
        <is>
          <t>MAT-STEEL-PN-0.75</t>
        </is>
      </c>
      <c r="F1999" t="inlineStr">
        <is>
          <t>kg</t>
        </is>
      </c>
      <c r="G1999" s="4" t="n">
        <v>0.648567</v>
      </c>
      <c r="H1999" s="2">
        <f>XLOOKUP(B1999, '00_TONG_HOP_BAO_GIA'!B:B, '00_TONG_HOP_BAO_GIA'!G:G, 1)</f>
        <v/>
      </c>
      <c r="I1999" s="5">
        <f>G1999*H1999</f>
        <v/>
      </c>
      <c r="J1999" s="2">
        <f>XLOOKUP(E1999, '06_BANG_GIA_VAT_TU_AP_DUNG'!B:B, '06_BANG_GIA_VAT_TU_AP_DUNG'!C:C, "LỖI_MÃ_VT")</f>
        <v/>
      </c>
      <c r="K1999" s="2">
        <f>I1999*J1999</f>
        <v/>
      </c>
      <c r="L1999" t="inlineStr">
        <is>
          <t>2 cánh cao 170mm</t>
        </is>
      </c>
    </row>
    <row r="2000">
      <c r="A2000" t="inlineStr">
        <is>
          <t>SW-DAMPER-504-AXLE</t>
        </is>
      </c>
      <c r="B2000" t="inlineStr">
        <is>
          <t>SW-DAMPER-504</t>
        </is>
      </c>
      <c r="C2000" t="inlineStr">
        <is>
          <t>Trục Sus 201 D10</t>
        </is>
      </c>
      <c r="D2000" t="inlineStr">
        <is>
          <t>PHỤ_KIỆN_VAN</t>
        </is>
      </c>
      <c r="E2000" t="inlineStr">
        <is>
          <t>MAT-DAMPER-TRUC-SUS-201-D10</t>
        </is>
      </c>
      <c r="F2000" t="inlineStr">
        <is>
          <t>m</t>
        </is>
      </c>
      <c r="G2000" s="4" t="n">
        <v>0.72</v>
      </c>
      <c r="H2000" s="2">
        <f>XLOOKUP(B2000, '00_TONG_HOP_BAO_GIA'!B:B, '00_TONG_HOP_BAO_GIA'!G:G, 1)</f>
        <v/>
      </c>
      <c r="I2000" s="5">
        <f>G2000*H2000</f>
        <v/>
      </c>
      <c r="J2000" s="2">
        <f>XLOOKUP(E2000, '06_BANG_GIA_VAT_TU_AP_DUNG'!B:B, '06_BANG_GIA_VAT_TU_AP_DUNG'!C:C, "LỖI_MÃ_VT")</f>
        <v/>
      </c>
      <c r="K2000" s="2">
        <f>I2000*J2000</f>
        <v/>
      </c>
      <c r="L2000" t="inlineStr">
        <is>
          <t>2 trục dài 360mm</t>
        </is>
      </c>
    </row>
    <row r="2001">
      <c r="A2001" t="inlineStr">
        <is>
          <t>SW-DAMPER-504-BEARING</t>
        </is>
      </c>
      <c r="B2001" t="inlineStr">
        <is>
          <t>SW-DAMPER-504</t>
        </is>
      </c>
      <c r="C2001" t="inlineStr">
        <is>
          <t>Bạc đồng D10</t>
        </is>
      </c>
      <c r="D2001" t="inlineStr">
        <is>
          <t>PHỤ_KIỆN_VAN</t>
        </is>
      </c>
      <c r="E2001" t="inlineStr">
        <is>
          <t>MAT-DAMPER-BAC-DONG-D10</t>
        </is>
      </c>
      <c r="F2001" t="inlineStr">
        <is>
          <t>Đôi</t>
        </is>
      </c>
      <c r="G2001" s="4" t="n">
        <v>2</v>
      </c>
      <c r="H2001" s="2">
        <f>XLOOKUP(B2001, '00_TONG_HOP_BAO_GIA'!B:B, '00_TONG_HOP_BAO_GIA'!G:G, 1)</f>
        <v/>
      </c>
      <c r="I2001" s="5">
        <f>G2001*H2001</f>
        <v/>
      </c>
      <c r="J2001" s="2">
        <f>XLOOKUP(E2001, '06_BANG_GIA_VAT_TU_AP_DUNG'!B:B, '06_BANG_GIA_VAT_TU_AP_DUNG'!C:C, "LỖI_MÃ_VT")</f>
        <v/>
      </c>
      <c r="K2001" s="2">
        <f>I2001*J2001</f>
        <v/>
      </c>
      <c r="L2001" t="inlineStr">
        <is>
          <t>2 đôi bạc đỡ 2 bên thân</t>
        </is>
      </c>
    </row>
    <row r="2002">
      <c r="A2002" t="inlineStr">
        <is>
          <t>SW-DAMPER-504-GEAR</t>
        </is>
      </c>
      <c r="B2002" t="inlineStr">
        <is>
          <t>SW-DAMPER-504</t>
        </is>
      </c>
      <c r="C2002" t="inlineStr">
        <is>
          <t>Bánh răng van nhôm</t>
        </is>
      </c>
      <c r="D2002" t="inlineStr">
        <is>
          <t>PHỤ_KIỆN_VAN</t>
        </is>
      </c>
      <c r="E2002" t="inlineStr">
        <is>
          <t>MAT-DAMPER-BANH-RANG-VAN-NHOM</t>
        </is>
      </c>
      <c r="F2002" t="inlineStr">
        <is>
          <t>Bộ</t>
        </is>
      </c>
      <c r="G2002" s="4" t="n">
        <v>1</v>
      </c>
      <c r="H2002" s="2">
        <f>XLOOKUP(B2002, '00_TONG_HOP_BAO_GIA'!B:B, '00_TONG_HOP_BAO_GIA'!G:G, 1)</f>
        <v/>
      </c>
      <c r="I2002" s="5">
        <f>G2002*H2002</f>
        <v/>
      </c>
      <c r="J2002" s="2">
        <f>XLOOKUP(E2002, '06_BANG_GIA_VAT_TU_AP_DUNG'!B:B, '06_BANG_GIA_VAT_TU_AP_DUNG'!C:C, "LỖI_MÃ_VT")</f>
        <v/>
      </c>
      <c r="K2002" s="2">
        <f>I2002*J2002</f>
        <v/>
      </c>
      <c r="L2002" t="inlineStr">
        <is>
          <t>Cơ cấu liên động bánh răng van</t>
        </is>
      </c>
    </row>
    <row r="2003">
      <c r="A2003" t="inlineStr">
        <is>
          <t>SW-DAMPER-504-HANDLE</t>
        </is>
      </c>
      <c r="B2003" t="inlineStr">
        <is>
          <t>SW-DAMPER-504</t>
        </is>
      </c>
      <c r="C2003" t="inlineStr">
        <is>
          <t>Tay gạt nhỏ</t>
        </is>
      </c>
      <c r="D2003" t="inlineStr">
        <is>
          <t>PHỤ_KIỆN_VAN</t>
        </is>
      </c>
      <c r="E2003" t="inlineStr">
        <is>
          <t>MAT-DAMPER-TAY-GAT-NHO</t>
        </is>
      </c>
      <c r="F2003" t="inlineStr">
        <is>
          <t>Bộ</t>
        </is>
      </c>
      <c r="G2003" s="4" t="n">
        <v>1</v>
      </c>
      <c r="H2003" s="2">
        <f>XLOOKUP(B2003, '00_TONG_HOP_BAO_GIA'!B:B, '00_TONG_HOP_BAO_GIA'!G:G, 1)</f>
        <v/>
      </c>
      <c r="I2003" s="5">
        <f>G2003*H2003</f>
        <v/>
      </c>
      <c r="J2003" s="2">
        <f>XLOOKUP(E2003, '06_BANG_GIA_VAT_TU_AP_DUNG'!B:B, '06_BANG_GIA_VAT_TU_AP_DUNG'!C:C, "LỖI_MÃ_VT")</f>
        <v/>
      </c>
      <c r="K2003" s="2">
        <f>I2003*J2003</f>
        <v/>
      </c>
      <c r="L2003" t="inlineStr">
        <is>
          <t>Tay gạt khóa vị trí nan (S=0.09m2)</t>
        </is>
      </c>
    </row>
    <row r="2004">
      <c r="A2004" t="inlineStr">
        <is>
          <t>SW-DAMPER-505-BODY</t>
        </is>
      </c>
      <c r="B2004" t="inlineStr">
        <is>
          <t>SW-DAMPER-505</t>
        </is>
      </c>
      <c r="C2004" t="inlineStr">
        <is>
          <t>Thân vỏ van VCD bích TDF (0.75mm)</t>
        </is>
      </c>
      <c r="D2004" t="inlineStr">
        <is>
          <t>TÔN_CUỘN_MẠ_KẼM</t>
        </is>
      </c>
      <c r="E2004" t="inlineStr">
        <is>
          <t>MAT-STEEL-PN-0.75</t>
        </is>
      </c>
      <c r="F2004" t="inlineStr">
        <is>
          <t>kg</t>
        </is>
      </c>
      <c r="G2004" s="4" t="n">
        <v>2.3194395</v>
      </c>
      <c r="H2004" s="2">
        <f>XLOOKUP(B2004, '00_TONG_HOP_BAO_GIA'!B:B, '00_TONG_HOP_BAO_GIA'!G:G, 1)</f>
        <v/>
      </c>
      <c r="I2004" s="5">
        <f>G2004*H2004</f>
        <v/>
      </c>
      <c r="J2004" s="2">
        <f>XLOOKUP(E2004, '06_BANG_GIA_VAT_TU_AP_DUNG'!B:B, '06_BANG_GIA_VAT_TU_AP_DUNG'!C:C, "LỖI_MÃ_VT")</f>
        <v/>
      </c>
      <c r="K2004" s="2">
        <f>I2004*J2004</f>
        <v/>
      </c>
      <c r="L2004" t="inlineStr">
        <is>
          <t>Kích thước vỏ 350.0x300.0x210mm</t>
        </is>
      </c>
    </row>
    <row r="2005">
      <c r="A2005" t="inlineStr">
        <is>
          <t>SW-DAMPER-505-BLADE</t>
        </is>
      </c>
      <c r="B2005" t="inlineStr">
        <is>
          <t>SW-DAMPER-505</t>
        </is>
      </c>
      <c r="C2005" t="inlineStr">
        <is>
          <t>Lá cánh van (2 cánh overlap)</t>
        </is>
      </c>
      <c r="D2005" t="inlineStr">
        <is>
          <t>TÔN_CUỘN_MẠ_KẼM</t>
        </is>
      </c>
      <c r="E2005" t="inlineStr">
        <is>
          <t>MAT-STEEL-PN-0.75</t>
        </is>
      </c>
      <c r="F2005" t="inlineStr">
        <is>
          <t>kg</t>
        </is>
      </c>
      <c r="G2005" s="4" t="n">
        <v>0.7566614999999999</v>
      </c>
      <c r="H2005" s="2">
        <f>XLOOKUP(B2005, '00_TONG_HOP_BAO_GIA'!B:B, '00_TONG_HOP_BAO_GIA'!G:G, 1)</f>
        <v/>
      </c>
      <c r="I2005" s="5">
        <f>G2005*H2005</f>
        <v/>
      </c>
      <c r="J2005" s="2">
        <f>XLOOKUP(E2005, '06_BANG_GIA_VAT_TU_AP_DUNG'!B:B, '06_BANG_GIA_VAT_TU_AP_DUNG'!C:C, "LỖI_MÃ_VT")</f>
        <v/>
      </c>
      <c r="K2005" s="2">
        <f>I2005*J2005</f>
        <v/>
      </c>
      <c r="L2005" t="inlineStr">
        <is>
          <t>2 cánh cao 170mm</t>
        </is>
      </c>
    </row>
    <row r="2006">
      <c r="A2006" t="inlineStr">
        <is>
          <t>SW-DAMPER-505-AXLE</t>
        </is>
      </c>
      <c r="B2006" t="inlineStr">
        <is>
          <t>SW-DAMPER-505</t>
        </is>
      </c>
      <c r="C2006" t="inlineStr">
        <is>
          <t>Trục Sus 201 D10</t>
        </is>
      </c>
      <c r="D2006" t="inlineStr">
        <is>
          <t>PHỤ_KIỆN_VAN</t>
        </is>
      </c>
      <c r="E2006" t="inlineStr">
        <is>
          <t>MAT-DAMPER-TRUC-SUS-201-D10</t>
        </is>
      </c>
      <c r="F2006" t="inlineStr">
        <is>
          <t>m</t>
        </is>
      </c>
      <c r="G2006" s="4" t="n">
        <v>0.82</v>
      </c>
      <c r="H2006" s="2">
        <f>XLOOKUP(B2006, '00_TONG_HOP_BAO_GIA'!B:B, '00_TONG_HOP_BAO_GIA'!G:G, 1)</f>
        <v/>
      </c>
      <c r="I2006" s="5">
        <f>G2006*H2006</f>
        <v/>
      </c>
      <c r="J2006" s="2">
        <f>XLOOKUP(E2006, '06_BANG_GIA_VAT_TU_AP_DUNG'!B:B, '06_BANG_GIA_VAT_TU_AP_DUNG'!C:C, "LỖI_MÃ_VT")</f>
        <v/>
      </c>
      <c r="K2006" s="2">
        <f>I2006*J2006</f>
        <v/>
      </c>
      <c r="L2006" t="inlineStr">
        <is>
          <t>2 trục dài 410mm</t>
        </is>
      </c>
    </row>
    <row r="2007">
      <c r="A2007" t="inlineStr">
        <is>
          <t>SW-DAMPER-505-BEARING</t>
        </is>
      </c>
      <c r="B2007" t="inlineStr">
        <is>
          <t>SW-DAMPER-505</t>
        </is>
      </c>
      <c r="C2007" t="inlineStr">
        <is>
          <t>Bạc đồng D10</t>
        </is>
      </c>
      <c r="D2007" t="inlineStr">
        <is>
          <t>PHỤ_KIỆN_VAN</t>
        </is>
      </c>
      <c r="E2007" t="inlineStr">
        <is>
          <t>MAT-DAMPER-BAC-DONG-D10</t>
        </is>
      </c>
      <c r="F2007" t="inlineStr">
        <is>
          <t>Đôi</t>
        </is>
      </c>
      <c r="G2007" s="4" t="n">
        <v>2</v>
      </c>
      <c r="H2007" s="2">
        <f>XLOOKUP(B2007, '00_TONG_HOP_BAO_GIA'!B:B, '00_TONG_HOP_BAO_GIA'!G:G, 1)</f>
        <v/>
      </c>
      <c r="I2007" s="5">
        <f>G2007*H2007</f>
        <v/>
      </c>
      <c r="J2007" s="2">
        <f>XLOOKUP(E2007, '06_BANG_GIA_VAT_TU_AP_DUNG'!B:B, '06_BANG_GIA_VAT_TU_AP_DUNG'!C:C, "LỖI_MÃ_VT")</f>
        <v/>
      </c>
      <c r="K2007" s="2">
        <f>I2007*J2007</f>
        <v/>
      </c>
      <c r="L2007" t="inlineStr">
        <is>
          <t>2 đôi bạc đỡ 2 bên thân</t>
        </is>
      </c>
    </row>
    <row r="2008">
      <c r="A2008" t="inlineStr">
        <is>
          <t>SW-DAMPER-505-GEAR</t>
        </is>
      </c>
      <c r="B2008" t="inlineStr">
        <is>
          <t>SW-DAMPER-505</t>
        </is>
      </c>
      <c r="C2008" t="inlineStr">
        <is>
          <t>Bánh răng van nhôm</t>
        </is>
      </c>
      <c r="D2008" t="inlineStr">
        <is>
          <t>PHỤ_KIỆN_VAN</t>
        </is>
      </c>
      <c r="E2008" t="inlineStr">
        <is>
          <t>MAT-DAMPER-BANH-RANG-VAN-NHOM</t>
        </is>
      </c>
      <c r="F2008" t="inlineStr">
        <is>
          <t>Bộ</t>
        </is>
      </c>
      <c r="G2008" s="4" t="n">
        <v>1</v>
      </c>
      <c r="H2008" s="2">
        <f>XLOOKUP(B2008, '00_TONG_HOP_BAO_GIA'!B:B, '00_TONG_HOP_BAO_GIA'!G:G, 1)</f>
        <v/>
      </c>
      <c r="I2008" s="5">
        <f>G2008*H2008</f>
        <v/>
      </c>
      <c r="J2008" s="2">
        <f>XLOOKUP(E2008, '06_BANG_GIA_VAT_TU_AP_DUNG'!B:B, '06_BANG_GIA_VAT_TU_AP_DUNG'!C:C, "LỖI_MÃ_VT")</f>
        <v/>
      </c>
      <c r="K2008" s="2">
        <f>I2008*J2008</f>
        <v/>
      </c>
      <c r="L2008" t="inlineStr">
        <is>
          <t>Cơ cấu liên động bánh răng van</t>
        </is>
      </c>
    </row>
    <row r="2009">
      <c r="A2009" t="inlineStr">
        <is>
          <t>SW-DAMPER-505-HANDLE</t>
        </is>
      </c>
      <c r="B2009" t="inlineStr">
        <is>
          <t>SW-DAMPER-505</t>
        </is>
      </c>
      <c r="C2009" t="inlineStr">
        <is>
          <t>Tay gạt nhỏ</t>
        </is>
      </c>
      <c r="D2009" t="inlineStr">
        <is>
          <t>PHỤ_KIỆN_VAN</t>
        </is>
      </c>
      <c r="E2009" t="inlineStr">
        <is>
          <t>MAT-DAMPER-TAY-GAT-NHO</t>
        </is>
      </c>
      <c r="F2009" t="inlineStr">
        <is>
          <t>Bộ</t>
        </is>
      </c>
      <c r="G2009" s="4" t="n">
        <v>1</v>
      </c>
      <c r="H2009" s="2">
        <f>XLOOKUP(B2009, '00_TONG_HOP_BAO_GIA'!B:B, '00_TONG_HOP_BAO_GIA'!G:G, 1)</f>
        <v/>
      </c>
      <c r="I2009" s="5">
        <f>G2009*H2009</f>
        <v/>
      </c>
      <c r="J2009" s="2">
        <f>XLOOKUP(E2009, '06_BANG_GIA_VAT_TU_AP_DUNG'!B:B, '06_BANG_GIA_VAT_TU_AP_DUNG'!C:C, "LỖI_MÃ_VT")</f>
        <v/>
      </c>
      <c r="K2009" s="2">
        <f>I2009*J2009</f>
        <v/>
      </c>
      <c r="L2009" t="inlineStr">
        <is>
          <t>Tay gạt khóa vị trí nan (S=0.10m2)</t>
        </is>
      </c>
    </row>
    <row r="2010">
      <c r="A2010" t="inlineStr">
        <is>
          <t>SW-DAMPER-506-BODY</t>
        </is>
      </c>
      <c r="B2010" t="inlineStr">
        <is>
          <t>SW-DAMPER-506</t>
        </is>
      </c>
      <c r="C2010" t="inlineStr">
        <is>
          <t>Thân vỏ van VCD bích TDF (0.75mm)</t>
        </is>
      </c>
      <c r="D2010" t="inlineStr">
        <is>
          <t>TÔN_CUỘN_MẠ_KẼM</t>
        </is>
      </c>
      <c r="E2010" t="inlineStr">
        <is>
          <t>MAT-STEEL-PN-0.75</t>
        </is>
      </c>
      <c r="F2010" t="inlineStr">
        <is>
          <t>kg</t>
        </is>
      </c>
      <c r="G2010" s="4" t="n">
        <v>2.492532</v>
      </c>
      <c r="H2010" s="2">
        <f>XLOOKUP(B2010, '00_TONG_HOP_BAO_GIA'!B:B, '00_TONG_HOP_BAO_GIA'!G:G, 1)</f>
        <v/>
      </c>
      <c r="I2010" s="5">
        <f>G2010*H2010</f>
        <v/>
      </c>
      <c r="J2010" s="2">
        <f>XLOOKUP(E2010, '06_BANG_GIA_VAT_TU_AP_DUNG'!B:B, '06_BANG_GIA_VAT_TU_AP_DUNG'!C:C, "LỖI_MÃ_VT")</f>
        <v/>
      </c>
      <c r="K2010" s="2">
        <f>I2010*J2010</f>
        <v/>
      </c>
      <c r="L2010" t="inlineStr">
        <is>
          <t>Kích thước vỏ 350.0x350.0x210mm</t>
        </is>
      </c>
    </row>
    <row r="2011">
      <c r="A2011" t="inlineStr">
        <is>
          <t>SW-DAMPER-506-BLADE</t>
        </is>
      </c>
      <c r="B2011" t="inlineStr">
        <is>
          <t>SW-DAMPER-506</t>
        </is>
      </c>
      <c r="C2011" t="inlineStr">
        <is>
          <t>Lá cánh van (2 cánh overlap)</t>
        </is>
      </c>
      <c r="D2011" t="inlineStr">
        <is>
          <t>TÔN_CUỘN_MẠ_KẼM</t>
        </is>
      </c>
      <c r="E2011" t="inlineStr">
        <is>
          <t>MAT-STEEL-PN-0.75</t>
        </is>
      </c>
      <c r="F2011" t="inlineStr">
        <is>
          <t>kg</t>
        </is>
      </c>
      <c r="G2011" s="4" t="n">
        <v>0.8679352499999998</v>
      </c>
      <c r="H2011" s="2">
        <f>XLOOKUP(B2011, '00_TONG_HOP_BAO_GIA'!B:B, '00_TONG_HOP_BAO_GIA'!G:G, 1)</f>
        <v/>
      </c>
      <c r="I2011" s="5">
        <f>G2011*H2011</f>
        <v/>
      </c>
      <c r="J2011" s="2">
        <f>XLOOKUP(E2011, '06_BANG_GIA_VAT_TU_AP_DUNG'!B:B, '06_BANG_GIA_VAT_TU_AP_DUNG'!C:C, "LỖI_MÃ_VT")</f>
        <v/>
      </c>
      <c r="K2011" s="2">
        <f>I2011*J2011</f>
        <v/>
      </c>
      <c r="L2011" t="inlineStr">
        <is>
          <t>2 cánh cao 195mm</t>
        </is>
      </c>
    </row>
    <row r="2012">
      <c r="A2012" t="inlineStr">
        <is>
          <t>SW-DAMPER-506-AXLE</t>
        </is>
      </c>
      <c r="B2012" t="inlineStr">
        <is>
          <t>SW-DAMPER-506</t>
        </is>
      </c>
      <c r="C2012" t="inlineStr">
        <is>
          <t>Trục Sus 201 D10</t>
        </is>
      </c>
      <c r="D2012" t="inlineStr">
        <is>
          <t>PHỤ_KIỆN_VAN</t>
        </is>
      </c>
      <c r="E2012" t="inlineStr">
        <is>
          <t>MAT-DAMPER-TRUC-SUS-201-D10</t>
        </is>
      </c>
      <c r="F2012" t="inlineStr">
        <is>
          <t>m</t>
        </is>
      </c>
      <c r="G2012" s="4" t="n">
        <v>0.82</v>
      </c>
      <c r="H2012" s="2">
        <f>XLOOKUP(B2012, '00_TONG_HOP_BAO_GIA'!B:B, '00_TONG_HOP_BAO_GIA'!G:G, 1)</f>
        <v/>
      </c>
      <c r="I2012" s="5">
        <f>G2012*H2012</f>
        <v/>
      </c>
      <c r="J2012" s="2">
        <f>XLOOKUP(E2012, '06_BANG_GIA_VAT_TU_AP_DUNG'!B:B, '06_BANG_GIA_VAT_TU_AP_DUNG'!C:C, "LỖI_MÃ_VT")</f>
        <v/>
      </c>
      <c r="K2012" s="2">
        <f>I2012*J2012</f>
        <v/>
      </c>
      <c r="L2012" t="inlineStr">
        <is>
          <t>2 trục dài 410mm</t>
        </is>
      </c>
    </row>
    <row r="2013">
      <c r="A2013" t="inlineStr">
        <is>
          <t>SW-DAMPER-506-BEARING</t>
        </is>
      </c>
      <c r="B2013" t="inlineStr">
        <is>
          <t>SW-DAMPER-506</t>
        </is>
      </c>
      <c r="C2013" t="inlineStr">
        <is>
          <t>Bạc đồng D10</t>
        </is>
      </c>
      <c r="D2013" t="inlineStr">
        <is>
          <t>PHỤ_KIỆN_VAN</t>
        </is>
      </c>
      <c r="E2013" t="inlineStr">
        <is>
          <t>MAT-DAMPER-BAC-DONG-D10</t>
        </is>
      </c>
      <c r="F2013" t="inlineStr">
        <is>
          <t>Đôi</t>
        </is>
      </c>
      <c r="G2013" s="4" t="n">
        <v>2</v>
      </c>
      <c r="H2013" s="2">
        <f>XLOOKUP(B2013, '00_TONG_HOP_BAO_GIA'!B:B, '00_TONG_HOP_BAO_GIA'!G:G, 1)</f>
        <v/>
      </c>
      <c r="I2013" s="5">
        <f>G2013*H2013</f>
        <v/>
      </c>
      <c r="J2013" s="2">
        <f>XLOOKUP(E2013, '06_BANG_GIA_VAT_TU_AP_DUNG'!B:B, '06_BANG_GIA_VAT_TU_AP_DUNG'!C:C, "LỖI_MÃ_VT")</f>
        <v/>
      </c>
      <c r="K2013" s="2">
        <f>I2013*J2013</f>
        <v/>
      </c>
      <c r="L2013" t="inlineStr">
        <is>
          <t>2 đôi bạc đỡ 2 bên thân</t>
        </is>
      </c>
    </row>
    <row r="2014">
      <c r="A2014" t="inlineStr">
        <is>
          <t>SW-DAMPER-506-GEAR</t>
        </is>
      </c>
      <c r="B2014" t="inlineStr">
        <is>
          <t>SW-DAMPER-506</t>
        </is>
      </c>
      <c r="C2014" t="inlineStr">
        <is>
          <t>Bánh răng van nhôm</t>
        </is>
      </c>
      <c r="D2014" t="inlineStr">
        <is>
          <t>PHỤ_KIỆN_VAN</t>
        </is>
      </c>
      <c r="E2014" t="inlineStr">
        <is>
          <t>MAT-DAMPER-BANH-RANG-VAN-NHOM</t>
        </is>
      </c>
      <c r="F2014" t="inlineStr">
        <is>
          <t>Bộ</t>
        </is>
      </c>
      <c r="G2014" s="4" t="n">
        <v>1</v>
      </c>
      <c r="H2014" s="2">
        <f>XLOOKUP(B2014, '00_TONG_HOP_BAO_GIA'!B:B, '00_TONG_HOP_BAO_GIA'!G:G, 1)</f>
        <v/>
      </c>
      <c r="I2014" s="5">
        <f>G2014*H2014</f>
        <v/>
      </c>
      <c r="J2014" s="2">
        <f>XLOOKUP(E2014, '06_BANG_GIA_VAT_TU_AP_DUNG'!B:B, '06_BANG_GIA_VAT_TU_AP_DUNG'!C:C, "LỖI_MÃ_VT")</f>
        <v/>
      </c>
      <c r="K2014" s="2">
        <f>I2014*J2014</f>
        <v/>
      </c>
      <c r="L2014" t="inlineStr">
        <is>
          <t>Cơ cấu liên động bánh răng van</t>
        </is>
      </c>
    </row>
    <row r="2015">
      <c r="A2015" t="inlineStr">
        <is>
          <t>SW-DAMPER-506-HANDLE</t>
        </is>
      </c>
      <c r="B2015" t="inlineStr">
        <is>
          <t>SW-DAMPER-506</t>
        </is>
      </c>
      <c r="C2015" t="inlineStr">
        <is>
          <t>Tay gạt nhỏ</t>
        </is>
      </c>
      <c r="D2015" t="inlineStr">
        <is>
          <t>PHỤ_KIỆN_VAN</t>
        </is>
      </c>
      <c r="E2015" t="inlineStr">
        <is>
          <t>MAT-DAMPER-TAY-GAT-NHO</t>
        </is>
      </c>
      <c r="F2015" t="inlineStr">
        <is>
          <t>Bộ</t>
        </is>
      </c>
      <c r="G2015" s="4" t="n">
        <v>1</v>
      </c>
      <c r="H2015" s="2">
        <f>XLOOKUP(B2015, '00_TONG_HOP_BAO_GIA'!B:B, '00_TONG_HOP_BAO_GIA'!G:G, 1)</f>
        <v/>
      </c>
      <c r="I2015" s="5">
        <f>G2015*H2015</f>
        <v/>
      </c>
      <c r="J2015" s="2">
        <f>XLOOKUP(E2015, '06_BANG_GIA_VAT_TU_AP_DUNG'!B:B, '06_BANG_GIA_VAT_TU_AP_DUNG'!C:C, "LỖI_MÃ_VT")</f>
        <v/>
      </c>
      <c r="K2015" s="2">
        <f>I2015*J2015</f>
        <v/>
      </c>
      <c r="L2015" t="inlineStr">
        <is>
          <t>Tay gạt khóa vị trí nan (S=0.12m2)</t>
        </is>
      </c>
    </row>
    <row r="2016">
      <c r="A2016" t="inlineStr">
        <is>
          <t>SW-DAMPER-507-BODY</t>
        </is>
      </c>
      <c r="B2016" t="inlineStr">
        <is>
          <t>SW-DAMPER-507</t>
        </is>
      </c>
      <c r="C2016" t="inlineStr">
        <is>
          <t>Thân vỏ van VCD bích TDF (0.75mm)</t>
        </is>
      </c>
      <c r="D2016" t="inlineStr">
        <is>
          <t>TÔN_CUỘN_MẠ_KẼM</t>
        </is>
      </c>
      <c r="E2016" t="inlineStr">
        <is>
          <t>MAT-STEEL-PN-0.75</t>
        </is>
      </c>
      <c r="F2016" t="inlineStr">
        <is>
          <t>kg</t>
        </is>
      </c>
      <c r="G2016" s="4" t="n">
        <v>2.6656245</v>
      </c>
      <c r="H2016" s="2">
        <f>XLOOKUP(B2016, '00_TONG_HOP_BAO_GIA'!B:B, '00_TONG_HOP_BAO_GIA'!G:G, 1)</f>
        <v/>
      </c>
      <c r="I2016" s="5">
        <f>G2016*H2016</f>
        <v/>
      </c>
      <c r="J2016" s="2">
        <f>XLOOKUP(E2016, '06_BANG_GIA_VAT_TU_AP_DUNG'!B:B, '06_BANG_GIA_VAT_TU_AP_DUNG'!C:C, "LỖI_MÃ_VT")</f>
        <v/>
      </c>
      <c r="K2016" s="2">
        <f>I2016*J2016</f>
        <v/>
      </c>
      <c r="L2016" t="inlineStr">
        <is>
          <t>Kích thước vỏ 400.0x350.0x210mm</t>
        </is>
      </c>
    </row>
    <row r="2017">
      <c r="A2017" t="inlineStr">
        <is>
          <t>SW-DAMPER-507-BLADE</t>
        </is>
      </c>
      <c r="B2017" t="inlineStr">
        <is>
          <t>SW-DAMPER-507</t>
        </is>
      </c>
      <c r="C2017" t="inlineStr">
        <is>
          <t>Lá cánh van (2 cánh overlap)</t>
        </is>
      </c>
      <c r="D2017" t="inlineStr">
        <is>
          <t>TÔN_CUỘN_MẠ_KẼM</t>
        </is>
      </c>
      <c r="E2017" t="inlineStr">
        <is>
          <t>MAT-STEEL-PN-0.75</t>
        </is>
      </c>
      <c r="F2017" t="inlineStr">
        <is>
          <t>kg</t>
        </is>
      </c>
      <c r="G2017" s="4" t="n">
        <v>0.9919260000000002</v>
      </c>
      <c r="H2017" s="2">
        <f>XLOOKUP(B2017, '00_TONG_HOP_BAO_GIA'!B:B, '00_TONG_HOP_BAO_GIA'!G:G, 1)</f>
        <v/>
      </c>
      <c r="I2017" s="5">
        <f>G2017*H2017</f>
        <v/>
      </c>
      <c r="J2017" s="2">
        <f>XLOOKUP(E2017, '06_BANG_GIA_VAT_TU_AP_DUNG'!B:B, '06_BANG_GIA_VAT_TU_AP_DUNG'!C:C, "LỖI_MÃ_VT")</f>
        <v/>
      </c>
      <c r="K2017" s="2">
        <f>I2017*J2017</f>
        <v/>
      </c>
      <c r="L2017" t="inlineStr">
        <is>
          <t>2 cánh cao 195mm</t>
        </is>
      </c>
    </row>
    <row r="2018">
      <c r="A2018" t="inlineStr">
        <is>
          <t>SW-DAMPER-507-AXLE</t>
        </is>
      </c>
      <c r="B2018" t="inlineStr">
        <is>
          <t>SW-DAMPER-507</t>
        </is>
      </c>
      <c r="C2018" t="inlineStr">
        <is>
          <t>Trục Sus 201 D10</t>
        </is>
      </c>
      <c r="D2018" t="inlineStr">
        <is>
          <t>PHỤ_KIỆN_VAN</t>
        </is>
      </c>
      <c r="E2018" t="inlineStr">
        <is>
          <t>MAT-DAMPER-TRUC-SUS-201-D10</t>
        </is>
      </c>
      <c r="F2018" t="inlineStr">
        <is>
          <t>m</t>
        </is>
      </c>
      <c r="G2018" s="4" t="n">
        <v>0.92</v>
      </c>
      <c r="H2018" s="2">
        <f>XLOOKUP(B2018, '00_TONG_HOP_BAO_GIA'!B:B, '00_TONG_HOP_BAO_GIA'!G:G, 1)</f>
        <v/>
      </c>
      <c r="I2018" s="5">
        <f>G2018*H2018</f>
        <v/>
      </c>
      <c r="J2018" s="2">
        <f>XLOOKUP(E2018, '06_BANG_GIA_VAT_TU_AP_DUNG'!B:B, '06_BANG_GIA_VAT_TU_AP_DUNG'!C:C, "LỖI_MÃ_VT")</f>
        <v/>
      </c>
      <c r="K2018" s="2">
        <f>I2018*J2018</f>
        <v/>
      </c>
      <c r="L2018" t="inlineStr">
        <is>
          <t>2 trục dài 460mm</t>
        </is>
      </c>
    </row>
    <row r="2019">
      <c r="A2019" t="inlineStr">
        <is>
          <t>SW-DAMPER-507-BEARING</t>
        </is>
      </c>
      <c r="B2019" t="inlineStr">
        <is>
          <t>SW-DAMPER-507</t>
        </is>
      </c>
      <c r="C2019" t="inlineStr">
        <is>
          <t>Bạc đồng D10</t>
        </is>
      </c>
      <c r="D2019" t="inlineStr">
        <is>
          <t>PHỤ_KIỆN_VAN</t>
        </is>
      </c>
      <c r="E2019" t="inlineStr">
        <is>
          <t>MAT-DAMPER-BAC-DONG-D10</t>
        </is>
      </c>
      <c r="F2019" t="inlineStr">
        <is>
          <t>Đôi</t>
        </is>
      </c>
      <c r="G2019" s="4" t="n">
        <v>2</v>
      </c>
      <c r="H2019" s="2">
        <f>XLOOKUP(B2019, '00_TONG_HOP_BAO_GIA'!B:B, '00_TONG_HOP_BAO_GIA'!G:G, 1)</f>
        <v/>
      </c>
      <c r="I2019" s="5">
        <f>G2019*H2019</f>
        <v/>
      </c>
      <c r="J2019" s="2">
        <f>XLOOKUP(E2019, '06_BANG_GIA_VAT_TU_AP_DUNG'!B:B, '06_BANG_GIA_VAT_TU_AP_DUNG'!C:C, "LỖI_MÃ_VT")</f>
        <v/>
      </c>
      <c r="K2019" s="2">
        <f>I2019*J2019</f>
        <v/>
      </c>
      <c r="L2019" t="inlineStr">
        <is>
          <t>2 đôi bạc đỡ 2 bên thân</t>
        </is>
      </c>
    </row>
    <row r="2020">
      <c r="A2020" t="inlineStr">
        <is>
          <t>SW-DAMPER-507-GEAR</t>
        </is>
      </c>
      <c r="B2020" t="inlineStr">
        <is>
          <t>SW-DAMPER-507</t>
        </is>
      </c>
      <c r="C2020" t="inlineStr">
        <is>
          <t>Bánh răng van nhôm</t>
        </is>
      </c>
      <c r="D2020" t="inlineStr">
        <is>
          <t>PHỤ_KIỆN_VAN</t>
        </is>
      </c>
      <c r="E2020" t="inlineStr">
        <is>
          <t>MAT-DAMPER-BANH-RANG-VAN-NHOM</t>
        </is>
      </c>
      <c r="F2020" t="inlineStr">
        <is>
          <t>Bộ</t>
        </is>
      </c>
      <c r="G2020" s="4" t="n">
        <v>1</v>
      </c>
      <c r="H2020" s="2">
        <f>XLOOKUP(B2020, '00_TONG_HOP_BAO_GIA'!B:B, '00_TONG_HOP_BAO_GIA'!G:G, 1)</f>
        <v/>
      </c>
      <c r="I2020" s="5">
        <f>G2020*H2020</f>
        <v/>
      </c>
      <c r="J2020" s="2">
        <f>XLOOKUP(E2020, '06_BANG_GIA_VAT_TU_AP_DUNG'!B:B, '06_BANG_GIA_VAT_TU_AP_DUNG'!C:C, "LỖI_MÃ_VT")</f>
        <v/>
      </c>
      <c r="K2020" s="2">
        <f>I2020*J2020</f>
        <v/>
      </c>
      <c r="L2020" t="inlineStr">
        <is>
          <t>Cơ cấu liên động bánh răng van</t>
        </is>
      </c>
    </row>
    <row r="2021">
      <c r="A2021" t="inlineStr">
        <is>
          <t>SW-DAMPER-507-HANDLE</t>
        </is>
      </c>
      <c r="B2021" t="inlineStr">
        <is>
          <t>SW-DAMPER-507</t>
        </is>
      </c>
      <c r="C2021" t="inlineStr">
        <is>
          <t>Tay gạt nhỏ</t>
        </is>
      </c>
      <c r="D2021" t="inlineStr">
        <is>
          <t>PHỤ_KIỆN_VAN</t>
        </is>
      </c>
      <c r="E2021" t="inlineStr">
        <is>
          <t>MAT-DAMPER-TAY-GAT-NHO</t>
        </is>
      </c>
      <c r="F2021" t="inlineStr">
        <is>
          <t>Bộ</t>
        </is>
      </c>
      <c r="G2021" s="4" t="n">
        <v>1</v>
      </c>
      <c r="H2021" s="2">
        <f>XLOOKUP(B2021, '00_TONG_HOP_BAO_GIA'!B:B, '00_TONG_HOP_BAO_GIA'!G:G, 1)</f>
        <v/>
      </c>
      <c r="I2021" s="5">
        <f>G2021*H2021</f>
        <v/>
      </c>
      <c r="J2021" s="2">
        <f>XLOOKUP(E2021, '06_BANG_GIA_VAT_TU_AP_DUNG'!B:B, '06_BANG_GIA_VAT_TU_AP_DUNG'!C:C, "LỖI_MÃ_VT")</f>
        <v/>
      </c>
      <c r="K2021" s="2">
        <f>I2021*J2021</f>
        <v/>
      </c>
      <c r="L2021" t="inlineStr">
        <is>
          <t>Tay gạt khóa vị trí nan (S=0.14m2)</t>
        </is>
      </c>
    </row>
    <row r="2022">
      <c r="A2022" t="inlineStr">
        <is>
          <t>SW-DAMPER-508-BODY</t>
        </is>
      </c>
      <c r="B2022" t="inlineStr">
        <is>
          <t>SW-DAMPER-508</t>
        </is>
      </c>
      <c r="C2022" t="inlineStr">
        <is>
          <t>Thân vỏ van VCD bích TDF (0.75mm)</t>
        </is>
      </c>
      <c r="D2022" t="inlineStr">
        <is>
          <t>TÔN_CUỘN_MẠ_KẼM</t>
        </is>
      </c>
      <c r="E2022" t="inlineStr">
        <is>
          <t>MAT-STEEL-PN-0.75</t>
        </is>
      </c>
      <c r="F2022" t="inlineStr">
        <is>
          <t>kg</t>
        </is>
      </c>
      <c r="G2022" s="4" t="n">
        <v>2.3194395</v>
      </c>
      <c r="H2022" s="2">
        <f>XLOOKUP(B2022, '00_TONG_HOP_BAO_GIA'!B:B, '00_TONG_HOP_BAO_GIA'!G:G, 1)</f>
        <v/>
      </c>
      <c r="I2022" s="5">
        <f>G2022*H2022</f>
        <v/>
      </c>
      <c r="J2022" s="2">
        <f>XLOOKUP(E2022, '06_BANG_GIA_VAT_TU_AP_DUNG'!B:B, '06_BANG_GIA_VAT_TU_AP_DUNG'!C:C, "LỖI_MÃ_VT")</f>
        <v/>
      </c>
      <c r="K2022" s="2">
        <f>I2022*J2022</f>
        <v/>
      </c>
      <c r="L2022" t="inlineStr">
        <is>
          <t>Kích thước vỏ 450.0x200.0x210mm</t>
        </is>
      </c>
    </row>
    <row r="2023">
      <c r="A2023" t="inlineStr">
        <is>
          <t>SW-DAMPER-508-BLADE</t>
        </is>
      </c>
      <c r="B2023" t="inlineStr">
        <is>
          <t>SW-DAMPER-508</t>
        </is>
      </c>
      <c r="C2023" t="inlineStr">
        <is>
          <t>Lá cánh van (2 cánh overlap)</t>
        </is>
      </c>
      <c r="D2023" t="inlineStr">
        <is>
          <t>TÔN_CUỘN_MẠ_KẼM</t>
        </is>
      </c>
      <c r="E2023" t="inlineStr">
        <is>
          <t>MAT-STEEL-PN-0.75</t>
        </is>
      </c>
      <c r="F2023" t="inlineStr">
        <is>
          <t>kg</t>
        </is>
      </c>
      <c r="G2023" s="4" t="n">
        <v>0.6867179999999999</v>
      </c>
      <c r="H2023" s="2">
        <f>XLOOKUP(B2023, '00_TONG_HOP_BAO_GIA'!B:B, '00_TONG_HOP_BAO_GIA'!G:G, 1)</f>
        <v/>
      </c>
      <c r="I2023" s="5">
        <f>G2023*H2023</f>
        <v/>
      </c>
      <c r="J2023" s="2">
        <f>XLOOKUP(E2023, '06_BANG_GIA_VAT_TU_AP_DUNG'!B:B, '06_BANG_GIA_VAT_TU_AP_DUNG'!C:C, "LỖI_MÃ_VT")</f>
        <v/>
      </c>
      <c r="K2023" s="2">
        <f>I2023*J2023</f>
        <v/>
      </c>
      <c r="L2023" t="inlineStr">
        <is>
          <t>2 cánh cao 120mm</t>
        </is>
      </c>
    </row>
    <row r="2024">
      <c r="A2024" t="inlineStr">
        <is>
          <t>SW-DAMPER-508-AXLE</t>
        </is>
      </c>
      <c r="B2024" t="inlineStr">
        <is>
          <t>SW-DAMPER-508</t>
        </is>
      </c>
      <c r="C2024" t="inlineStr">
        <is>
          <t>Trục Sus 201 D10</t>
        </is>
      </c>
      <c r="D2024" t="inlineStr">
        <is>
          <t>PHỤ_KIỆN_VAN</t>
        </is>
      </c>
      <c r="E2024" t="inlineStr">
        <is>
          <t>MAT-DAMPER-TRUC-SUS-201-D10</t>
        </is>
      </c>
      <c r="F2024" t="inlineStr">
        <is>
          <t>m</t>
        </is>
      </c>
      <c r="G2024" s="4" t="n">
        <v>1.02</v>
      </c>
      <c r="H2024" s="2">
        <f>XLOOKUP(B2024, '00_TONG_HOP_BAO_GIA'!B:B, '00_TONG_HOP_BAO_GIA'!G:G, 1)</f>
        <v/>
      </c>
      <c r="I2024" s="5">
        <f>G2024*H2024</f>
        <v/>
      </c>
      <c r="J2024" s="2">
        <f>XLOOKUP(E2024, '06_BANG_GIA_VAT_TU_AP_DUNG'!B:B, '06_BANG_GIA_VAT_TU_AP_DUNG'!C:C, "LỖI_MÃ_VT")</f>
        <v/>
      </c>
      <c r="K2024" s="2">
        <f>I2024*J2024</f>
        <v/>
      </c>
      <c r="L2024" t="inlineStr">
        <is>
          <t>2 trục dài 510mm</t>
        </is>
      </c>
    </row>
    <row r="2025">
      <c r="A2025" t="inlineStr">
        <is>
          <t>SW-DAMPER-508-BEARING</t>
        </is>
      </c>
      <c r="B2025" t="inlineStr">
        <is>
          <t>SW-DAMPER-508</t>
        </is>
      </c>
      <c r="C2025" t="inlineStr">
        <is>
          <t>Bạc đồng D10</t>
        </is>
      </c>
      <c r="D2025" t="inlineStr">
        <is>
          <t>PHỤ_KIỆN_VAN</t>
        </is>
      </c>
      <c r="E2025" t="inlineStr">
        <is>
          <t>MAT-DAMPER-BAC-DONG-D10</t>
        </is>
      </c>
      <c r="F2025" t="inlineStr">
        <is>
          <t>Đôi</t>
        </is>
      </c>
      <c r="G2025" s="4" t="n">
        <v>2</v>
      </c>
      <c r="H2025" s="2">
        <f>XLOOKUP(B2025, '00_TONG_HOP_BAO_GIA'!B:B, '00_TONG_HOP_BAO_GIA'!G:G, 1)</f>
        <v/>
      </c>
      <c r="I2025" s="5">
        <f>G2025*H2025</f>
        <v/>
      </c>
      <c r="J2025" s="2">
        <f>XLOOKUP(E2025, '06_BANG_GIA_VAT_TU_AP_DUNG'!B:B, '06_BANG_GIA_VAT_TU_AP_DUNG'!C:C, "LỖI_MÃ_VT")</f>
        <v/>
      </c>
      <c r="K2025" s="2">
        <f>I2025*J2025</f>
        <v/>
      </c>
      <c r="L2025" t="inlineStr">
        <is>
          <t>2 đôi bạc đỡ 2 bên thân</t>
        </is>
      </c>
    </row>
    <row r="2026">
      <c r="A2026" t="inlineStr">
        <is>
          <t>SW-DAMPER-508-GEAR</t>
        </is>
      </c>
      <c r="B2026" t="inlineStr">
        <is>
          <t>SW-DAMPER-508</t>
        </is>
      </c>
      <c r="C2026" t="inlineStr">
        <is>
          <t>Bánh răng van nhôm</t>
        </is>
      </c>
      <c r="D2026" t="inlineStr">
        <is>
          <t>PHỤ_KIỆN_VAN</t>
        </is>
      </c>
      <c r="E2026" t="inlineStr">
        <is>
          <t>MAT-DAMPER-BANH-RANG-VAN-NHOM</t>
        </is>
      </c>
      <c r="F2026" t="inlineStr">
        <is>
          <t>Bộ</t>
        </is>
      </c>
      <c r="G2026" s="4" t="n">
        <v>1</v>
      </c>
      <c r="H2026" s="2">
        <f>XLOOKUP(B2026, '00_TONG_HOP_BAO_GIA'!B:B, '00_TONG_HOP_BAO_GIA'!G:G, 1)</f>
        <v/>
      </c>
      <c r="I2026" s="5">
        <f>G2026*H2026</f>
        <v/>
      </c>
      <c r="J2026" s="2">
        <f>XLOOKUP(E2026, '06_BANG_GIA_VAT_TU_AP_DUNG'!B:B, '06_BANG_GIA_VAT_TU_AP_DUNG'!C:C, "LỖI_MÃ_VT")</f>
        <v/>
      </c>
      <c r="K2026" s="2">
        <f>I2026*J2026</f>
        <v/>
      </c>
      <c r="L2026" t="inlineStr">
        <is>
          <t>Cơ cấu liên động bánh răng van</t>
        </is>
      </c>
    </row>
    <row r="2027">
      <c r="A2027" t="inlineStr">
        <is>
          <t>SW-DAMPER-508-HANDLE</t>
        </is>
      </c>
      <c r="B2027" t="inlineStr">
        <is>
          <t>SW-DAMPER-508</t>
        </is>
      </c>
      <c r="C2027" t="inlineStr">
        <is>
          <t>Tay gạt nhỏ</t>
        </is>
      </c>
      <c r="D2027" t="inlineStr">
        <is>
          <t>PHỤ_KIỆN_VAN</t>
        </is>
      </c>
      <c r="E2027" t="inlineStr">
        <is>
          <t>MAT-DAMPER-TAY-GAT-NHO</t>
        </is>
      </c>
      <c r="F2027" t="inlineStr">
        <is>
          <t>Bộ</t>
        </is>
      </c>
      <c r="G2027" s="4" t="n">
        <v>1</v>
      </c>
      <c r="H2027" s="2">
        <f>XLOOKUP(B2027, '00_TONG_HOP_BAO_GIA'!B:B, '00_TONG_HOP_BAO_GIA'!G:G, 1)</f>
        <v/>
      </c>
      <c r="I2027" s="5">
        <f>G2027*H2027</f>
        <v/>
      </c>
      <c r="J2027" s="2">
        <f>XLOOKUP(E2027, '06_BANG_GIA_VAT_TU_AP_DUNG'!B:B, '06_BANG_GIA_VAT_TU_AP_DUNG'!C:C, "LỖI_MÃ_VT")</f>
        <v/>
      </c>
      <c r="K2027" s="2">
        <f>I2027*J2027</f>
        <v/>
      </c>
      <c r="L2027" t="inlineStr">
        <is>
          <t>Tay gạt khóa vị trí nan (S=0.09m2)</t>
        </is>
      </c>
    </row>
    <row r="2028">
      <c r="A2028" t="inlineStr">
        <is>
          <t>SW-DAMPER-509-BODY</t>
        </is>
      </c>
      <c r="B2028" t="inlineStr">
        <is>
          <t>SW-DAMPER-509</t>
        </is>
      </c>
      <c r="C2028" t="inlineStr">
        <is>
          <t>Thân vỏ van VCD bích TDF (0.75mm)</t>
        </is>
      </c>
      <c r="D2028" t="inlineStr">
        <is>
          <t>TÔN_CUỘN_MẠ_KẼM</t>
        </is>
      </c>
      <c r="E2028" t="inlineStr">
        <is>
          <t>MAT-STEEL-PN-0.75</t>
        </is>
      </c>
      <c r="F2028" t="inlineStr">
        <is>
          <t>kg</t>
        </is>
      </c>
      <c r="G2028" s="4" t="n">
        <v>2.838717</v>
      </c>
      <c r="H2028" s="2">
        <f>XLOOKUP(B2028, '00_TONG_HOP_BAO_GIA'!B:B, '00_TONG_HOP_BAO_GIA'!G:G, 1)</f>
        <v/>
      </c>
      <c r="I2028" s="5">
        <f>G2028*H2028</f>
        <v/>
      </c>
      <c r="J2028" s="2">
        <f>XLOOKUP(E2028, '06_BANG_GIA_VAT_TU_AP_DUNG'!B:B, '06_BANG_GIA_VAT_TU_AP_DUNG'!C:C, "LỖI_MÃ_VT")</f>
        <v/>
      </c>
      <c r="K2028" s="2">
        <f>I2028*J2028</f>
        <v/>
      </c>
      <c r="L2028" t="inlineStr">
        <is>
          <t>Kích thước vỏ 600.0x200.0x210mm</t>
        </is>
      </c>
    </row>
    <row r="2029">
      <c r="A2029" t="inlineStr">
        <is>
          <t>SW-DAMPER-509-BLADE</t>
        </is>
      </c>
      <c r="B2029" t="inlineStr">
        <is>
          <t>SW-DAMPER-509</t>
        </is>
      </c>
      <c r="C2029" t="inlineStr">
        <is>
          <t>Lá cánh van (2 cánh overlap)</t>
        </is>
      </c>
      <c r="D2029" t="inlineStr">
        <is>
          <t>TÔN_CUỘN_MẠ_KẼM</t>
        </is>
      </c>
      <c r="E2029" t="inlineStr">
        <is>
          <t>MAT-STEEL-PN-0.75</t>
        </is>
      </c>
      <c r="F2029" t="inlineStr">
        <is>
          <t>kg</t>
        </is>
      </c>
      <c r="G2029" s="4" t="n">
        <v>0.9156239999999999</v>
      </c>
      <c r="H2029" s="2">
        <f>XLOOKUP(B2029, '00_TONG_HOP_BAO_GIA'!B:B, '00_TONG_HOP_BAO_GIA'!G:G, 1)</f>
        <v/>
      </c>
      <c r="I2029" s="5">
        <f>G2029*H2029</f>
        <v/>
      </c>
      <c r="J2029" s="2">
        <f>XLOOKUP(E2029, '06_BANG_GIA_VAT_TU_AP_DUNG'!B:B, '06_BANG_GIA_VAT_TU_AP_DUNG'!C:C, "LỖI_MÃ_VT")</f>
        <v/>
      </c>
      <c r="K2029" s="2">
        <f>I2029*J2029</f>
        <v/>
      </c>
      <c r="L2029" t="inlineStr">
        <is>
          <t>2 cánh cao 120mm</t>
        </is>
      </c>
    </row>
    <row r="2030">
      <c r="A2030" t="inlineStr">
        <is>
          <t>SW-DAMPER-509-AXLE</t>
        </is>
      </c>
      <c r="B2030" t="inlineStr">
        <is>
          <t>SW-DAMPER-509</t>
        </is>
      </c>
      <c r="C2030" t="inlineStr">
        <is>
          <t>Trục Sus 201 D10</t>
        </is>
      </c>
      <c r="D2030" t="inlineStr">
        <is>
          <t>PHỤ_KIỆN_VAN</t>
        </is>
      </c>
      <c r="E2030" t="inlineStr">
        <is>
          <t>MAT-DAMPER-TRUC-SUS-201-D10</t>
        </is>
      </c>
      <c r="F2030" t="inlineStr">
        <is>
          <t>m</t>
        </is>
      </c>
      <c r="G2030" s="4" t="n">
        <v>1.32</v>
      </c>
      <c r="H2030" s="2">
        <f>XLOOKUP(B2030, '00_TONG_HOP_BAO_GIA'!B:B, '00_TONG_HOP_BAO_GIA'!G:G, 1)</f>
        <v/>
      </c>
      <c r="I2030" s="5">
        <f>G2030*H2030</f>
        <v/>
      </c>
      <c r="J2030" s="2">
        <f>XLOOKUP(E2030, '06_BANG_GIA_VAT_TU_AP_DUNG'!B:B, '06_BANG_GIA_VAT_TU_AP_DUNG'!C:C, "LỖI_MÃ_VT")</f>
        <v/>
      </c>
      <c r="K2030" s="2">
        <f>I2030*J2030</f>
        <v/>
      </c>
      <c r="L2030" t="inlineStr">
        <is>
          <t>2 trục dài 660mm</t>
        </is>
      </c>
    </row>
    <row r="2031">
      <c r="A2031" t="inlineStr">
        <is>
          <t>SW-DAMPER-509-BEARING</t>
        </is>
      </c>
      <c r="B2031" t="inlineStr">
        <is>
          <t>SW-DAMPER-509</t>
        </is>
      </c>
      <c r="C2031" t="inlineStr">
        <is>
          <t>Bạc đồng D10</t>
        </is>
      </c>
      <c r="D2031" t="inlineStr">
        <is>
          <t>PHỤ_KIỆN_VAN</t>
        </is>
      </c>
      <c r="E2031" t="inlineStr">
        <is>
          <t>MAT-DAMPER-BAC-DONG-D10</t>
        </is>
      </c>
      <c r="F2031" t="inlineStr">
        <is>
          <t>Đôi</t>
        </is>
      </c>
      <c r="G2031" s="4" t="n">
        <v>2</v>
      </c>
      <c r="H2031" s="2">
        <f>XLOOKUP(B2031, '00_TONG_HOP_BAO_GIA'!B:B, '00_TONG_HOP_BAO_GIA'!G:G, 1)</f>
        <v/>
      </c>
      <c r="I2031" s="5">
        <f>G2031*H2031</f>
        <v/>
      </c>
      <c r="J2031" s="2">
        <f>XLOOKUP(E2031, '06_BANG_GIA_VAT_TU_AP_DUNG'!B:B, '06_BANG_GIA_VAT_TU_AP_DUNG'!C:C, "LỖI_MÃ_VT")</f>
        <v/>
      </c>
      <c r="K2031" s="2">
        <f>I2031*J2031</f>
        <v/>
      </c>
      <c r="L2031" t="inlineStr">
        <is>
          <t>2 đôi bạc đỡ 2 bên thân</t>
        </is>
      </c>
    </row>
    <row r="2032">
      <c r="A2032" t="inlineStr">
        <is>
          <t>SW-DAMPER-509-GEAR</t>
        </is>
      </c>
      <c r="B2032" t="inlineStr">
        <is>
          <t>SW-DAMPER-509</t>
        </is>
      </c>
      <c r="C2032" t="inlineStr">
        <is>
          <t>Bánh răng van nhôm</t>
        </is>
      </c>
      <c r="D2032" t="inlineStr">
        <is>
          <t>PHỤ_KIỆN_VAN</t>
        </is>
      </c>
      <c r="E2032" t="inlineStr">
        <is>
          <t>MAT-DAMPER-BANH-RANG-VAN-NHOM</t>
        </is>
      </c>
      <c r="F2032" t="inlineStr">
        <is>
          <t>Bộ</t>
        </is>
      </c>
      <c r="G2032" s="4" t="n">
        <v>1</v>
      </c>
      <c r="H2032" s="2">
        <f>XLOOKUP(B2032, '00_TONG_HOP_BAO_GIA'!B:B, '00_TONG_HOP_BAO_GIA'!G:G, 1)</f>
        <v/>
      </c>
      <c r="I2032" s="5">
        <f>G2032*H2032</f>
        <v/>
      </c>
      <c r="J2032" s="2">
        <f>XLOOKUP(E2032, '06_BANG_GIA_VAT_TU_AP_DUNG'!B:B, '06_BANG_GIA_VAT_TU_AP_DUNG'!C:C, "LỖI_MÃ_VT")</f>
        <v/>
      </c>
      <c r="K2032" s="2">
        <f>I2032*J2032</f>
        <v/>
      </c>
      <c r="L2032" t="inlineStr">
        <is>
          <t>Cơ cấu liên động bánh răng van</t>
        </is>
      </c>
    </row>
    <row r="2033">
      <c r="A2033" t="inlineStr">
        <is>
          <t>SW-DAMPER-509-HANDLE</t>
        </is>
      </c>
      <c r="B2033" t="inlineStr">
        <is>
          <t>SW-DAMPER-509</t>
        </is>
      </c>
      <c r="C2033" t="inlineStr">
        <is>
          <t>Tay gạt nhỏ</t>
        </is>
      </c>
      <c r="D2033" t="inlineStr">
        <is>
          <t>PHỤ_KIỆN_VAN</t>
        </is>
      </c>
      <c r="E2033" t="inlineStr">
        <is>
          <t>MAT-DAMPER-TAY-GAT-NHO</t>
        </is>
      </c>
      <c r="F2033" t="inlineStr">
        <is>
          <t>Bộ</t>
        </is>
      </c>
      <c r="G2033" s="4" t="n">
        <v>1</v>
      </c>
      <c r="H2033" s="2">
        <f>XLOOKUP(B2033, '00_TONG_HOP_BAO_GIA'!B:B, '00_TONG_HOP_BAO_GIA'!G:G, 1)</f>
        <v/>
      </c>
      <c r="I2033" s="5">
        <f>G2033*H2033</f>
        <v/>
      </c>
      <c r="J2033" s="2">
        <f>XLOOKUP(E2033, '06_BANG_GIA_VAT_TU_AP_DUNG'!B:B, '06_BANG_GIA_VAT_TU_AP_DUNG'!C:C, "LỖI_MÃ_VT")</f>
        <v/>
      </c>
      <c r="K2033" s="2">
        <f>I2033*J2033</f>
        <v/>
      </c>
      <c r="L2033" t="inlineStr">
        <is>
          <t>Tay gạt khóa vị trí nan (S=0.12m2)</t>
        </is>
      </c>
    </row>
    <row r="2034">
      <c r="A2034" t="inlineStr">
        <is>
          <t>SW-DAMPER-510-BODY</t>
        </is>
      </c>
      <c r="B2034" t="inlineStr">
        <is>
          <t>SW-DAMPER-510</t>
        </is>
      </c>
      <c r="C2034" t="inlineStr">
        <is>
          <t>Thân vỏ van VCD bích TDF (0.75mm)</t>
        </is>
      </c>
      <c r="D2034" t="inlineStr">
        <is>
          <t>TÔN_CUỘN_MẠ_KẼM</t>
        </is>
      </c>
      <c r="E2034" t="inlineStr">
        <is>
          <t>MAT-STEEL-PN-0.75</t>
        </is>
      </c>
      <c r="F2034" t="inlineStr">
        <is>
          <t>kg</t>
        </is>
      </c>
      <c r="G2034" s="4" t="n">
        <v>3.184902</v>
      </c>
      <c r="H2034" s="2">
        <f>XLOOKUP(B2034, '00_TONG_HOP_BAO_GIA'!B:B, '00_TONG_HOP_BAO_GIA'!G:G, 1)</f>
        <v/>
      </c>
      <c r="I2034" s="5">
        <f>G2034*H2034</f>
        <v/>
      </c>
      <c r="J2034" s="2">
        <f>XLOOKUP(E2034, '06_BANG_GIA_VAT_TU_AP_DUNG'!B:B, '06_BANG_GIA_VAT_TU_AP_DUNG'!C:C, "LỖI_MÃ_VT")</f>
        <v/>
      </c>
      <c r="K2034" s="2">
        <f>I2034*J2034</f>
        <v/>
      </c>
      <c r="L2034" t="inlineStr">
        <is>
          <t>Kích thước vỏ 600.0x300.0x210mm</t>
        </is>
      </c>
    </row>
    <row r="2035">
      <c r="A2035" t="inlineStr">
        <is>
          <t>SW-DAMPER-510-BLADE</t>
        </is>
      </c>
      <c r="B2035" t="inlineStr">
        <is>
          <t>SW-DAMPER-510</t>
        </is>
      </c>
      <c r="C2035" t="inlineStr">
        <is>
          <t>Lá cánh van (2 cánh overlap)</t>
        </is>
      </c>
      <c r="D2035" t="inlineStr">
        <is>
          <t>TÔN_CUỘN_MẠ_KẼM</t>
        </is>
      </c>
      <c r="E2035" t="inlineStr">
        <is>
          <t>MAT-STEEL-PN-0.75</t>
        </is>
      </c>
      <c r="F2035" t="inlineStr">
        <is>
          <t>kg</t>
        </is>
      </c>
      <c r="G2035" s="4" t="n">
        <v>1.297134</v>
      </c>
      <c r="H2035" s="2">
        <f>XLOOKUP(B2035, '00_TONG_HOP_BAO_GIA'!B:B, '00_TONG_HOP_BAO_GIA'!G:G, 1)</f>
        <v/>
      </c>
      <c r="I2035" s="5">
        <f>G2035*H2035</f>
        <v/>
      </c>
      <c r="J2035" s="2">
        <f>XLOOKUP(E2035, '06_BANG_GIA_VAT_TU_AP_DUNG'!B:B, '06_BANG_GIA_VAT_TU_AP_DUNG'!C:C, "LỖI_MÃ_VT")</f>
        <v/>
      </c>
      <c r="K2035" s="2">
        <f>I2035*J2035</f>
        <v/>
      </c>
      <c r="L2035" t="inlineStr">
        <is>
          <t>2 cánh cao 170mm</t>
        </is>
      </c>
    </row>
    <row r="2036">
      <c r="A2036" t="inlineStr">
        <is>
          <t>SW-DAMPER-510-AXLE</t>
        </is>
      </c>
      <c r="B2036" t="inlineStr">
        <is>
          <t>SW-DAMPER-510</t>
        </is>
      </c>
      <c r="C2036" t="inlineStr">
        <is>
          <t>Trục Sus 201 D10</t>
        </is>
      </c>
      <c r="D2036" t="inlineStr">
        <is>
          <t>PHỤ_KIỆN_VAN</t>
        </is>
      </c>
      <c r="E2036" t="inlineStr">
        <is>
          <t>MAT-DAMPER-TRUC-SUS-201-D10</t>
        </is>
      </c>
      <c r="F2036" t="inlineStr">
        <is>
          <t>m</t>
        </is>
      </c>
      <c r="G2036" s="4" t="n">
        <v>1.32</v>
      </c>
      <c r="H2036" s="2">
        <f>XLOOKUP(B2036, '00_TONG_HOP_BAO_GIA'!B:B, '00_TONG_HOP_BAO_GIA'!G:G, 1)</f>
        <v/>
      </c>
      <c r="I2036" s="5">
        <f>G2036*H2036</f>
        <v/>
      </c>
      <c r="J2036" s="2">
        <f>XLOOKUP(E2036, '06_BANG_GIA_VAT_TU_AP_DUNG'!B:B, '06_BANG_GIA_VAT_TU_AP_DUNG'!C:C, "LỖI_MÃ_VT")</f>
        <v/>
      </c>
      <c r="K2036" s="2">
        <f>I2036*J2036</f>
        <v/>
      </c>
      <c r="L2036" t="inlineStr">
        <is>
          <t>2 trục dài 660mm</t>
        </is>
      </c>
    </row>
    <row r="2037">
      <c r="A2037" t="inlineStr">
        <is>
          <t>SW-DAMPER-510-BEARING</t>
        </is>
      </c>
      <c r="B2037" t="inlineStr">
        <is>
          <t>SW-DAMPER-510</t>
        </is>
      </c>
      <c r="C2037" t="inlineStr">
        <is>
          <t>Bạc đồng D10</t>
        </is>
      </c>
      <c r="D2037" t="inlineStr">
        <is>
          <t>PHỤ_KIỆN_VAN</t>
        </is>
      </c>
      <c r="E2037" t="inlineStr">
        <is>
          <t>MAT-DAMPER-BAC-DONG-D10</t>
        </is>
      </c>
      <c r="F2037" t="inlineStr">
        <is>
          <t>Đôi</t>
        </is>
      </c>
      <c r="G2037" s="4" t="n">
        <v>2</v>
      </c>
      <c r="H2037" s="2">
        <f>XLOOKUP(B2037, '00_TONG_HOP_BAO_GIA'!B:B, '00_TONG_HOP_BAO_GIA'!G:G, 1)</f>
        <v/>
      </c>
      <c r="I2037" s="5">
        <f>G2037*H2037</f>
        <v/>
      </c>
      <c r="J2037" s="2">
        <f>XLOOKUP(E2037, '06_BANG_GIA_VAT_TU_AP_DUNG'!B:B, '06_BANG_GIA_VAT_TU_AP_DUNG'!C:C, "LỖI_MÃ_VT")</f>
        <v/>
      </c>
      <c r="K2037" s="2">
        <f>I2037*J2037</f>
        <v/>
      </c>
      <c r="L2037" t="inlineStr">
        <is>
          <t>2 đôi bạc đỡ 2 bên thân</t>
        </is>
      </c>
    </row>
    <row r="2038">
      <c r="A2038" t="inlineStr">
        <is>
          <t>SW-DAMPER-510-GEAR</t>
        </is>
      </c>
      <c r="B2038" t="inlineStr">
        <is>
          <t>SW-DAMPER-510</t>
        </is>
      </c>
      <c r="C2038" t="inlineStr">
        <is>
          <t>Bánh răng van nhôm</t>
        </is>
      </c>
      <c r="D2038" t="inlineStr">
        <is>
          <t>PHỤ_KIỆN_VAN</t>
        </is>
      </c>
      <c r="E2038" t="inlineStr">
        <is>
          <t>MAT-DAMPER-BANH-RANG-VAN-NHOM</t>
        </is>
      </c>
      <c r="F2038" t="inlineStr">
        <is>
          <t>Bộ</t>
        </is>
      </c>
      <c r="G2038" s="4" t="n">
        <v>1</v>
      </c>
      <c r="H2038" s="2">
        <f>XLOOKUP(B2038, '00_TONG_HOP_BAO_GIA'!B:B, '00_TONG_HOP_BAO_GIA'!G:G, 1)</f>
        <v/>
      </c>
      <c r="I2038" s="5">
        <f>G2038*H2038</f>
        <v/>
      </c>
      <c r="J2038" s="2">
        <f>XLOOKUP(E2038, '06_BANG_GIA_VAT_TU_AP_DUNG'!B:B, '06_BANG_GIA_VAT_TU_AP_DUNG'!C:C, "LỖI_MÃ_VT")</f>
        <v/>
      </c>
      <c r="K2038" s="2">
        <f>I2038*J2038</f>
        <v/>
      </c>
      <c r="L2038" t="inlineStr">
        <is>
          <t>Cơ cấu liên động bánh răng van</t>
        </is>
      </c>
    </row>
    <row r="2039">
      <c r="A2039" t="inlineStr">
        <is>
          <t>SW-DAMPER-510-HANDLE</t>
        </is>
      </c>
      <c r="B2039" t="inlineStr">
        <is>
          <t>SW-DAMPER-510</t>
        </is>
      </c>
      <c r="C2039" t="inlineStr">
        <is>
          <t>Tay gạt nhỏ</t>
        </is>
      </c>
      <c r="D2039" t="inlineStr">
        <is>
          <t>PHỤ_KIỆN_VAN</t>
        </is>
      </c>
      <c r="E2039" t="inlineStr">
        <is>
          <t>MAT-DAMPER-TAY-GAT-NHO</t>
        </is>
      </c>
      <c r="F2039" t="inlineStr">
        <is>
          <t>Bộ</t>
        </is>
      </c>
      <c r="G2039" s="4" t="n">
        <v>1</v>
      </c>
      <c r="H2039" s="2">
        <f>XLOOKUP(B2039, '00_TONG_HOP_BAO_GIA'!B:B, '00_TONG_HOP_BAO_GIA'!G:G, 1)</f>
        <v/>
      </c>
      <c r="I2039" s="5">
        <f>G2039*H2039</f>
        <v/>
      </c>
      <c r="J2039" s="2">
        <f>XLOOKUP(E2039, '06_BANG_GIA_VAT_TU_AP_DUNG'!B:B, '06_BANG_GIA_VAT_TU_AP_DUNG'!C:C, "LỖI_MÃ_VT")</f>
        <v/>
      </c>
      <c r="K2039" s="2">
        <f>I2039*J2039</f>
        <v/>
      </c>
      <c r="L2039" t="inlineStr">
        <is>
          <t>Tay gạt khóa vị trí nan (S=0.18m2)</t>
        </is>
      </c>
    </row>
    <row r="2040">
      <c r="A2040" t="inlineStr">
        <is>
          <t>SW-DAMPER-511-BODY</t>
        </is>
      </c>
      <c r="B2040" t="inlineStr">
        <is>
          <t>SW-DAMPER-511</t>
        </is>
      </c>
      <c r="C2040" t="inlineStr">
        <is>
          <t>Thân vỏ van VCD bích TDF (0.75mm)</t>
        </is>
      </c>
      <c r="D2040" t="inlineStr">
        <is>
          <t>TÔN_CUỘN_MẠ_KẼM</t>
        </is>
      </c>
      <c r="E2040" t="inlineStr">
        <is>
          <t>MAT-STEEL-PN-0.75</t>
        </is>
      </c>
      <c r="F2040" t="inlineStr">
        <is>
          <t>kg</t>
        </is>
      </c>
      <c r="G2040" s="4" t="n">
        <v>3.877272</v>
      </c>
      <c r="H2040" s="2">
        <f>XLOOKUP(B2040, '00_TONG_HOP_BAO_GIA'!B:B, '00_TONG_HOP_BAO_GIA'!G:G, 1)</f>
        <v/>
      </c>
      <c r="I2040" s="5">
        <f>G2040*H2040</f>
        <v/>
      </c>
      <c r="J2040" s="2">
        <f>XLOOKUP(E2040, '06_BANG_GIA_VAT_TU_AP_DUNG'!B:B, '06_BANG_GIA_VAT_TU_AP_DUNG'!C:C, "LỖI_MÃ_VT")</f>
        <v/>
      </c>
      <c r="K2040" s="2">
        <f>I2040*J2040</f>
        <v/>
      </c>
      <c r="L2040" t="inlineStr">
        <is>
          <t>Kích thước vỏ 700.0x400.0x210mm</t>
        </is>
      </c>
    </row>
    <row r="2041">
      <c r="A2041" t="inlineStr">
        <is>
          <t>SW-DAMPER-511-BLADE</t>
        </is>
      </c>
      <c r="B2041" t="inlineStr">
        <is>
          <t>SW-DAMPER-511</t>
        </is>
      </c>
      <c r="C2041" t="inlineStr">
        <is>
          <t>Lá cánh van (3 cánh overlap)</t>
        </is>
      </c>
      <c r="D2041" t="inlineStr">
        <is>
          <t>TÔN_CUỘN_MẠ_KẼM</t>
        </is>
      </c>
      <c r="E2041" t="inlineStr">
        <is>
          <t>MAT-STEEL-PN-0.75</t>
        </is>
      </c>
      <c r="F2041" t="inlineStr">
        <is>
          <t>kg</t>
        </is>
      </c>
      <c r="G2041" s="4" t="n">
        <v>2.047437</v>
      </c>
      <c r="H2041" s="2">
        <f>XLOOKUP(B2041, '00_TONG_HOP_BAO_GIA'!B:B, '00_TONG_HOP_BAO_GIA'!G:G, 1)</f>
        <v/>
      </c>
      <c r="I2041" s="5">
        <f>G2041*H2041</f>
        <v/>
      </c>
      <c r="J2041" s="2">
        <f>XLOOKUP(E2041, '06_BANG_GIA_VAT_TU_AP_DUNG'!B:B, '06_BANG_GIA_VAT_TU_AP_DUNG'!C:C, "LỖI_MÃ_VT")</f>
        <v/>
      </c>
      <c r="K2041" s="2">
        <f>I2041*J2041</f>
        <v/>
      </c>
      <c r="L2041" t="inlineStr">
        <is>
          <t>3 cánh cao 153mm</t>
        </is>
      </c>
    </row>
    <row r="2042">
      <c r="A2042" t="inlineStr">
        <is>
          <t>SW-DAMPER-511-AXLE</t>
        </is>
      </c>
      <c r="B2042" t="inlineStr">
        <is>
          <t>SW-DAMPER-511</t>
        </is>
      </c>
      <c r="C2042" t="inlineStr">
        <is>
          <t>Trục Sus 201 D10</t>
        </is>
      </c>
      <c r="D2042" t="inlineStr">
        <is>
          <t>PHỤ_KIỆN_VAN</t>
        </is>
      </c>
      <c r="E2042" t="inlineStr">
        <is>
          <t>MAT-DAMPER-TRUC-SUS-201-D10</t>
        </is>
      </c>
      <c r="F2042" t="inlineStr">
        <is>
          <t>m</t>
        </is>
      </c>
      <c r="G2042" s="4" t="n">
        <v>2.28</v>
      </c>
      <c r="H2042" s="2">
        <f>XLOOKUP(B2042, '00_TONG_HOP_BAO_GIA'!B:B, '00_TONG_HOP_BAO_GIA'!G:G, 1)</f>
        <v/>
      </c>
      <c r="I2042" s="5">
        <f>G2042*H2042</f>
        <v/>
      </c>
      <c r="J2042" s="2">
        <f>XLOOKUP(E2042, '06_BANG_GIA_VAT_TU_AP_DUNG'!B:B, '06_BANG_GIA_VAT_TU_AP_DUNG'!C:C, "LỖI_MÃ_VT")</f>
        <v/>
      </c>
      <c r="K2042" s="2">
        <f>I2042*J2042</f>
        <v/>
      </c>
      <c r="L2042" t="inlineStr">
        <is>
          <t>3 trục dài 760mm</t>
        </is>
      </c>
    </row>
    <row r="2043">
      <c r="A2043" t="inlineStr">
        <is>
          <t>SW-DAMPER-511-BEARING</t>
        </is>
      </c>
      <c r="B2043" t="inlineStr">
        <is>
          <t>SW-DAMPER-511</t>
        </is>
      </c>
      <c r="C2043" t="inlineStr">
        <is>
          <t>Bạc đồng D10</t>
        </is>
      </c>
      <c r="D2043" t="inlineStr">
        <is>
          <t>PHỤ_KIỆN_VAN</t>
        </is>
      </c>
      <c r="E2043" t="inlineStr">
        <is>
          <t>MAT-DAMPER-BAC-DONG-D10</t>
        </is>
      </c>
      <c r="F2043" t="inlineStr">
        <is>
          <t>Đôi</t>
        </is>
      </c>
      <c r="G2043" s="4" t="n">
        <v>3</v>
      </c>
      <c r="H2043" s="2">
        <f>XLOOKUP(B2043, '00_TONG_HOP_BAO_GIA'!B:B, '00_TONG_HOP_BAO_GIA'!G:G, 1)</f>
        <v/>
      </c>
      <c r="I2043" s="5">
        <f>G2043*H2043</f>
        <v/>
      </c>
      <c r="J2043" s="2">
        <f>XLOOKUP(E2043, '06_BANG_GIA_VAT_TU_AP_DUNG'!B:B, '06_BANG_GIA_VAT_TU_AP_DUNG'!C:C, "LỖI_MÃ_VT")</f>
        <v/>
      </c>
      <c r="K2043" s="2">
        <f>I2043*J2043</f>
        <v/>
      </c>
      <c r="L2043" t="inlineStr">
        <is>
          <t>3 đôi bạc đỡ 2 bên thân</t>
        </is>
      </c>
    </row>
    <row r="2044">
      <c r="A2044" t="inlineStr">
        <is>
          <t>SW-DAMPER-511-GEAR</t>
        </is>
      </c>
      <c r="B2044" t="inlineStr">
        <is>
          <t>SW-DAMPER-511</t>
        </is>
      </c>
      <c r="C2044" t="inlineStr">
        <is>
          <t>Bánh răng van nhôm</t>
        </is>
      </c>
      <c r="D2044" t="inlineStr">
        <is>
          <t>PHỤ_KIỆN_VAN</t>
        </is>
      </c>
      <c r="E2044" t="inlineStr">
        <is>
          <t>MAT-DAMPER-BANH-RANG-VAN-NHOM</t>
        </is>
      </c>
      <c r="F2044" t="inlineStr">
        <is>
          <t>Bộ</t>
        </is>
      </c>
      <c r="G2044" s="4" t="n">
        <v>1</v>
      </c>
      <c r="H2044" s="2">
        <f>XLOOKUP(B2044, '00_TONG_HOP_BAO_GIA'!B:B, '00_TONG_HOP_BAO_GIA'!G:G, 1)</f>
        <v/>
      </c>
      <c r="I2044" s="5">
        <f>G2044*H2044</f>
        <v/>
      </c>
      <c r="J2044" s="2">
        <f>XLOOKUP(E2044, '06_BANG_GIA_VAT_TU_AP_DUNG'!B:B, '06_BANG_GIA_VAT_TU_AP_DUNG'!C:C, "LỖI_MÃ_VT")</f>
        <v/>
      </c>
      <c r="K2044" s="2">
        <f>I2044*J2044</f>
        <v/>
      </c>
      <c r="L2044" t="inlineStr">
        <is>
          <t>Cơ cấu liên động bánh răng van</t>
        </is>
      </c>
    </row>
    <row r="2045">
      <c r="A2045" t="inlineStr">
        <is>
          <t>SW-DAMPER-511-HANDLE</t>
        </is>
      </c>
      <c r="B2045" t="inlineStr">
        <is>
          <t>SW-DAMPER-511</t>
        </is>
      </c>
      <c r="C2045" t="inlineStr">
        <is>
          <t>Tay gạt nhỏ</t>
        </is>
      </c>
      <c r="D2045" t="inlineStr">
        <is>
          <t>PHỤ_KIỆN_VAN</t>
        </is>
      </c>
      <c r="E2045" t="inlineStr">
        <is>
          <t>MAT-DAMPER-TAY-GAT-NHO</t>
        </is>
      </c>
      <c r="F2045" t="inlineStr">
        <is>
          <t>Bộ</t>
        </is>
      </c>
      <c r="G2045" s="4" t="n">
        <v>1</v>
      </c>
      <c r="H2045" s="2">
        <f>XLOOKUP(B2045, '00_TONG_HOP_BAO_GIA'!B:B, '00_TONG_HOP_BAO_GIA'!G:G, 1)</f>
        <v/>
      </c>
      <c r="I2045" s="5">
        <f>G2045*H2045</f>
        <v/>
      </c>
      <c r="J2045" s="2">
        <f>XLOOKUP(E2045, '06_BANG_GIA_VAT_TU_AP_DUNG'!B:B, '06_BANG_GIA_VAT_TU_AP_DUNG'!C:C, "LỖI_MÃ_VT")</f>
        <v/>
      </c>
      <c r="K2045" s="2">
        <f>I2045*J2045</f>
        <v/>
      </c>
      <c r="L2045" t="inlineStr">
        <is>
          <t>Tay gạt khóa vị trí nan (S=0.28m2)</t>
        </is>
      </c>
    </row>
    <row r="2046">
      <c r="A2046" t="inlineStr">
        <is>
          <t>SW-DAMPER-512-BODY</t>
        </is>
      </c>
      <c r="B2046" t="inlineStr">
        <is>
          <t>SW-DAMPER-512</t>
        </is>
      </c>
      <c r="C2046" t="inlineStr">
        <is>
          <t>Thân vỏ van VCD bích TDF (0.95mm)</t>
        </is>
      </c>
      <c r="D2046" t="inlineStr">
        <is>
          <t>TÔN_CUỘN_MẠ_KẼM</t>
        </is>
      </c>
      <c r="E2046" t="inlineStr">
        <is>
          <t>MAT-STEEL-PN-0.95</t>
        </is>
      </c>
      <c r="F2046" t="inlineStr">
        <is>
          <t>kg</t>
        </is>
      </c>
      <c r="G2046" s="4" t="n">
        <v>6.2267142</v>
      </c>
      <c r="H2046" s="2">
        <f>XLOOKUP(B2046, '00_TONG_HOP_BAO_GIA'!B:B, '00_TONG_HOP_BAO_GIA'!G:G, 1)</f>
        <v/>
      </c>
      <c r="I2046" s="5">
        <f>G2046*H2046</f>
        <v/>
      </c>
      <c r="J2046" s="2">
        <f>XLOOKUP(E2046, '06_BANG_GIA_VAT_TU_AP_DUNG'!B:B, '06_BANG_GIA_VAT_TU_AP_DUNG'!C:C, "LỖI_MÃ_VT")</f>
        <v/>
      </c>
      <c r="K2046" s="2">
        <f>I2046*J2046</f>
        <v/>
      </c>
      <c r="L2046" t="inlineStr">
        <is>
          <t>Kích thước vỏ 900.0x500.0x210mm</t>
        </is>
      </c>
    </row>
    <row r="2047">
      <c r="A2047" t="inlineStr">
        <is>
          <t>SW-DAMPER-512-BLADE</t>
        </is>
      </c>
      <c r="B2047" t="inlineStr">
        <is>
          <t>SW-DAMPER-512</t>
        </is>
      </c>
      <c r="C2047" t="inlineStr">
        <is>
          <t>Lá cánh van (3 cánh overlap)</t>
        </is>
      </c>
      <c r="D2047" t="inlineStr">
        <is>
          <t>TÔN_CUỘN_MẠ_KẼM</t>
        </is>
      </c>
      <c r="E2047" t="inlineStr">
        <is>
          <t>MAT-STEEL-PN-0.75</t>
        </is>
      </c>
      <c r="F2047" t="inlineStr">
        <is>
          <t>kg</t>
        </is>
      </c>
      <c r="G2047" s="4" t="n">
        <v>3.204684</v>
      </c>
      <c r="H2047" s="2">
        <f>XLOOKUP(B2047, '00_TONG_HOP_BAO_GIA'!B:B, '00_TONG_HOP_BAO_GIA'!G:G, 1)</f>
        <v/>
      </c>
      <c r="I2047" s="5">
        <f>G2047*H2047</f>
        <v/>
      </c>
      <c r="J2047" s="2">
        <f>XLOOKUP(E2047, '06_BANG_GIA_VAT_TU_AP_DUNG'!B:B, '06_BANG_GIA_VAT_TU_AP_DUNG'!C:C, "LỖI_MÃ_VT")</f>
        <v/>
      </c>
      <c r="K2047" s="2">
        <f>I2047*J2047</f>
        <v/>
      </c>
      <c r="L2047" t="inlineStr">
        <is>
          <t>3 cánh cao 187mm</t>
        </is>
      </c>
    </row>
    <row r="2048">
      <c r="A2048" t="inlineStr">
        <is>
          <t>SW-DAMPER-512-AXLE</t>
        </is>
      </c>
      <c r="B2048" t="inlineStr">
        <is>
          <t>SW-DAMPER-512</t>
        </is>
      </c>
      <c r="C2048" t="inlineStr">
        <is>
          <t>Trục Sus 201 D10</t>
        </is>
      </c>
      <c r="D2048" t="inlineStr">
        <is>
          <t>PHỤ_KIỆN_VAN</t>
        </is>
      </c>
      <c r="E2048" t="inlineStr">
        <is>
          <t>MAT-DAMPER-TRUC-SUS-201-D10</t>
        </is>
      </c>
      <c r="F2048" t="inlineStr">
        <is>
          <t>m</t>
        </is>
      </c>
      <c r="G2048" s="4" t="n">
        <v>2.88</v>
      </c>
      <c r="H2048" s="2">
        <f>XLOOKUP(B2048, '00_TONG_HOP_BAO_GIA'!B:B, '00_TONG_HOP_BAO_GIA'!G:G, 1)</f>
        <v/>
      </c>
      <c r="I2048" s="5">
        <f>G2048*H2048</f>
        <v/>
      </c>
      <c r="J2048" s="2">
        <f>XLOOKUP(E2048, '06_BANG_GIA_VAT_TU_AP_DUNG'!B:B, '06_BANG_GIA_VAT_TU_AP_DUNG'!C:C, "LỖI_MÃ_VT")</f>
        <v/>
      </c>
      <c r="K2048" s="2">
        <f>I2048*J2048</f>
        <v/>
      </c>
      <c r="L2048" t="inlineStr">
        <is>
          <t>3 trục dài 960mm</t>
        </is>
      </c>
    </row>
    <row r="2049">
      <c r="A2049" t="inlineStr">
        <is>
          <t>SW-DAMPER-512-BEARING</t>
        </is>
      </c>
      <c r="B2049" t="inlineStr">
        <is>
          <t>SW-DAMPER-512</t>
        </is>
      </c>
      <c r="C2049" t="inlineStr">
        <is>
          <t>Bạc đồng D10</t>
        </is>
      </c>
      <c r="D2049" t="inlineStr">
        <is>
          <t>PHỤ_KIỆN_VAN</t>
        </is>
      </c>
      <c r="E2049" t="inlineStr">
        <is>
          <t>MAT-DAMPER-BAC-DONG-D10</t>
        </is>
      </c>
      <c r="F2049" t="inlineStr">
        <is>
          <t>Đôi</t>
        </is>
      </c>
      <c r="G2049" s="4" t="n">
        <v>3</v>
      </c>
      <c r="H2049" s="2">
        <f>XLOOKUP(B2049, '00_TONG_HOP_BAO_GIA'!B:B, '00_TONG_HOP_BAO_GIA'!G:G, 1)</f>
        <v/>
      </c>
      <c r="I2049" s="5">
        <f>G2049*H2049</f>
        <v/>
      </c>
      <c r="J2049" s="2">
        <f>XLOOKUP(E2049, '06_BANG_GIA_VAT_TU_AP_DUNG'!B:B, '06_BANG_GIA_VAT_TU_AP_DUNG'!C:C, "LỖI_MÃ_VT")</f>
        <v/>
      </c>
      <c r="K2049" s="2">
        <f>I2049*J2049</f>
        <v/>
      </c>
      <c r="L2049" t="inlineStr">
        <is>
          <t>3 đôi bạc đỡ 2 bên thân</t>
        </is>
      </c>
    </row>
    <row r="2050">
      <c r="A2050" t="inlineStr">
        <is>
          <t>SW-DAMPER-512-GEAR</t>
        </is>
      </c>
      <c r="B2050" t="inlineStr">
        <is>
          <t>SW-DAMPER-512</t>
        </is>
      </c>
      <c r="C2050" t="inlineStr">
        <is>
          <t>Bánh răng van nhôm</t>
        </is>
      </c>
      <c r="D2050" t="inlineStr">
        <is>
          <t>PHỤ_KIỆN_VAN</t>
        </is>
      </c>
      <c r="E2050" t="inlineStr">
        <is>
          <t>MAT-DAMPER-BANH-RANG-VAN-NHOM</t>
        </is>
      </c>
      <c r="F2050" t="inlineStr">
        <is>
          <t>Bộ</t>
        </is>
      </c>
      <c r="G2050" s="4" t="n">
        <v>1</v>
      </c>
      <c r="H2050" s="2">
        <f>XLOOKUP(B2050, '00_TONG_HOP_BAO_GIA'!B:B, '00_TONG_HOP_BAO_GIA'!G:G, 1)</f>
        <v/>
      </c>
      <c r="I2050" s="5">
        <f>G2050*H2050</f>
        <v/>
      </c>
      <c r="J2050" s="2">
        <f>XLOOKUP(E2050, '06_BANG_GIA_VAT_TU_AP_DUNG'!B:B, '06_BANG_GIA_VAT_TU_AP_DUNG'!C:C, "LỖI_MÃ_VT")</f>
        <v/>
      </c>
      <c r="K2050" s="2">
        <f>I2050*J2050</f>
        <v/>
      </c>
      <c r="L2050" t="inlineStr">
        <is>
          <t>Cơ cấu liên động bánh răng van</t>
        </is>
      </c>
    </row>
    <row r="2051">
      <c r="A2051" t="inlineStr">
        <is>
          <t>SW-DAMPER-512-HANDLE</t>
        </is>
      </c>
      <c r="B2051" t="inlineStr">
        <is>
          <t>SW-DAMPER-512</t>
        </is>
      </c>
      <c r="C2051" t="inlineStr">
        <is>
          <t>Tay gạt nhỏ</t>
        </is>
      </c>
      <c r="D2051" t="inlineStr">
        <is>
          <t>PHỤ_KIỆN_VAN</t>
        </is>
      </c>
      <c r="E2051" t="inlineStr">
        <is>
          <t>MAT-DAMPER-TAY-GAT-NHO</t>
        </is>
      </c>
      <c r="F2051" t="inlineStr">
        <is>
          <t>Bộ</t>
        </is>
      </c>
      <c r="G2051" s="4" t="n">
        <v>1</v>
      </c>
      <c r="H2051" s="2">
        <f>XLOOKUP(B2051, '00_TONG_HOP_BAO_GIA'!B:B, '00_TONG_HOP_BAO_GIA'!G:G, 1)</f>
        <v/>
      </c>
      <c r="I2051" s="5">
        <f>G2051*H2051</f>
        <v/>
      </c>
      <c r="J2051" s="2">
        <f>XLOOKUP(E2051, '06_BANG_GIA_VAT_TU_AP_DUNG'!B:B, '06_BANG_GIA_VAT_TU_AP_DUNG'!C:C, "LỖI_MÃ_VT")</f>
        <v/>
      </c>
      <c r="K2051" s="2">
        <f>I2051*J2051</f>
        <v/>
      </c>
      <c r="L2051" t="inlineStr">
        <is>
          <t>Tay gạt khóa vị trí nan (S=0.45m2)</t>
        </is>
      </c>
    </row>
    <row r="2052">
      <c r="A2052" t="inlineStr">
        <is>
          <t>SW-DAMPER-513-BODY</t>
        </is>
      </c>
      <c r="B2052" t="inlineStr">
        <is>
          <t>SW-DAMPER-513</t>
        </is>
      </c>
      <c r="C2052" t="inlineStr">
        <is>
          <t>Thân vỏ van VCD bích TDF (0.95mm)</t>
        </is>
      </c>
      <c r="D2052" t="inlineStr">
        <is>
          <t>TÔN_CUỘN_MẠ_KẼM</t>
        </is>
      </c>
      <c r="E2052" t="inlineStr">
        <is>
          <t>MAT-STEEL-PN-0.95</t>
        </is>
      </c>
      <c r="F2052" t="inlineStr">
        <is>
          <t>kg</t>
        </is>
      </c>
      <c r="G2052" s="4" t="n">
        <v>7.3229667</v>
      </c>
      <c r="H2052" s="2">
        <f>XLOOKUP(B2052, '00_TONG_HOP_BAO_GIA'!B:B, '00_TONG_HOP_BAO_GIA'!G:G, 1)</f>
        <v/>
      </c>
      <c r="I2052" s="5">
        <f>G2052*H2052</f>
        <v/>
      </c>
      <c r="J2052" s="2">
        <f>XLOOKUP(E2052, '06_BANG_GIA_VAT_TU_AP_DUNG'!B:B, '06_BANG_GIA_VAT_TU_AP_DUNG'!C:C, "LỖI_MÃ_VT")</f>
        <v/>
      </c>
      <c r="K2052" s="2">
        <f>I2052*J2052</f>
        <v/>
      </c>
      <c r="L2052" t="inlineStr">
        <is>
          <t>Kích thước vỏ 1100.0x550.0x210mm</t>
        </is>
      </c>
    </row>
    <row r="2053">
      <c r="A2053" t="inlineStr">
        <is>
          <t>SW-DAMPER-513-BLADE</t>
        </is>
      </c>
      <c r="B2053" t="inlineStr">
        <is>
          <t>SW-DAMPER-513</t>
        </is>
      </c>
      <c r="C2053" t="inlineStr">
        <is>
          <t>Lá cánh van (4 cánh overlap)</t>
        </is>
      </c>
      <c r="D2053" t="inlineStr">
        <is>
          <t>TÔN_CUỘN_MẠ_KẼM</t>
        </is>
      </c>
      <c r="E2053" t="inlineStr">
        <is>
          <t>MAT-STEEL-PN-0.75</t>
        </is>
      </c>
      <c r="F2053" t="inlineStr">
        <is>
          <t>kg</t>
        </is>
      </c>
      <c r="G2053" s="4" t="n">
        <v>4.4064405</v>
      </c>
      <c r="H2053" s="2">
        <f>XLOOKUP(B2053, '00_TONG_HOP_BAO_GIA'!B:B, '00_TONG_HOP_BAO_GIA'!G:G, 1)</f>
        <v/>
      </c>
      <c r="I2053" s="5">
        <f>G2053*H2053</f>
        <v/>
      </c>
      <c r="J2053" s="2">
        <f>XLOOKUP(E2053, '06_BANG_GIA_VAT_TU_AP_DUNG'!B:B, '06_BANG_GIA_VAT_TU_AP_DUNG'!C:C, "LỖI_MÃ_VT")</f>
        <v/>
      </c>
      <c r="K2053" s="2">
        <f>I2053*J2053</f>
        <v/>
      </c>
      <c r="L2053" t="inlineStr">
        <is>
          <t>4 cánh cao 158mm</t>
        </is>
      </c>
    </row>
    <row r="2054">
      <c r="A2054" t="inlineStr">
        <is>
          <t>SW-DAMPER-513-AXLE</t>
        </is>
      </c>
      <c r="B2054" t="inlineStr">
        <is>
          <t>SW-DAMPER-513</t>
        </is>
      </c>
      <c r="C2054" t="inlineStr">
        <is>
          <t>Trục Sus 201 D10</t>
        </is>
      </c>
      <c r="D2054" t="inlineStr">
        <is>
          <t>PHỤ_KIỆN_VAN</t>
        </is>
      </c>
      <c r="E2054" t="inlineStr">
        <is>
          <t>MAT-DAMPER-TRUC-SUS-201-D10</t>
        </is>
      </c>
      <c r="F2054" t="inlineStr">
        <is>
          <t>m</t>
        </is>
      </c>
      <c r="G2054" s="4" t="n">
        <v>4.64</v>
      </c>
      <c r="H2054" s="2">
        <f>XLOOKUP(B2054, '00_TONG_HOP_BAO_GIA'!B:B, '00_TONG_HOP_BAO_GIA'!G:G, 1)</f>
        <v/>
      </c>
      <c r="I2054" s="5">
        <f>G2054*H2054</f>
        <v/>
      </c>
      <c r="J2054" s="2">
        <f>XLOOKUP(E2054, '06_BANG_GIA_VAT_TU_AP_DUNG'!B:B, '06_BANG_GIA_VAT_TU_AP_DUNG'!C:C, "LỖI_MÃ_VT")</f>
        <v/>
      </c>
      <c r="K2054" s="2">
        <f>I2054*J2054</f>
        <v/>
      </c>
      <c r="L2054" t="inlineStr">
        <is>
          <t>4 trục dài 1160mm</t>
        </is>
      </c>
    </row>
    <row r="2055">
      <c r="A2055" t="inlineStr">
        <is>
          <t>SW-DAMPER-513-BEARING</t>
        </is>
      </c>
      <c r="B2055" t="inlineStr">
        <is>
          <t>SW-DAMPER-513</t>
        </is>
      </c>
      <c r="C2055" t="inlineStr">
        <is>
          <t>Bạc đồng D10</t>
        </is>
      </c>
      <c r="D2055" t="inlineStr">
        <is>
          <t>PHỤ_KIỆN_VAN</t>
        </is>
      </c>
      <c r="E2055" t="inlineStr">
        <is>
          <t>MAT-DAMPER-BAC-DONG-D10</t>
        </is>
      </c>
      <c r="F2055" t="inlineStr">
        <is>
          <t>Đôi</t>
        </is>
      </c>
      <c r="G2055" s="4" t="n">
        <v>4</v>
      </c>
      <c r="H2055" s="2">
        <f>XLOOKUP(B2055, '00_TONG_HOP_BAO_GIA'!B:B, '00_TONG_HOP_BAO_GIA'!G:G, 1)</f>
        <v/>
      </c>
      <c r="I2055" s="5">
        <f>G2055*H2055</f>
        <v/>
      </c>
      <c r="J2055" s="2">
        <f>XLOOKUP(E2055, '06_BANG_GIA_VAT_TU_AP_DUNG'!B:B, '06_BANG_GIA_VAT_TU_AP_DUNG'!C:C, "LỖI_MÃ_VT")</f>
        <v/>
      </c>
      <c r="K2055" s="2">
        <f>I2055*J2055</f>
        <v/>
      </c>
      <c r="L2055" t="inlineStr">
        <is>
          <t>4 đôi bạc đỡ 2 bên thân</t>
        </is>
      </c>
    </row>
    <row r="2056">
      <c r="A2056" t="inlineStr">
        <is>
          <t>SW-DAMPER-513-GEAR</t>
        </is>
      </c>
      <c r="B2056" t="inlineStr">
        <is>
          <t>SW-DAMPER-513</t>
        </is>
      </c>
      <c r="C2056" t="inlineStr">
        <is>
          <t>Bánh răng van nhôm</t>
        </is>
      </c>
      <c r="D2056" t="inlineStr">
        <is>
          <t>PHỤ_KIỆN_VAN</t>
        </is>
      </c>
      <c r="E2056" t="inlineStr">
        <is>
          <t>MAT-DAMPER-BANH-RANG-VAN-NHOM</t>
        </is>
      </c>
      <c r="F2056" t="inlineStr">
        <is>
          <t>Bộ</t>
        </is>
      </c>
      <c r="G2056" s="4" t="n">
        <v>1</v>
      </c>
      <c r="H2056" s="2">
        <f>XLOOKUP(B2056, '00_TONG_HOP_BAO_GIA'!B:B, '00_TONG_HOP_BAO_GIA'!G:G, 1)</f>
        <v/>
      </c>
      <c r="I2056" s="5">
        <f>G2056*H2056</f>
        <v/>
      </c>
      <c r="J2056" s="2">
        <f>XLOOKUP(E2056, '06_BANG_GIA_VAT_TU_AP_DUNG'!B:B, '06_BANG_GIA_VAT_TU_AP_DUNG'!C:C, "LỖI_MÃ_VT")</f>
        <v/>
      </c>
      <c r="K2056" s="2">
        <f>I2056*J2056</f>
        <v/>
      </c>
      <c r="L2056" t="inlineStr">
        <is>
          <t>Cơ cấu liên động bánh răng van</t>
        </is>
      </c>
    </row>
    <row r="2057">
      <c r="A2057" t="inlineStr">
        <is>
          <t>SW-DAMPER-513-HANDLE</t>
        </is>
      </c>
      <c r="B2057" t="inlineStr">
        <is>
          <t>SW-DAMPER-513</t>
        </is>
      </c>
      <c r="C2057" t="inlineStr">
        <is>
          <t>Tay gạt trung bình</t>
        </is>
      </c>
      <c r="D2057" t="inlineStr">
        <is>
          <t>PHỤ_KIỆN_VAN</t>
        </is>
      </c>
      <c r="E2057" t="inlineStr">
        <is>
          <t>MAT-DAMPER-TAY-GAT-TRUNG-BINH</t>
        </is>
      </c>
      <c r="F2057" t="inlineStr">
        <is>
          <t>Bộ</t>
        </is>
      </c>
      <c r="G2057" s="4" t="n">
        <v>1</v>
      </c>
      <c r="H2057" s="2">
        <f>XLOOKUP(B2057, '00_TONG_HOP_BAO_GIA'!B:B, '00_TONG_HOP_BAO_GIA'!G:G, 1)</f>
        <v/>
      </c>
      <c r="I2057" s="5">
        <f>G2057*H2057</f>
        <v/>
      </c>
      <c r="J2057" s="2">
        <f>XLOOKUP(E2057, '06_BANG_GIA_VAT_TU_AP_DUNG'!B:B, '06_BANG_GIA_VAT_TU_AP_DUNG'!C:C, "LỖI_MÃ_VT")</f>
        <v/>
      </c>
      <c r="K2057" s="2">
        <f>I2057*J2057</f>
        <v/>
      </c>
      <c r="L2057" t="inlineStr">
        <is>
          <t>Tay gạt khóa vị trí nan (S=0.60m2)</t>
        </is>
      </c>
    </row>
    <row r="2058">
      <c r="A2058" t="inlineStr">
        <is>
          <t>SW-DAMPER-514-BODY</t>
        </is>
      </c>
      <c r="B2058" t="inlineStr">
        <is>
          <t>SW-DAMPER-514</t>
        </is>
      </c>
      <c r="C2058" t="inlineStr">
        <is>
          <t>Thân vỏ van VCD bích TDF (0.95mm)</t>
        </is>
      </c>
      <c r="D2058" t="inlineStr">
        <is>
          <t>TÔN_CUỘN_MẠ_KẼM</t>
        </is>
      </c>
      <c r="E2058" t="inlineStr">
        <is>
          <t>MAT-STEEL-PN-0.95</t>
        </is>
      </c>
      <c r="F2058" t="inlineStr">
        <is>
          <t>kg</t>
        </is>
      </c>
      <c r="G2058" s="4" t="n">
        <v>7.761467700000001</v>
      </c>
      <c r="H2058" s="2">
        <f>XLOOKUP(B2058, '00_TONG_HOP_BAO_GIA'!B:B, '00_TONG_HOP_BAO_GIA'!G:G, 1)</f>
        <v/>
      </c>
      <c r="I2058" s="5">
        <f>G2058*H2058</f>
        <v/>
      </c>
      <c r="J2058" s="2">
        <f>XLOOKUP(E2058, '06_BANG_GIA_VAT_TU_AP_DUNG'!B:B, '06_BANG_GIA_VAT_TU_AP_DUNG'!C:C, "LỖI_MÃ_VT")</f>
        <v/>
      </c>
      <c r="K2058" s="2">
        <f>I2058*J2058</f>
        <v/>
      </c>
      <c r="L2058" t="inlineStr">
        <is>
          <t>Kích thước vỏ 1200.0x550.0x210mm</t>
        </is>
      </c>
    </row>
    <row r="2059">
      <c r="A2059" t="inlineStr">
        <is>
          <t>SW-DAMPER-514-BLADE</t>
        </is>
      </c>
      <c r="B2059" t="inlineStr">
        <is>
          <t>SW-DAMPER-514</t>
        </is>
      </c>
      <c r="C2059" t="inlineStr">
        <is>
          <t>Lá cánh van (4 cánh overlap)</t>
        </is>
      </c>
      <c r="D2059" t="inlineStr">
        <is>
          <t>TÔN_CUỘN_MẠ_KẼM</t>
        </is>
      </c>
      <c r="E2059" t="inlineStr">
        <is>
          <t>MAT-STEEL-PN-0.75</t>
        </is>
      </c>
      <c r="F2059" t="inlineStr">
        <is>
          <t>kg</t>
        </is>
      </c>
      <c r="G2059" s="4" t="n">
        <v>4.807026</v>
      </c>
      <c r="H2059" s="2">
        <f>XLOOKUP(B2059, '00_TONG_HOP_BAO_GIA'!B:B, '00_TONG_HOP_BAO_GIA'!G:G, 1)</f>
        <v/>
      </c>
      <c r="I2059" s="5">
        <f>G2059*H2059</f>
        <v/>
      </c>
      <c r="J2059" s="2">
        <f>XLOOKUP(E2059, '06_BANG_GIA_VAT_TU_AP_DUNG'!B:B, '06_BANG_GIA_VAT_TU_AP_DUNG'!C:C, "LỖI_MÃ_VT")</f>
        <v/>
      </c>
      <c r="K2059" s="2">
        <f>I2059*J2059</f>
        <v/>
      </c>
      <c r="L2059" t="inlineStr">
        <is>
          <t>4 cánh cao 158mm</t>
        </is>
      </c>
    </row>
    <row r="2060">
      <c r="A2060" t="inlineStr">
        <is>
          <t>SW-DAMPER-514-AXLE</t>
        </is>
      </c>
      <c r="B2060" t="inlineStr">
        <is>
          <t>SW-DAMPER-514</t>
        </is>
      </c>
      <c r="C2060" t="inlineStr">
        <is>
          <t>Trục Sus 201 D10</t>
        </is>
      </c>
      <c r="D2060" t="inlineStr">
        <is>
          <t>PHỤ_KIỆN_VAN</t>
        </is>
      </c>
      <c r="E2060" t="inlineStr">
        <is>
          <t>MAT-DAMPER-TRUC-SUS-201-D10</t>
        </is>
      </c>
      <c r="F2060" t="inlineStr">
        <is>
          <t>m</t>
        </is>
      </c>
      <c r="G2060" s="4" t="n">
        <v>5.04</v>
      </c>
      <c r="H2060" s="2">
        <f>XLOOKUP(B2060, '00_TONG_HOP_BAO_GIA'!B:B, '00_TONG_HOP_BAO_GIA'!G:G, 1)</f>
        <v/>
      </c>
      <c r="I2060" s="5">
        <f>G2060*H2060</f>
        <v/>
      </c>
      <c r="J2060" s="2">
        <f>XLOOKUP(E2060, '06_BANG_GIA_VAT_TU_AP_DUNG'!B:B, '06_BANG_GIA_VAT_TU_AP_DUNG'!C:C, "LỖI_MÃ_VT")</f>
        <v/>
      </c>
      <c r="K2060" s="2">
        <f>I2060*J2060</f>
        <v/>
      </c>
      <c r="L2060" t="inlineStr">
        <is>
          <t>4 trục dài 1260mm</t>
        </is>
      </c>
    </row>
    <row r="2061">
      <c r="A2061" t="inlineStr">
        <is>
          <t>SW-DAMPER-514-BEARING</t>
        </is>
      </c>
      <c r="B2061" t="inlineStr">
        <is>
          <t>SW-DAMPER-514</t>
        </is>
      </c>
      <c r="C2061" t="inlineStr">
        <is>
          <t>Bạc đồng D10</t>
        </is>
      </c>
      <c r="D2061" t="inlineStr">
        <is>
          <t>PHỤ_KIỆN_VAN</t>
        </is>
      </c>
      <c r="E2061" t="inlineStr">
        <is>
          <t>MAT-DAMPER-BAC-DONG-D10</t>
        </is>
      </c>
      <c r="F2061" t="inlineStr">
        <is>
          <t>Đôi</t>
        </is>
      </c>
      <c r="G2061" s="4" t="n">
        <v>4</v>
      </c>
      <c r="H2061" s="2">
        <f>XLOOKUP(B2061, '00_TONG_HOP_BAO_GIA'!B:B, '00_TONG_HOP_BAO_GIA'!G:G, 1)</f>
        <v/>
      </c>
      <c r="I2061" s="5">
        <f>G2061*H2061</f>
        <v/>
      </c>
      <c r="J2061" s="2">
        <f>XLOOKUP(E2061, '06_BANG_GIA_VAT_TU_AP_DUNG'!B:B, '06_BANG_GIA_VAT_TU_AP_DUNG'!C:C, "LỖI_MÃ_VT")</f>
        <v/>
      </c>
      <c r="K2061" s="2">
        <f>I2061*J2061</f>
        <v/>
      </c>
      <c r="L2061" t="inlineStr">
        <is>
          <t>4 đôi bạc đỡ 2 bên thân</t>
        </is>
      </c>
    </row>
    <row r="2062">
      <c r="A2062" t="inlineStr">
        <is>
          <t>SW-DAMPER-514-GEAR</t>
        </is>
      </c>
      <c r="B2062" t="inlineStr">
        <is>
          <t>SW-DAMPER-514</t>
        </is>
      </c>
      <c r="C2062" t="inlineStr">
        <is>
          <t>Bánh răng van nhôm</t>
        </is>
      </c>
      <c r="D2062" t="inlineStr">
        <is>
          <t>PHỤ_KIỆN_VAN</t>
        </is>
      </c>
      <c r="E2062" t="inlineStr">
        <is>
          <t>MAT-DAMPER-BANH-RANG-VAN-NHOM</t>
        </is>
      </c>
      <c r="F2062" t="inlineStr">
        <is>
          <t>Bộ</t>
        </is>
      </c>
      <c r="G2062" s="4" t="n">
        <v>1</v>
      </c>
      <c r="H2062" s="2">
        <f>XLOOKUP(B2062, '00_TONG_HOP_BAO_GIA'!B:B, '00_TONG_HOP_BAO_GIA'!G:G, 1)</f>
        <v/>
      </c>
      <c r="I2062" s="5">
        <f>G2062*H2062</f>
        <v/>
      </c>
      <c r="J2062" s="2">
        <f>XLOOKUP(E2062, '06_BANG_GIA_VAT_TU_AP_DUNG'!B:B, '06_BANG_GIA_VAT_TU_AP_DUNG'!C:C, "LỖI_MÃ_VT")</f>
        <v/>
      </c>
      <c r="K2062" s="2">
        <f>I2062*J2062</f>
        <v/>
      </c>
      <c r="L2062" t="inlineStr">
        <is>
          <t>Cơ cấu liên động bánh răng van</t>
        </is>
      </c>
    </row>
    <row r="2063">
      <c r="A2063" t="inlineStr">
        <is>
          <t>SW-DAMPER-514-HANDLE</t>
        </is>
      </c>
      <c r="B2063" t="inlineStr">
        <is>
          <t>SW-DAMPER-514</t>
        </is>
      </c>
      <c r="C2063" t="inlineStr">
        <is>
          <t>Tay gạt trung bình</t>
        </is>
      </c>
      <c r="D2063" t="inlineStr">
        <is>
          <t>PHỤ_KIỆN_VAN</t>
        </is>
      </c>
      <c r="E2063" t="inlineStr">
        <is>
          <t>MAT-DAMPER-TAY-GAT-TRUNG-BINH</t>
        </is>
      </c>
      <c r="F2063" t="inlineStr">
        <is>
          <t>Bộ</t>
        </is>
      </c>
      <c r="G2063" s="4" t="n">
        <v>1</v>
      </c>
      <c r="H2063" s="2">
        <f>XLOOKUP(B2063, '00_TONG_HOP_BAO_GIA'!B:B, '00_TONG_HOP_BAO_GIA'!G:G, 1)</f>
        <v/>
      </c>
      <c r="I2063" s="5">
        <f>G2063*H2063</f>
        <v/>
      </c>
      <c r="J2063" s="2">
        <f>XLOOKUP(E2063, '06_BANG_GIA_VAT_TU_AP_DUNG'!B:B, '06_BANG_GIA_VAT_TU_AP_DUNG'!C:C, "LỖI_MÃ_VT")</f>
        <v/>
      </c>
      <c r="K2063" s="2">
        <f>I2063*J2063</f>
        <v/>
      </c>
      <c r="L2063" t="inlineStr">
        <is>
          <t>Tay gạt khóa vị trí nan (S=0.66m2)</t>
        </is>
      </c>
    </row>
    <row r="2064">
      <c r="A2064" t="inlineStr">
        <is>
          <t>SW-DAMPER-515-BODY</t>
        </is>
      </c>
      <c r="B2064" t="inlineStr">
        <is>
          <t>SW-DAMPER-515</t>
        </is>
      </c>
      <c r="C2064" t="inlineStr">
        <is>
          <t>Thân vỏ van VCD bích TDF (0.95mm)</t>
        </is>
      </c>
      <c r="D2064" t="inlineStr">
        <is>
          <t>TÔN_CUỘN_MẠ_KẼM</t>
        </is>
      </c>
      <c r="E2064" t="inlineStr">
        <is>
          <t>MAT-STEEL-PN-0.95</t>
        </is>
      </c>
      <c r="F2064" t="inlineStr">
        <is>
          <t>kg</t>
        </is>
      </c>
      <c r="G2064" s="4" t="n">
        <v>8.199968699999999</v>
      </c>
      <c r="H2064" s="2">
        <f>XLOOKUP(B2064, '00_TONG_HOP_BAO_GIA'!B:B, '00_TONG_HOP_BAO_GIA'!G:G, 1)</f>
        <v/>
      </c>
      <c r="I2064" s="5">
        <f>G2064*H2064</f>
        <v/>
      </c>
      <c r="J2064" s="2">
        <f>XLOOKUP(E2064, '06_BANG_GIA_VAT_TU_AP_DUNG'!B:B, '06_BANG_GIA_VAT_TU_AP_DUNG'!C:C, "LỖI_MÃ_VT")</f>
        <v/>
      </c>
      <c r="K2064" s="2">
        <f>I2064*J2064</f>
        <v/>
      </c>
      <c r="L2064" t="inlineStr">
        <is>
          <t>Kích thước vỏ 1250.0x600.0x210mm</t>
        </is>
      </c>
    </row>
    <row r="2065">
      <c r="A2065" t="inlineStr">
        <is>
          <t>SW-DAMPER-515-BLADE</t>
        </is>
      </c>
      <c r="B2065" t="inlineStr">
        <is>
          <t>SW-DAMPER-515</t>
        </is>
      </c>
      <c r="C2065" t="inlineStr">
        <is>
          <t>Lá cánh van (4 cánh overlap)</t>
        </is>
      </c>
      <c r="D2065" t="inlineStr">
        <is>
          <t>TÔN_CUỘN_MẠ_KẼM</t>
        </is>
      </c>
      <c r="E2065" t="inlineStr">
        <is>
          <t>MAT-STEEL-PN-0.75</t>
        </is>
      </c>
      <c r="F2065" t="inlineStr">
        <is>
          <t>kg</t>
        </is>
      </c>
      <c r="G2065" s="4" t="n">
        <v>5.404725</v>
      </c>
      <c r="H2065" s="2">
        <f>XLOOKUP(B2065, '00_TONG_HOP_BAO_GIA'!B:B, '00_TONG_HOP_BAO_GIA'!G:G, 1)</f>
        <v/>
      </c>
      <c r="I2065" s="5">
        <f>G2065*H2065</f>
        <v/>
      </c>
      <c r="J2065" s="2">
        <f>XLOOKUP(E2065, '06_BANG_GIA_VAT_TU_AP_DUNG'!B:B, '06_BANG_GIA_VAT_TU_AP_DUNG'!C:C, "LỖI_MÃ_VT")</f>
        <v/>
      </c>
      <c r="K2065" s="2">
        <f>I2065*J2065</f>
        <v/>
      </c>
      <c r="L2065" t="inlineStr">
        <is>
          <t>4 cánh cao 170mm</t>
        </is>
      </c>
    </row>
    <row r="2066">
      <c r="A2066" t="inlineStr">
        <is>
          <t>SW-DAMPER-515-AXLE</t>
        </is>
      </c>
      <c r="B2066" t="inlineStr">
        <is>
          <t>SW-DAMPER-515</t>
        </is>
      </c>
      <c r="C2066" t="inlineStr">
        <is>
          <t>Trục Sus 201 D10</t>
        </is>
      </c>
      <c r="D2066" t="inlineStr">
        <is>
          <t>PHỤ_KIỆN_VAN</t>
        </is>
      </c>
      <c r="E2066" t="inlineStr">
        <is>
          <t>MAT-DAMPER-TRUC-SUS-201-D10</t>
        </is>
      </c>
      <c r="F2066" t="inlineStr">
        <is>
          <t>m</t>
        </is>
      </c>
      <c r="G2066" s="4" t="n">
        <v>5.24</v>
      </c>
      <c r="H2066" s="2">
        <f>XLOOKUP(B2066, '00_TONG_HOP_BAO_GIA'!B:B, '00_TONG_HOP_BAO_GIA'!G:G, 1)</f>
        <v/>
      </c>
      <c r="I2066" s="5">
        <f>G2066*H2066</f>
        <v/>
      </c>
      <c r="J2066" s="2">
        <f>XLOOKUP(E2066, '06_BANG_GIA_VAT_TU_AP_DUNG'!B:B, '06_BANG_GIA_VAT_TU_AP_DUNG'!C:C, "LỖI_MÃ_VT")</f>
        <v/>
      </c>
      <c r="K2066" s="2">
        <f>I2066*J2066</f>
        <v/>
      </c>
      <c r="L2066" t="inlineStr">
        <is>
          <t>4 trục dài 1310mm</t>
        </is>
      </c>
    </row>
    <row r="2067">
      <c r="A2067" t="inlineStr">
        <is>
          <t>SW-DAMPER-515-BEARING</t>
        </is>
      </c>
      <c r="B2067" t="inlineStr">
        <is>
          <t>SW-DAMPER-515</t>
        </is>
      </c>
      <c r="C2067" t="inlineStr">
        <is>
          <t>Bạc đồng D10</t>
        </is>
      </c>
      <c r="D2067" t="inlineStr">
        <is>
          <t>PHỤ_KIỆN_VAN</t>
        </is>
      </c>
      <c r="E2067" t="inlineStr">
        <is>
          <t>MAT-DAMPER-BAC-DONG-D10</t>
        </is>
      </c>
      <c r="F2067" t="inlineStr">
        <is>
          <t>Đôi</t>
        </is>
      </c>
      <c r="G2067" s="4" t="n">
        <v>4</v>
      </c>
      <c r="H2067" s="2">
        <f>XLOOKUP(B2067, '00_TONG_HOP_BAO_GIA'!B:B, '00_TONG_HOP_BAO_GIA'!G:G, 1)</f>
        <v/>
      </c>
      <c r="I2067" s="5">
        <f>G2067*H2067</f>
        <v/>
      </c>
      <c r="J2067" s="2">
        <f>XLOOKUP(E2067, '06_BANG_GIA_VAT_TU_AP_DUNG'!B:B, '06_BANG_GIA_VAT_TU_AP_DUNG'!C:C, "LỖI_MÃ_VT")</f>
        <v/>
      </c>
      <c r="K2067" s="2">
        <f>I2067*J2067</f>
        <v/>
      </c>
      <c r="L2067" t="inlineStr">
        <is>
          <t>4 đôi bạc đỡ 2 bên thân</t>
        </is>
      </c>
    </row>
    <row r="2068">
      <c r="A2068" t="inlineStr">
        <is>
          <t>SW-DAMPER-515-GEAR</t>
        </is>
      </c>
      <c r="B2068" t="inlineStr">
        <is>
          <t>SW-DAMPER-515</t>
        </is>
      </c>
      <c r="C2068" t="inlineStr">
        <is>
          <t>Bánh răng van nhôm</t>
        </is>
      </c>
      <c r="D2068" t="inlineStr">
        <is>
          <t>PHỤ_KIỆN_VAN</t>
        </is>
      </c>
      <c r="E2068" t="inlineStr">
        <is>
          <t>MAT-DAMPER-BANH-RANG-VAN-NHOM</t>
        </is>
      </c>
      <c r="F2068" t="inlineStr">
        <is>
          <t>Bộ</t>
        </is>
      </c>
      <c r="G2068" s="4" t="n">
        <v>1</v>
      </c>
      <c r="H2068" s="2">
        <f>XLOOKUP(B2068, '00_TONG_HOP_BAO_GIA'!B:B, '00_TONG_HOP_BAO_GIA'!G:G, 1)</f>
        <v/>
      </c>
      <c r="I2068" s="5">
        <f>G2068*H2068</f>
        <v/>
      </c>
      <c r="J2068" s="2">
        <f>XLOOKUP(E2068, '06_BANG_GIA_VAT_TU_AP_DUNG'!B:B, '06_BANG_GIA_VAT_TU_AP_DUNG'!C:C, "LỖI_MÃ_VT")</f>
        <v/>
      </c>
      <c r="K2068" s="2">
        <f>I2068*J2068</f>
        <v/>
      </c>
      <c r="L2068" t="inlineStr">
        <is>
          <t>Cơ cấu liên động bánh răng van</t>
        </is>
      </c>
    </row>
    <row r="2069">
      <c r="A2069" t="inlineStr">
        <is>
          <t>SW-DAMPER-515-HANDLE</t>
        </is>
      </c>
      <c r="B2069" t="inlineStr">
        <is>
          <t>SW-DAMPER-515</t>
        </is>
      </c>
      <c r="C2069" t="inlineStr">
        <is>
          <t>Tay gạt trung bình</t>
        </is>
      </c>
      <c r="D2069" t="inlineStr">
        <is>
          <t>PHỤ_KIỆN_VAN</t>
        </is>
      </c>
      <c r="E2069" t="inlineStr">
        <is>
          <t>MAT-DAMPER-TAY-GAT-TRUNG-BINH</t>
        </is>
      </c>
      <c r="F2069" t="inlineStr">
        <is>
          <t>Bộ</t>
        </is>
      </c>
      <c r="G2069" s="4" t="n">
        <v>1</v>
      </c>
      <c r="H2069" s="2">
        <f>XLOOKUP(B2069, '00_TONG_HOP_BAO_GIA'!B:B, '00_TONG_HOP_BAO_GIA'!G:G, 1)</f>
        <v/>
      </c>
      <c r="I2069" s="5">
        <f>G2069*H2069</f>
        <v/>
      </c>
      <c r="J2069" s="2">
        <f>XLOOKUP(E2069, '06_BANG_GIA_VAT_TU_AP_DUNG'!B:B, '06_BANG_GIA_VAT_TU_AP_DUNG'!C:C, "LỖI_MÃ_VT")</f>
        <v/>
      </c>
      <c r="K2069" s="2">
        <f>I2069*J2069</f>
        <v/>
      </c>
      <c r="L2069" t="inlineStr">
        <is>
          <t>Tay gạt khóa vị trí nan (S=0.75m2)</t>
        </is>
      </c>
    </row>
    <row r="2070">
      <c r="A2070" t="inlineStr">
        <is>
          <t>SW-DAMPER-516-BODY</t>
        </is>
      </c>
      <c r="B2070" t="inlineStr">
        <is>
          <t>SW-DAMPER-516</t>
        </is>
      </c>
      <c r="C2070" t="inlineStr">
        <is>
          <t>Thân vỏ van VCD bích TDF (0.95mm)</t>
        </is>
      </c>
      <c r="D2070" t="inlineStr">
        <is>
          <t>TÔN_CUỘN_MẠ_KẼM</t>
        </is>
      </c>
      <c r="E2070" t="inlineStr">
        <is>
          <t>MAT-STEEL-PN-0.95</t>
        </is>
      </c>
      <c r="F2070" t="inlineStr">
        <is>
          <t>kg</t>
        </is>
      </c>
      <c r="G2070" s="4" t="n">
        <v>8.638469700000002</v>
      </c>
      <c r="H2070" s="2">
        <f>XLOOKUP(B2070, '00_TONG_HOP_BAO_GIA'!B:B, '00_TONG_HOP_BAO_GIA'!G:G, 1)</f>
        <v/>
      </c>
      <c r="I2070" s="5">
        <f>G2070*H2070</f>
        <v/>
      </c>
      <c r="J2070" s="2">
        <f>XLOOKUP(E2070, '06_BANG_GIA_VAT_TU_AP_DUNG'!B:B, '06_BANG_GIA_VAT_TU_AP_DUNG'!C:C, "LỖI_MÃ_VT")</f>
        <v/>
      </c>
      <c r="K2070" s="2">
        <f>I2070*J2070</f>
        <v/>
      </c>
      <c r="L2070" t="inlineStr">
        <is>
          <t>Kích thước vỏ 1300.0x650.0x210mm</t>
        </is>
      </c>
    </row>
    <row r="2071">
      <c r="A2071" t="inlineStr">
        <is>
          <t>SW-DAMPER-516-BLADE</t>
        </is>
      </c>
      <c r="B2071" t="inlineStr">
        <is>
          <t>SW-DAMPER-516</t>
        </is>
      </c>
      <c r="C2071" t="inlineStr">
        <is>
          <t>Lá cánh van (4 cánh overlap)</t>
        </is>
      </c>
      <c r="D2071" t="inlineStr">
        <is>
          <t>TÔN_CUỘN_MẠ_KẼM</t>
        </is>
      </c>
      <c r="E2071" t="inlineStr">
        <is>
          <t>MAT-STEEL-PN-0.75</t>
        </is>
      </c>
      <c r="F2071" t="inlineStr">
        <is>
          <t>kg</t>
        </is>
      </c>
      <c r="G2071" s="4" t="n">
        <v>6.034216499999999</v>
      </c>
      <c r="H2071" s="2">
        <f>XLOOKUP(B2071, '00_TONG_HOP_BAO_GIA'!B:B, '00_TONG_HOP_BAO_GIA'!G:G, 1)</f>
        <v/>
      </c>
      <c r="I2071" s="5">
        <f>G2071*H2071</f>
        <v/>
      </c>
      <c r="J2071" s="2">
        <f>XLOOKUP(E2071, '06_BANG_GIA_VAT_TU_AP_DUNG'!B:B, '06_BANG_GIA_VAT_TU_AP_DUNG'!C:C, "LỖI_MÃ_VT")</f>
        <v/>
      </c>
      <c r="K2071" s="2">
        <f>I2071*J2071</f>
        <v/>
      </c>
      <c r="L2071" t="inlineStr">
        <is>
          <t>4 cánh cao 182mm</t>
        </is>
      </c>
    </row>
    <row r="2072">
      <c r="A2072" t="inlineStr">
        <is>
          <t>SW-DAMPER-516-AXLE</t>
        </is>
      </c>
      <c r="B2072" t="inlineStr">
        <is>
          <t>SW-DAMPER-516</t>
        </is>
      </c>
      <c r="C2072" t="inlineStr">
        <is>
          <t>Trục Sus 201 D10</t>
        </is>
      </c>
      <c r="D2072" t="inlineStr">
        <is>
          <t>PHỤ_KIỆN_VAN</t>
        </is>
      </c>
      <c r="E2072" t="inlineStr">
        <is>
          <t>MAT-DAMPER-TRUC-SUS-201-D10</t>
        </is>
      </c>
      <c r="F2072" t="inlineStr">
        <is>
          <t>m</t>
        </is>
      </c>
      <c r="G2072" s="4" t="n">
        <v>5.44</v>
      </c>
      <c r="H2072" s="2">
        <f>XLOOKUP(B2072, '00_TONG_HOP_BAO_GIA'!B:B, '00_TONG_HOP_BAO_GIA'!G:G, 1)</f>
        <v/>
      </c>
      <c r="I2072" s="5">
        <f>G2072*H2072</f>
        <v/>
      </c>
      <c r="J2072" s="2">
        <f>XLOOKUP(E2072, '06_BANG_GIA_VAT_TU_AP_DUNG'!B:B, '06_BANG_GIA_VAT_TU_AP_DUNG'!C:C, "LỖI_MÃ_VT")</f>
        <v/>
      </c>
      <c r="K2072" s="2">
        <f>I2072*J2072</f>
        <v/>
      </c>
      <c r="L2072" t="inlineStr">
        <is>
          <t>4 trục dài 1360mm</t>
        </is>
      </c>
    </row>
    <row r="2073">
      <c r="A2073" t="inlineStr">
        <is>
          <t>SW-DAMPER-516-BEARING</t>
        </is>
      </c>
      <c r="B2073" t="inlineStr">
        <is>
          <t>SW-DAMPER-516</t>
        </is>
      </c>
      <c r="C2073" t="inlineStr">
        <is>
          <t>Bạc đồng D10</t>
        </is>
      </c>
      <c r="D2073" t="inlineStr">
        <is>
          <t>PHỤ_KIỆN_VAN</t>
        </is>
      </c>
      <c r="E2073" t="inlineStr">
        <is>
          <t>MAT-DAMPER-BAC-DONG-D10</t>
        </is>
      </c>
      <c r="F2073" t="inlineStr">
        <is>
          <t>Đôi</t>
        </is>
      </c>
      <c r="G2073" s="4" t="n">
        <v>4</v>
      </c>
      <c r="H2073" s="2">
        <f>XLOOKUP(B2073, '00_TONG_HOP_BAO_GIA'!B:B, '00_TONG_HOP_BAO_GIA'!G:G, 1)</f>
        <v/>
      </c>
      <c r="I2073" s="5">
        <f>G2073*H2073</f>
        <v/>
      </c>
      <c r="J2073" s="2">
        <f>XLOOKUP(E2073, '06_BANG_GIA_VAT_TU_AP_DUNG'!B:B, '06_BANG_GIA_VAT_TU_AP_DUNG'!C:C, "LỖI_MÃ_VT")</f>
        <v/>
      </c>
      <c r="K2073" s="2">
        <f>I2073*J2073</f>
        <v/>
      </c>
      <c r="L2073" t="inlineStr">
        <is>
          <t>4 đôi bạc đỡ 2 bên thân</t>
        </is>
      </c>
    </row>
    <row r="2074">
      <c r="A2074" t="inlineStr">
        <is>
          <t>SW-DAMPER-516-GEAR</t>
        </is>
      </c>
      <c r="B2074" t="inlineStr">
        <is>
          <t>SW-DAMPER-516</t>
        </is>
      </c>
      <c r="C2074" t="inlineStr">
        <is>
          <t>Bánh răng van nhôm</t>
        </is>
      </c>
      <c r="D2074" t="inlineStr">
        <is>
          <t>PHỤ_KIỆN_VAN</t>
        </is>
      </c>
      <c r="E2074" t="inlineStr">
        <is>
          <t>MAT-DAMPER-BANH-RANG-VAN-NHOM</t>
        </is>
      </c>
      <c r="F2074" t="inlineStr">
        <is>
          <t>Bộ</t>
        </is>
      </c>
      <c r="G2074" s="4" t="n">
        <v>1</v>
      </c>
      <c r="H2074" s="2">
        <f>XLOOKUP(B2074, '00_TONG_HOP_BAO_GIA'!B:B, '00_TONG_HOP_BAO_GIA'!G:G, 1)</f>
        <v/>
      </c>
      <c r="I2074" s="5">
        <f>G2074*H2074</f>
        <v/>
      </c>
      <c r="J2074" s="2">
        <f>XLOOKUP(E2074, '06_BANG_GIA_VAT_TU_AP_DUNG'!B:B, '06_BANG_GIA_VAT_TU_AP_DUNG'!C:C, "LỖI_MÃ_VT")</f>
        <v/>
      </c>
      <c r="K2074" s="2">
        <f>I2074*J2074</f>
        <v/>
      </c>
      <c r="L2074" t="inlineStr">
        <is>
          <t>Cơ cấu liên động bánh răng van</t>
        </is>
      </c>
    </row>
    <row r="2075">
      <c r="A2075" t="inlineStr">
        <is>
          <t>SW-DAMPER-516-HANDLE</t>
        </is>
      </c>
      <c r="B2075" t="inlineStr">
        <is>
          <t>SW-DAMPER-516</t>
        </is>
      </c>
      <c r="C2075" t="inlineStr">
        <is>
          <t>Tay gạt trung bình</t>
        </is>
      </c>
      <c r="D2075" t="inlineStr">
        <is>
          <t>PHỤ_KIỆN_VAN</t>
        </is>
      </c>
      <c r="E2075" t="inlineStr">
        <is>
          <t>MAT-DAMPER-TAY-GAT-TRUNG-BINH</t>
        </is>
      </c>
      <c r="F2075" t="inlineStr">
        <is>
          <t>Bộ</t>
        </is>
      </c>
      <c r="G2075" s="4" t="n">
        <v>1</v>
      </c>
      <c r="H2075" s="2">
        <f>XLOOKUP(B2075, '00_TONG_HOP_BAO_GIA'!B:B, '00_TONG_HOP_BAO_GIA'!G:G, 1)</f>
        <v/>
      </c>
      <c r="I2075" s="5">
        <f>G2075*H2075</f>
        <v/>
      </c>
      <c r="J2075" s="2">
        <f>XLOOKUP(E2075, '06_BANG_GIA_VAT_TU_AP_DUNG'!B:B, '06_BANG_GIA_VAT_TU_AP_DUNG'!C:C, "LỖI_MÃ_VT")</f>
        <v/>
      </c>
      <c r="K2075" s="2">
        <f>I2075*J2075</f>
        <v/>
      </c>
      <c r="L2075" t="inlineStr">
        <is>
          <t>Tay gạt khóa vị trí nan (S=0.84m2)</t>
        </is>
      </c>
    </row>
    <row r="2076">
      <c r="A2076" t="inlineStr">
        <is>
          <t>SW-DAMPER-517-BODY</t>
        </is>
      </c>
      <c r="B2076" t="inlineStr">
        <is>
          <t>SW-DAMPER-517</t>
        </is>
      </c>
      <c r="C2076" t="inlineStr">
        <is>
          <t>Thân vỏ van FD bích TDF (0.75mm)</t>
        </is>
      </c>
      <c r="D2076" t="inlineStr">
        <is>
          <t>TÔN_CUỘN_MẠ_KẼM</t>
        </is>
      </c>
      <c r="E2076" t="inlineStr">
        <is>
          <t>MAT-STEEL-PN-0.75</t>
        </is>
      </c>
      <c r="F2076" t="inlineStr">
        <is>
          <t>kg</t>
        </is>
      </c>
      <c r="G2076" s="4" t="n">
        <v>2.057328</v>
      </c>
      <c r="H2076" s="2">
        <f>XLOOKUP(B2076, '00_TONG_HOP_BAO_GIA'!B:B, '00_TONG_HOP_BAO_GIA'!G:G, 1)</f>
        <v/>
      </c>
      <c r="I2076" s="5">
        <f>G2076*H2076</f>
        <v/>
      </c>
      <c r="J2076" s="2">
        <f>XLOOKUP(E2076, '06_BANG_GIA_VAT_TU_AP_DUNG'!B:B, '06_BANG_GIA_VAT_TU_AP_DUNG'!C:C, "LỖI_MÃ_VT")</f>
        <v/>
      </c>
      <c r="K2076" s="2">
        <f>I2076*J2076</f>
        <v/>
      </c>
      <c r="L2076" t="inlineStr">
        <is>
          <t>Kích thước vỏ 300.0x200.0x250mm</t>
        </is>
      </c>
    </row>
    <row r="2077">
      <c r="A2077" t="inlineStr">
        <is>
          <t>SW-DAMPER-517-BLADE</t>
        </is>
      </c>
      <c r="B2077" t="inlineStr">
        <is>
          <t>SW-DAMPER-517</t>
        </is>
      </c>
      <c r="C2077" t="inlineStr">
        <is>
          <t>Lá cánh van (2 cánh overlap)</t>
        </is>
      </c>
      <c r="D2077" t="inlineStr">
        <is>
          <t>TÔN_CUỘN_MẠ_KẼM</t>
        </is>
      </c>
      <c r="E2077" t="inlineStr">
        <is>
          <t>MAT-STEEL-PN-0.75</t>
        </is>
      </c>
      <c r="F2077" t="inlineStr">
        <is>
          <t>kg</t>
        </is>
      </c>
      <c r="G2077" s="4" t="n">
        <v>0.4578119999999999</v>
      </c>
      <c r="H2077" s="2">
        <f>XLOOKUP(B2077, '00_TONG_HOP_BAO_GIA'!B:B, '00_TONG_HOP_BAO_GIA'!G:G, 1)</f>
        <v/>
      </c>
      <c r="I2077" s="5">
        <f>G2077*H2077</f>
        <v/>
      </c>
      <c r="J2077" s="2">
        <f>XLOOKUP(E2077, '06_BANG_GIA_VAT_TU_AP_DUNG'!B:B, '06_BANG_GIA_VAT_TU_AP_DUNG'!C:C, "LỖI_MÃ_VT")</f>
        <v/>
      </c>
      <c r="K2077" s="2">
        <f>I2077*J2077</f>
        <v/>
      </c>
      <c r="L2077" t="inlineStr">
        <is>
          <t>2 cánh cao 120mm</t>
        </is>
      </c>
    </row>
    <row r="2078">
      <c r="A2078" t="inlineStr">
        <is>
          <t>SW-DAMPER-517-AXLE</t>
        </is>
      </c>
      <c r="B2078" t="inlineStr">
        <is>
          <t>SW-DAMPER-517</t>
        </is>
      </c>
      <c r="C2078" t="inlineStr">
        <is>
          <t>Trục Sus 201 D10</t>
        </is>
      </c>
      <c r="D2078" t="inlineStr">
        <is>
          <t>PHỤ_KIỆN_VAN</t>
        </is>
      </c>
      <c r="E2078" t="inlineStr">
        <is>
          <t>MAT-DAMPER-TRUC-SUS-201-D10</t>
        </is>
      </c>
      <c r="F2078" t="inlineStr">
        <is>
          <t>m</t>
        </is>
      </c>
      <c r="G2078" s="4" t="n">
        <v>0.72</v>
      </c>
      <c r="H2078" s="2">
        <f>XLOOKUP(B2078, '00_TONG_HOP_BAO_GIA'!B:B, '00_TONG_HOP_BAO_GIA'!G:G, 1)</f>
        <v/>
      </c>
      <c r="I2078" s="5">
        <f>G2078*H2078</f>
        <v/>
      </c>
      <c r="J2078" s="2">
        <f>XLOOKUP(E2078, '06_BANG_GIA_VAT_TU_AP_DUNG'!B:B, '06_BANG_GIA_VAT_TU_AP_DUNG'!C:C, "LỖI_MÃ_VT")</f>
        <v/>
      </c>
      <c r="K2078" s="2">
        <f>I2078*J2078</f>
        <v/>
      </c>
      <c r="L2078" t="inlineStr">
        <is>
          <t>2 trục dài 360mm</t>
        </is>
      </c>
    </row>
    <row r="2079">
      <c r="A2079" t="inlineStr">
        <is>
          <t>SW-DAMPER-517-BEARING</t>
        </is>
      </c>
      <c r="B2079" t="inlineStr">
        <is>
          <t>SW-DAMPER-517</t>
        </is>
      </c>
      <c r="C2079" t="inlineStr">
        <is>
          <t>Bạc đồng D10</t>
        </is>
      </c>
      <c r="D2079" t="inlineStr">
        <is>
          <t>PHỤ_KIỆN_VAN</t>
        </is>
      </c>
      <c r="E2079" t="inlineStr">
        <is>
          <t>MAT-DAMPER-BAC-DONG-D10</t>
        </is>
      </c>
      <c r="F2079" t="inlineStr">
        <is>
          <t>Đôi</t>
        </is>
      </c>
      <c r="G2079" s="4" t="n">
        <v>2</v>
      </c>
      <c r="H2079" s="2">
        <f>XLOOKUP(B2079, '00_TONG_HOP_BAO_GIA'!B:B, '00_TONG_HOP_BAO_GIA'!G:G, 1)</f>
        <v/>
      </c>
      <c r="I2079" s="5">
        <f>G2079*H2079</f>
        <v/>
      </c>
      <c r="J2079" s="2">
        <f>XLOOKUP(E2079, '06_BANG_GIA_VAT_TU_AP_DUNG'!B:B, '06_BANG_GIA_VAT_TU_AP_DUNG'!C:C, "LỖI_MÃ_VT")</f>
        <v/>
      </c>
      <c r="K2079" s="2">
        <f>I2079*J2079</f>
        <v/>
      </c>
      <c r="L2079" t="inlineStr">
        <is>
          <t>2 đôi bạc đỡ 2 bên thân</t>
        </is>
      </c>
    </row>
    <row r="2080">
      <c r="A2080" t="inlineStr">
        <is>
          <t>SW-DAMPER-517-GEAR</t>
        </is>
      </c>
      <c r="B2080" t="inlineStr">
        <is>
          <t>SW-DAMPER-517</t>
        </is>
      </c>
      <c r="C2080" t="inlineStr">
        <is>
          <t>Bánh răng van nhôm</t>
        </is>
      </c>
      <c r="D2080" t="inlineStr">
        <is>
          <t>PHỤ_KIỆN_VAN</t>
        </is>
      </c>
      <c r="E2080" t="inlineStr">
        <is>
          <t>MAT-DAMPER-BANH-RANG-VAN-NHOM</t>
        </is>
      </c>
      <c r="F2080" t="inlineStr">
        <is>
          <t>Bộ</t>
        </is>
      </c>
      <c r="G2080" s="4" t="n">
        <v>1</v>
      </c>
      <c r="H2080" s="2">
        <f>XLOOKUP(B2080, '00_TONG_HOP_BAO_GIA'!B:B, '00_TONG_HOP_BAO_GIA'!G:G, 1)</f>
        <v/>
      </c>
      <c r="I2080" s="5">
        <f>G2080*H2080</f>
        <v/>
      </c>
      <c r="J2080" s="2">
        <f>XLOOKUP(E2080, '06_BANG_GIA_VAT_TU_AP_DUNG'!B:B, '06_BANG_GIA_VAT_TU_AP_DUNG'!C:C, "LỖI_MÃ_VT")</f>
        <v/>
      </c>
      <c r="K2080" s="2">
        <f>I2080*J2080</f>
        <v/>
      </c>
      <c r="L2080" t="inlineStr">
        <is>
          <t>Cơ cấu liên động bánh răng van</t>
        </is>
      </c>
    </row>
    <row r="2081">
      <c r="A2081" t="inlineStr">
        <is>
          <t>SW-DAMPER-517-FUSE</t>
        </is>
      </c>
      <c r="B2081" t="inlineStr">
        <is>
          <t>SW-DAMPER-517</t>
        </is>
      </c>
      <c r="C2081" t="inlineStr">
        <is>
          <t>Cầu chì nhiệt nóng chảy 70°C (Elsie/USA)</t>
        </is>
      </c>
      <c r="D2081" t="inlineStr">
        <is>
          <t>PHỤ_KIỆN_VAN</t>
        </is>
      </c>
      <c r="E2081" t="inlineStr">
        <is>
          <t>MAT-DAMPER-CAU-CHI-USA-1-400X400</t>
        </is>
      </c>
      <c r="F2081" t="inlineStr">
        <is>
          <t>Cái</t>
        </is>
      </c>
      <c r="G2081" s="4" t="n">
        <v>1</v>
      </c>
      <c r="H2081" s="2">
        <f>XLOOKUP(B2081, '00_TONG_HOP_BAO_GIA'!B:B, '00_TONG_HOP_BAO_GIA'!G:G, 1)</f>
        <v/>
      </c>
      <c r="I2081" s="5">
        <f>G2081*H2081</f>
        <v/>
      </c>
      <c r="J2081" s="2">
        <f>XLOOKUP(E2081, '06_BANG_GIA_VAT_TU_AP_DUNG'!B:B, '06_BANG_GIA_VAT_TU_AP_DUNG'!C:C, "LỖI_MÃ_VT")</f>
        <v/>
      </c>
      <c r="K2081" s="2">
        <f>I2081*J2081</f>
        <v/>
      </c>
      <c r="L2081" t="inlineStr">
        <is>
          <t>Cầu chì kiểm định PCCC</t>
        </is>
      </c>
    </row>
    <row r="2082">
      <c r="A2082" t="inlineStr">
        <is>
          <t>SW-DAMPER-518-BODY</t>
        </is>
      </c>
      <c r="B2082" t="inlineStr">
        <is>
          <t>SW-DAMPER-518</t>
        </is>
      </c>
      <c r="C2082" t="inlineStr">
        <is>
          <t>Thân vỏ van FD bích TDF (0.75mm)</t>
        </is>
      </c>
      <c r="D2082" t="inlineStr">
        <is>
          <t>TÔN_CUỘN_MẠ_KẼM</t>
        </is>
      </c>
      <c r="E2082" t="inlineStr">
        <is>
          <t>MAT-STEEL-PN-0.75</t>
        </is>
      </c>
      <c r="F2082" t="inlineStr">
        <is>
          <t>kg</t>
        </is>
      </c>
      <c r="G2082" s="4" t="n">
        <v>2.650788</v>
      </c>
      <c r="H2082" s="2">
        <f>XLOOKUP(B2082, '00_TONG_HOP_BAO_GIA'!B:B, '00_TONG_HOP_BAO_GIA'!G:G, 1)</f>
        <v/>
      </c>
      <c r="I2082" s="5">
        <f>G2082*H2082</f>
        <v/>
      </c>
      <c r="J2082" s="2">
        <f>XLOOKUP(E2082, '06_BANG_GIA_VAT_TU_AP_DUNG'!B:B, '06_BANG_GIA_VAT_TU_AP_DUNG'!C:C, "LỖI_MÃ_VT")</f>
        <v/>
      </c>
      <c r="K2082" s="2">
        <f>I2082*J2082</f>
        <v/>
      </c>
      <c r="L2082" t="inlineStr">
        <is>
          <t>Kích thước vỏ 350.0x300.0x250mm</t>
        </is>
      </c>
    </row>
    <row r="2083">
      <c r="A2083" t="inlineStr">
        <is>
          <t>SW-DAMPER-518-BLADE</t>
        </is>
      </c>
      <c r="B2083" t="inlineStr">
        <is>
          <t>SW-DAMPER-518</t>
        </is>
      </c>
      <c r="C2083" t="inlineStr">
        <is>
          <t>Lá cánh van (2 cánh overlap)</t>
        </is>
      </c>
      <c r="D2083" t="inlineStr">
        <is>
          <t>TÔN_CUỘN_MẠ_KẼM</t>
        </is>
      </c>
      <c r="E2083" t="inlineStr">
        <is>
          <t>MAT-STEEL-PN-0.75</t>
        </is>
      </c>
      <c r="F2083" t="inlineStr">
        <is>
          <t>kg</t>
        </is>
      </c>
      <c r="G2083" s="4" t="n">
        <v>0.7566614999999999</v>
      </c>
      <c r="H2083" s="2">
        <f>XLOOKUP(B2083, '00_TONG_HOP_BAO_GIA'!B:B, '00_TONG_HOP_BAO_GIA'!G:G, 1)</f>
        <v/>
      </c>
      <c r="I2083" s="5">
        <f>G2083*H2083</f>
        <v/>
      </c>
      <c r="J2083" s="2">
        <f>XLOOKUP(E2083, '06_BANG_GIA_VAT_TU_AP_DUNG'!B:B, '06_BANG_GIA_VAT_TU_AP_DUNG'!C:C, "LỖI_MÃ_VT")</f>
        <v/>
      </c>
      <c r="K2083" s="2">
        <f>I2083*J2083</f>
        <v/>
      </c>
      <c r="L2083" t="inlineStr">
        <is>
          <t>2 cánh cao 170mm</t>
        </is>
      </c>
    </row>
    <row r="2084">
      <c r="A2084" t="inlineStr">
        <is>
          <t>SW-DAMPER-518-AXLE</t>
        </is>
      </c>
      <c r="B2084" t="inlineStr">
        <is>
          <t>SW-DAMPER-518</t>
        </is>
      </c>
      <c r="C2084" t="inlineStr">
        <is>
          <t>Trục Sus 201 D10</t>
        </is>
      </c>
      <c r="D2084" t="inlineStr">
        <is>
          <t>PHỤ_KIỆN_VAN</t>
        </is>
      </c>
      <c r="E2084" t="inlineStr">
        <is>
          <t>MAT-DAMPER-TRUC-SUS-201-D10</t>
        </is>
      </c>
      <c r="F2084" t="inlineStr">
        <is>
          <t>m</t>
        </is>
      </c>
      <c r="G2084" s="4" t="n">
        <v>0.82</v>
      </c>
      <c r="H2084" s="2">
        <f>XLOOKUP(B2084, '00_TONG_HOP_BAO_GIA'!B:B, '00_TONG_HOP_BAO_GIA'!G:G, 1)</f>
        <v/>
      </c>
      <c r="I2084" s="5">
        <f>G2084*H2084</f>
        <v/>
      </c>
      <c r="J2084" s="2">
        <f>XLOOKUP(E2084, '06_BANG_GIA_VAT_TU_AP_DUNG'!B:B, '06_BANG_GIA_VAT_TU_AP_DUNG'!C:C, "LỖI_MÃ_VT")</f>
        <v/>
      </c>
      <c r="K2084" s="2">
        <f>I2084*J2084</f>
        <v/>
      </c>
      <c r="L2084" t="inlineStr">
        <is>
          <t>2 trục dài 410mm</t>
        </is>
      </c>
    </row>
    <row r="2085">
      <c r="A2085" t="inlineStr">
        <is>
          <t>SW-DAMPER-518-BEARING</t>
        </is>
      </c>
      <c r="B2085" t="inlineStr">
        <is>
          <t>SW-DAMPER-518</t>
        </is>
      </c>
      <c r="C2085" t="inlineStr">
        <is>
          <t>Bạc đồng D10</t>
        </is>
      </c>
      <c r="D2085" t="inlineStr">
        <is>
          <t>PHỤ_KIỆN_VAN</t>
        </is>
      </c>
      <c r="E2085" t="inlineStr">
        <is>
          <t>MAT-DAMPER-BAC-DONG-D10</t>
        </is>
      </c>
      <c r="F2085" t="inlineStr">
        <is>
          <t>Đôi</t>
        </is>
      </c>
      <c r="G2085" s="4" t="n">
        <v>2</v>
      </c>
      <c r="H2085" s="2">
        <f>XLOOKUP(B2085, '00_TONG_HOP_BAO_GIA'!B:B, '00_TONG_HOP_BAO_GIA'!G:G, 1)</f>
        <v/>
      </c>
      <c r="I2085" s="5">
        <f>G2085*H2085</f>
        <v/>
      </c>
      <c r="J2085" s="2">
        <f>XLOOKUP(E2085, '06_BANG_GIA_VAT_TU_AP_DUNG'!B:B, '06_BANG_GIA_VAT_TU_AP_DUNG'!C:C, "LỖI_MÃ_VT")</f>
        <v/>
      </c>
      <c r="K2085" s="2">
        <f>I2085*J2085</f>
        <v/>
      </c>
      <c r="L2085" t="inlineStr">
        <is>
          <t>2 đôi bạc đỡ 2 bên thân</t>
        </is>
      </c>
    </row>
    <row r="2086">
      <c r="A2086" t="inlineStr">
        <is>
          <t>SW-DAMPER-518-GEAR</t>
        </is>
      </c>
      <c r="B2086" t="inlineStr">
        <is>
          <t>SW-DAMPER-518</t>
        </is>
      </c>
      <c r="C2086" t="inlineStr">
        <is>
          <t>Bánh răng van nhôm</t>
        </is>
      </c>
      <c r="D2086" t="inlineStr">
        <is>
          <t>PHỤ_KIỆN_VAN</t>
        </is>
      </c>
      <c r="E2086" t="inlineStr">
        <is>
          <t>MAT-DAMPER-BANH-RANG-VAN-NHOM</t>
        </is>
      </c>
      <c r="F2086" t="inlineStr">
        <is>
          <t>Bộ</t>
        </is>
      </c>
      <c r="G2086" s="4" t="n">
        <v>1</v>
      </c>
      <c r="H2086" s="2">
        <f>XLOOKUP(B2086, '00_TONG_HOP_BAO_GIA'!B:B, '00_TONG_HOP_BAO_GIA'!G:G, 1)</f>
        <v/>
      </c>
      <c r="I2086" s="5">
        <f>G2086*H2086</f>
        <v/>
      </c>
      <c r="J2086" s="2">
        <f>XLOOKUP(E2086, '06_BANG_GIA_VAT_TU_AP_DUNG'!B:B, '06_BANG_GIA_VAT_TU_AP_DUNG'!C:C, "LỖI_MÃ_VT")</f>
        <v/>
      </c>
      <c r="K2086" s="2">
        <f>I2086*J2086</f>
        <v/>
      </c>
      <c r="L2086" t="inlineStr">
        <is>
          <t>Cơ cấu liên động bánh răng van</t>
        </is>
      </c>
    </row>
    <row r="2087">
      <c r="A2087" t="inlineStr">
        <is>
          <t>SW-DAMPER-518-FUSE</t>
        </is>
      </c>
      <c r="B2087" t="inlineStr">
        <is>
          <t>SW-DAMPER-518</t>
        </is>
      </c>
      <c r="C2087" t="inlineStr">
        <is>
          <t>Cầu chì nhiệt nóng chảy 70°C (Elsie/USA)</t>
        </is>
      </c>
      <c r="D2087" t="inlineStr">
        <is>
          <t>PHỤ_KIỆN_VAN</t>
        </is>
      </c>
      <c r="E2087" t="inlineStr">
        <is>
          <t>MAT-DAMPER-CAU-CHI-USA-1-400X400</t>
        </is>
      </c>
      <c r="F2087" t="inlineStr">
        <is>
          <t>Cái</t>
        </is>
      </c>
      <c r="G2087" s="4" t="n">
        <v>1</v>
      </c>
      <c r="H2087" s="2">
        <f>XLOOKUP(B2087, '00_TONG_HOP_BAO_GIA'!B:B, '00_TONG_HOP_BAO_GIA'!G:G, 1)</f>
        <v/>
      </c>
      <c r="I2087" s="5">
        <f>G2087*H2087</f>
        <v/>
      </c>
      <c r="J2087" s="2">
        <f>XLOOKUP(E2087, '06_BANG_GIA_VAT_TU_AP_DUNG'!B:B, '06_BANG_GIA_VAT_TU_AP_DUNG'!C:C, "LỖI_MÃ_VT")</f>
        <v/>
      </c>
      <c r="K2087" s="2">
        <f>I2087*J2087</f>
        <v/>
      </c>
      <c r="L2087" t="inlineStr">
        <is>
          <t>Cầu chì kiểm định PCCC</t>
        </is>
      </c>
    </row>
    <row r="2088">
      <c r="A2088" t="inlineStr">
        <is>
          <t>SW-DAMPER-519-BODY</t>
        </is>
      </c>
      <c r="B2088" t="inlineStr">
        <is>
          <t>SW-DAMPER-519</t>
        </is>
      </c>
      <c r="C2088" t="inlineStr">
        <is>
          <t>Thân vỏ van FD bích TDF (0.75mm)</t>
        </is>
      </c>
      <c r="D2088" t="inlineStr">
        <is>
          <t>TÔN_CUỘN_MẠ_KẼM</t>
        </is>
      </c>
      <c r="E2088" t="inlineStr">
        <is>
          <t>MAT-STEEL-PN-0.75</t>
        </is>
      </c>
      <c r="F2088" t="inlineStr">
        <is>
          <t>kg</t>
        </is>
      </c>
      <c r="G2088" s="4" t="n">
        <v>2.848608</v>
      </c>
      <c r="H2088" s="2">
        <f>XLOOKUP(B2088, '00_TONG_HOP_BAO_GIA'!B:B, '00_TONG_HOP_BAO_GIA'!G:G, 1)</f>
        <v/>
      </c>
      <c r="I2088" s="5">
        <f>G2088*H2088</f>
        <v/>
      </c>
      <c r="J2088" s="2">
        <f>XLOOKUP(E2088, '06_BANG_GIA_VAT_TU_AP_DUNG'!B:B, '06_BANG_GIA_VAT_TU_AP_DUNG'!C:C, "LỖI_MÃ_VT")</f>
        <v/>
      </c>
      <c r="K2088" s="2">
        <f>I2088*J2088</f>
        <v/>
      </c>
      <c r="L2088" t="inlineStr">
        <is>
          <t>Kích thước vỏ 350.0x350.0x250mm</t>
        </is>
      </c>
    </row>
    <row r="2089">
      <c r="A2089" t="inlineStr">
        <is>
          <t>SW-DAMPER-519-BLADE</t>
        </is>
      </c>
      <c r="B2089" t="inlineStr">
        <is>
          <t>SW-DAMPER-519</t>
        </is>
      </c>
      <c r="C2089" t="inlineStr">
        <is>
          <t>Lá cánh van (2 cánh overlap)</t>
        </is>
      </c>
      <c r="D2089" t="inlineStr">
        <is>
          <t>TÔN_CUỘN_MẠ_KẼM</t>
        </is>
      </c>
      <c r="E2089" t="inlineStr">
        <is>
          <t>MAT-STEEL-PN-0.75</t>
        </is>
      </c>
      <c r="F2089" t="inlineStr">
        <is>
          <t>kg</t>
        </is>
      </c>
      <c r="G2089" s="4" t="n">
        <v>0.8679352499999998</v>
      </c>
      <c r="H2089" s="2">
        <f>XLOOKUP(B2089, '00_TONG_HOP_BAO_GIA'!B:B, '00_TONG_HOP_BAO_GIA'!G:G, 1)</f>
        <v/>
      </c>
      <c r="I2089" s="5">
        <f>G2089*H2089</f>
        <v/>
      </c>
      <c r="J2089" s="2">
        <f>XLOOKUP(E2089, '06_BANG_GIA_VAT_TU_AP_DUNG'!B:B, '06_BANG_GIA_VAT_TU_AP_DUNG'!C:C, "LỖI_MÃ_VT")</f>
        <v/>
      </c>
      <c r="K2089" s="2">
        <f>I2089*J2089</f>
        <v/>
      </c>
      <c r="L2089" t="inlineStr">
        <is>
          <t>2 cánh cao 195mm</t>
        </is>
      </c>
    </row>
    <row r="2090">
      <c r="A2090" t="inlineStr">
        <is>
          <t>SW-DAMPER-519-AXLE</t>
        </is>
      </c>
      <c r="B2090" t="inlineStr">
        <is>
          <t>SW-DAMPER-519</t>
        </is>
      </c>
      <c r="C2090" t="inlineStr">
        <is>
          <t>Trục Sus 201 D10</t>
        </is>
      </c>
      <c r="D2090" t="inlineStr">
        <is>
          <t>PHỤ_KIỆN_VAN</t>
        </is>
      </c>
      <c r="E2090" t="inlineStr">
        <is>
          <t>MAT-DAMPER-TRUC-SUS-201-D10</t>
        </is>
      </c>
      <c r="F2090" t="inlineStr">
        <is>
          <t>m</t>
        </is>
      </c>
      <c r="G2090" s="4" t="n">
        <v>0.82</v>
      </c>
      <c r="H2090" s="2">
        <f>XLOOKUP(B2090, '00_TONG_HOP_BAO_GIA'!B:B, '00_TONG_HOP_BAO_GIA'!G:G, 1)</f>
        <v/>
      </c>
      <c r="I2090" s="5">
        <f>G2090*H2090</f>
        <v/>
      </c>
      <c r="J2090" s="2">
        <f>XLOOKUP(E2090, '06_BANG_GIA_VAT_TU_AP_DUNG'!B:B, '06_BANG_GIA_VAT_TU_AP_DUNG'!C:C, "LỖI_MÃ_VT")</f>
        <v/>
      </c>
      <c r="K2090" s="2">
        <f>I2090*J2090</f>
        <v/>
      </c>
      <c r="L2090" t="inlineStr">
        <is>
          <t>2 trục dài 410mm</t>
        </is>
      </c>
    </row>
    <row r="2091">
      <c r="A2091" t="inlineStr">
        <is>
          <t>SW-DAMPER-519-BEARING</t>
        </is>
      </c>
      <c r="B2091" t="inlineStr">
        <is>
          <t>SW-DAMPER-519</t>
        </is>
      </c>
      <c r="C2091" t="inlineStr">
        <is>
          <t>Bạc đồng D10</t>
        </is>
      </c>
      <c r="D2091" t="inlineStr">
        <is>
          <t>PHỤ_KIỆN_VAN</t>
        </is>
      </c>
      <c r="E2091" t="inlineStr">
        <is>
          <t>MAT-DAMPER-BAC-DONG-D10</t>
        </is>
      </c>
      <c r="F2091" t="inlineStr">
        <is>
          <t>Đôi</t>
        </is>
      </c>
      <c r="G2091" s="4" t="n">
        <v>2</v>
      </c>
      <c r="H2091" s="2">
        <f>XLOOKUP(B2091, '00_TONG_HOP_BAO_GIA'!B:B, '00_TONG_HOP_BAO_GIA'!G:G, 1)</f>
        <v/>
      </c>
      <c r="I2091" s="5">
        <f>G2091*H2091</f>
        <v/>
      </c>
      <c r="J2091" s="2">
        <f>XLOOKUP(E2091, '06_BANG_GIA_VAT_TU_AP_DUNG'!B:B, '06_BANG_GIA_VAT_TU_AP_DUNG'!C:C, "LỖI_MÃ_VT")</f>
        <v/>
      </c>
      <c r="K2091" s="2">
        <f>I2091*J2091</f>
        <v/>
      </c>
      <c r="L2091" t="inlineStr">
        <is>
          <t>2 đôi bạc đỡ 2 bên thân</t>
        </is>
      </c>
    </row>
    <row r="2092">
      <c r="A2092" t="inlineStr">
        <is>
          <t>SW-DAMPER-519-GEAR</t>
        </is>
      </c>
      <c r="B2092" t="inlineStr">
        <is>
          <t>SW-DAMPER-519</t>
        </is>
      </c>
      <c r="C2092" t="inlineStr">
        <is>
          <t>Bánh răng van nhôm</t>
        </is>
      </c>
      <c r="D2092" t="inlineStr">
        <is>
          <t>PHỤ_KIỆN_VAN</t>
        </is>
      </c>
      <c r="E2092" t="inlineStr">
        <is>
          <t>MAT-DAMPER-BANH-RANG-VAN-NHOM</t>
        </is>
      </c>
      <c r="F2092" t="inlineStr">
        <is>
          <t>Bộ</t>
        </is>
      </c>
      <c r="G2092" s="4" t="n">
        <v>1</v>
      </c>
      <c r="H2092" s="2">
        <f>XLOOKUP(B2092, '00_TONG_HOP_BAO_GIA'!B:B, '00_TONG_HOP_BAO_GIA'!G:G, 1)</f>
        <v/>
      </c>
      <c r="I2092" s="5">
        <f>G2092*H2092</f>
        <v/>
      </c>
      <c r="J2092" s="2">
        <f>XLOOKUP(E2092, '06_BANG_GIA_VAT_TU_AP_DUNG'!B:B, '06_BANG_GIA_VAT_TU_AP_DUNG'!C:C, "LỖI_MÃ_VT")</f>
        <v/>
      </c>
      <c r="K2092" s="2">
        <f>I2092*J2092</f>
        <v/>
      </c>
      <c r="L2092" t="inlineStr">
        <is>
          <t>Cơ cấu liên động bánh răng van</t>
        </is>
      </c>
    </row>
    <row r="2093">
      <c r="A2093" t="inlineStr">
        <is>
          <t>SW-DAMPER-519-FUSE</t>
        </is>
      </c>
      <c r="B2093" t="inlineStr">
        <is>
          <t>SW-DAMPER-519</t>
        </is>
      </c>
      <c r="C2093" t="inlineStr">
        <is>
          <t>Cầu chì nhiệt nóng chảy 70°C (Elsie/USA)</t>
        </is>
      </c>
      <c r="D2093" t="inlineStr">
        <is>
          <t>PHỤ_KIỆN_VAN</t>
        </is>
      </c>
      <c r="E2093" t="inlineStr">
        <is>
          <t>MAT-DAMPER-CAU-CHI-USA-1-400X400</t>
        </is>
      </c>
      <c r="F2093" t="inlineStr">
        <is>
          <t>Cái</t>
        </is>
      </c>
      <c r="G2093" s="4" t="n">
        <v>1</v>
      </c>
      <c r="H2093" s="2">
        <f>XLOOKUP(B2093, '00_TONG_HOP_BAO_GIA'!B:B, '00_TONG_HOP_BAO_GIA'!G:G, 1)</f>
        <v/>
      </c>
      <c r="I2093" s="5">
        <f>G2093*H2093</f>
        <v/>
      </c>
      <c r="J2093" s="2">
        <f>XLOOKUP(E2093, '06_BANG_GIA_VAT_TU_AP_DUNG'!B:B, '06_BANG_GIA_VAT_TU_AP_DUNG'!C:C, "LỖI_MÃ_VT")</f>
        <v/>
      </c>
      <c r="K2093" s="2">
        <f>I2093*J2093</f>
        <v/>
      </c>
      <c r="L2093" t="inlineStr">
        <is>
          <t>Cầu chì kiểm định PCCC</t>
        </is>
      </c>
    </row>
    <row r="2094">
      <c r="A2094" t="inlineStr">
        <is>
          <t>SW-DAMPER-520-BODY</t>
        </is>
      </c>
      <c r="B2094" t="inlineStr">
        <is>
          <t>SW-DAMPER-520</t>
        </is>
      </c>
      <c r="C2094" t="inlineStr">
        <is>
          <t>Thân vỏ van FD bích TDF (0.75mm)</t>
        </is>
      </c>
      <c r="D2094" t="inlineStr">
        <is>
          <t>TÔN_CUỘN_MẠ_KẼM</t>
        </is>
      </c>
      <c r="E2094" t="inlineStr">
        <is>
          <t>MAT-STEEL-PN-0.75</t>
        </is>
      </c>
      <c r="F2094" t="inlineStr">
        <is>
          <t>kg</t>
        </is>
      </c>
      <c r="G2094" s="4" t="n">
        <v>2.848608</v>
      </c>
      <c r="H2094" s="2">
        <f>XLOOKUP(B2094, '00_TONG_HOP_BAO_GIA'!B:B, '00_TONG_HOP_BAO_GIA'!G:G, 1)</f>
        <v/>
      </c>
      <c r="I2094" s="5">
        <f>G2094*H2094</f>
        <v/>
      </c>
      <c r="J2094" s="2">
        <f>XLOOKUP(E2094, '06_BANG_GIA_VAT_TU_AP_DUNG'!B:B, '06_BANG_GIA_VAT_TU_AP_DUNG'!C:C, "LỖI_MÃ_VT")</f>
        <v/>
      </c>
      <c r="K2094" s="2">
        <f>I2094*J2094</f>
        <v/>
      </c>
      <c r="L2094" t="inlineStr">
        <is>
          <t>Kích thước vỏ 400.0x300.0x250mm</t>
        </is>
      </c>
    </row>
    <row r="2095">
      <c r="A2095" t="inlineStr">
        <is>
          <t>SW-DAMPER-520-BLADE</t>
        </is>
      </c>
      <c r="B2095" t="inlineStr">
        <is>
          <t>SW-DAMPER-520</t>
        </is>
      </c>
      <c r="C2095" t="inlineStr">
        <is>
          <t>Lá cánh van (2 cánh overlap)</t>
        </is>
      </c>
      <c r="D2095" t="inlineStr">
        <is>
          <t>TÔN_CUỘN_MẠ_KẼM</t>
        </is>
      </c>
      <c r="E2095" t="inlineStr">
        <is>
          <t>MAT-STEEL-PN-0.75</t>
        </is>
      </c>
      <c r="F2095" t="inlineStr">
        <is>
          <t>kg</t>
        </is>
      </c>
      <c r="G2095" s="4" t="n">
        <v>0.864756</v>
      </c>
      <c r="H2095" s="2">
        <f>XLOOKUP(B2095, '00_TONG_HOP_BAO_GIA'!B:B, '00_TONG_HOP_BAO_GIA'!G:G, 1)</f>
        <v/>
      </c>
      <c r="I2095" s="5">
        <f>G2095*H2095</f>
        <v/>
      </c>
      <c r="J2095" s="2">
        <f>XLOOKUP(E2095, '06_BANG_GIA_VAT_TU_AP_DUNG'!B:B, '06_BANG_GIA_VAT_TU_AP_DUNG'!C:C, "LỖI_MÃ_VT")</f>
        <v/>
      </c>
      <c r="K2095" s="2">
        <f>I2095*J2095</f>
        <v/>
      </c>
      <c r="L2095" t="inlineStr">
        <is>
          <t>2 cánh cao 170mm</t>
        </is>
      </c>
    </row>
    <row r="2096">
      <c r="A2096" t="inlineStr">
        <is>
          <t>SW-DAMPER-520-AXLE</t>
        </is>
      </c>
      <c r="B2096" t="inlineStr">
        <is>
          <t>SW-DAMPER-520</t>
        </is>
      </c>
      <c r="C2096" t="inlineStr">
        <is>
          <t>Trục Sus 201 D10</t>
        </is>
      </c>
      <c r="D2096" t="inlineStr">
        <is>
          <t>PHỤ_KIỆN_VAN</t>
        </is>
      </c>
      <c r="E2096" t="inlineStr">
        <is>
          <t>MAT-DAMPER-TRUC-SUS-201-D10</t>
        </is>
      </c>
      <c r="F2096" t="inlineStr">
        <is>
          <t>m</t>
        </is>
      </c>
      <c r="G2096" s="4" t="n">
        <v>0.92</v>
      </c>
      <c r="H2096" s="2">
        <f>XLOOKUP(B2096, '00_TONG_HOP_BAO_GIA'!B:B, '00_TONG_HOP_BAO_GIA'!G:G, 1)</f>
        <v/>
      </c>
      <c r="I2096" s="5">
        <f>G2096*H2096</f>
        <v/>
      </c>
      <c r="J2096" s="2">
        <f>XLOOKUP(E2096, '06_BANG_GIA_VAT_TU_AP_DUNG'!B:B, '06_BANG_GIA_VAT_TU_AP_DUNG'!C:C, "LỖI_MÃ_VT")</f>
        <v/>
      </c>
      <c r="K2096" s="2">
        <f>I2096*J2096</f>
        <v/>
      </c>
      <c r="L2096" t="inlineStr">
        <is>
          <t>2 trục dài 460mm</t>
        </is>
      </c>
    </row>
    <row r="2097">
      <c r="A2097" t="inlineStr">
        <is>
          <t>SW-DAMPER-520-BEARING</t>
        </is>
      </c>
      <c r="B2097" t="inlineStr">
        <is>
          <t>SW-DAMPER-520</t>
        </is>
      </c>
      <c r="C2097" t="inlineStr">
        <is>
          <t>Bạc đồng D10</t>
        </is>
      </c>
      <c r="D2097" t="inlineStr">
        <is>
          <t>PHỤ_KIỆN_VAN</t>
        </is>
      </c>
      <c r="E2097" t="inlineStr">
        <is>
          <t>MAT-DAMPER-BAC-DONG-D10</t>
        </is>
      </c>
      <c r="F2097" t="inlineStr">
        <is>
          <t>Đôi</t>
        </is>
      </c>
      <c r="G2097" s="4" t="n">
        <v>2</v>
      </c>
      <c r="H2097" s="2">
        <f>XLOOKUP(B2097, '00_TONG_HOP_BAO_GIA'!B:B, '00_TONG_HOP_BAO_GIA'!G:G, 1)</f>
        <v/>
      </c>
      <c r="I2097" s="5">
        <f>G2097*H2097</f>
        <v/>
      </c>
      <c r="J2097" s="2">
        <f>XLOOKUP(E2097, '06_BANG_GIA_VAT_TU_AP_DUNG'!B:B, '06_BANG_GIA_VAT_TU_AP_DUNG'!C:C, "LỖI_MÃ_VT")</f>
        <v/>
      </c>
      <c r="K2097" s="2">
        <f>I2097*J2097</f>
        <v/>
      </c>
      <c r="L2097" t="inlineStr">
        <is>
          <t>2 đôi bạc đỡ 2 bên thân</t>
        </is>
      </c>
    </row>
    <row r="2098">
      <c r="A2098" t="inlineStr">
        <is>
          <t>SW-DAMPER-520-GEAR</t>
        </is>
      </c>
      <c r="B2098" t="inlineStr">
        <is>
          <t>SW-DAMPER-520</t>
        </is>
      </c>
      <c r="C2098" t="inlineStr">
        <is>
          <t>Bánh răng van nhôm</t>
        </is>
      </c>
      <c r="D2098" t="inlineStr">
        <is>
          <t>PHỤ_KIỆN_VAN</t>
        </is>
      </c>
      <c r="E2098" t="inlineStr">
        <is>
          <t>MAT-DAMPER-BANH-RANG-VAN-NHOM</t>
        </is>
      </c>
      <c r="F2098" t="inlineStr">
        <is>
          <t>Bộ</t>
        </is>
      </c>
      <c r="G2098" s="4" t="n">
        <v>1</v>
      </c>
      <c r="H2098" s="2">
        <f>XLOOKUP(B2098, '00_TONG_HOP_BAO_GIA'!B:B, '00_TONG_HOP_BAO_GIA'!G:G, 1)</f>
        <v/>
      </c>
      <c r="I2098" s="5">
        <f>G2098*H2098</f>
        <v/>
      </c>
      <c r="J2098" s="2">
        <f>XLOOKUP(E2098, '06_BANG_GIA_VAT_TU_AP_DUNG'!B:B, '06_BANG_GIA_VAT_TU_AP_DUNG'!C:C, "LỖI_MÃ_VT")</f>
        <v/>
      </c>
      <c r="K2098" s="2">
        <f>I2098*J2098</f>
        <v/>
      </c>
      <c r="L2098" t="inlineStr">
        <is>
          <t>Cơ cấu liên động bánh răng van</t>
        </is>
      </c>
    </row>
    <row r="2099">
      <c r="A2099" t="inlineStr">
        <is>
          <t>SW-DAMPER-520-FUSE</t>
        </is>
      </c>
      <c r="B2099" t="inlineStr">
        <is>
          <t>SW-DAMPER-520</t>
        </is>
      </c>
      <c r="C2099" t="inlineStr">
        <is>
          <t>Cầu chì nhiệt nóng chảy 70°C (Elsie/USA)</t>
        </is>
      </c>
      <c r="D2099" t="inlineStr">
        <is>
          <t>PHỤ_KIỆN_VAN</t>
        </is>
      </c>
      <c r="E2099" t="inlineStr">
        <is>
          <t>MAT-DAMPER-CAU-CHI-USA-2-400X400</t>
        </is>
      </c>
      <c r="F2099" t="inlineStr">
        <is>
          <t>Cái</t>
        </is>
      </c>
      <c r="G2099" s="4" t="n">
        <v>1</v>
      </c>
      <c r="H2099" s="2">
        <f>XLOOKUP(B2099, '00_TONG_HOP_BAO_GIA'!B:B, '00_TONG_HOP_BAO_GIA'!G:G, 1)</f>
        <v/>
      </c>
      <c r="I2099" s="5">
        <f>G2099*H2099</f>
        <v/>
      </c>
      <c r="J2099" s="2">
        <f>XLOOKUP(E2099, '06_BANG_GIA_VAT_TU_AP_DUNG'!B:B, '06_BANG_GIA_VAT_TU_AP_DUNG'!C:C, "LỖI_MÃ_VT")</f>
        <v/>
      </c>
      <c r="K2099" s="2">
        <f>I2099*J2099</f>
        <v/>
      </c>
      <c r="L2099" t="inlineStr">
        <is>
          <t>Cầu chì kiểm định PCCC</t>
        </is>
      </c>
    </row>
    <row r="2100">
      <c r="A2100" t="inlineStr">
        <is>
          <t>SW-DAMPER-521-BODY</t>
        </is>
      </c>
      <c r="B2100" t="inlineStr">
        <is>
          <t>SW-DAMPER-521</t>
        </is>
      </c>
      <c r="C2100" t="inlineStr">
        <is>
          <t>Thân vỏ van FD bích TDF (0.75mm)</t>
        </is>
      </c>
      <c r="D2100" t="inlineStr">
        <is>
          <t>TÔN_CUỘN_MẠ_KẼM</t>
        </is>
      </c>
      <c r="E2100" t="inlineStr">
        <is>
          <t>MAT-STEEL-PN-0.75</t>
        </is>
      </c>
      <c r="F2100" t="inlineStr">
        <is>
          <t>kg</t>
        </is>
      </c>
      <c r="G2100" s="4" t="n">
        <v>2.650788</v>
      </c>
      <c r="H2100" s="2">
        <f>XLOOKUP(B2100, '00_TONG_HOP_BAO_GIA'!B:B, '00_TONG_HOP_BAO_GIA'!G:G, 1)</f>
        <v/>
      </c>
      <c r="I2100" s="5">
        <f>G2100*H2100</f>
        <v/>
      </c>
      <c r="J2100" s="2">
        <f>XLOOKUP(E2100, '06_BANG_GIA_VAT_TU_AP_DUNG'!B:B, '06_BANG_GIA_VAT_TU_AP_DUNG'!C:C, "LỖI_MÃ_VT")</f>
        <v/>
      </c>
      <c r="K2100" s="2">
        <f>I2100*J2100</f>
        <v/>
      </c>
      <c r="L2100" t="inlineStr">
        <is>
          <t>Kích thước vỏ 450.0x200.0x250mm</t>
        </is>
      </c>
    </row>
    <row r="2101">
      <c r="A2101" t="inlineStr">
        <is>
          <t>SW-DAMPER-521-BLADE</t>
        </is>
      </c>
      <c r="B2101" t="inlineStr">
        <is>
          <t>SW-DAMPER-521</t>
        </is>
      </c>
      <c r="C2101" t="inlineStr">
        <is>
          <t>Lá cánh van (2 cánh overlap)</t>
        </is>
      </c>
      <c r="D2101" t="inlineStr">
        <is>
          <t>TÔN_CUỘN_MẠ_KẼM</t>
        </is>
      </c>
      <c r="E2101" t="inlineStr">
        <is>
          <t>MAT-STEEL-PN-0.75</t>
        </is>
      </c>
      <c r="F2101" t="inlineStr">
        <is>
          <t>kg</t>
        </is>
      </c>
      <c r="G2101" s="4" t="n">
        <v>0.6867179999999999</v>
      </c>
      <c r="H2101" s="2">
        <f>XLOOKUP(B2101, '00_TONG_HOP_BAO_GIA'!B:B, '00_TONG_HOP_BAO_GIA'!G:G, 1)</f>
        <v/>
      </c>
      <c r="I2101" s="5">
        <f>G2101*H2101</f>
        <v/>
      </c>
      <c r="J2101" s="2">
        <f>XLOOKUP(E2101, '06_BANG_GIA_VAT_TU_AP_DUNG'!B:B, '06_BANG_GIA_VAT_TU_AP_DUNG'!C:C, "LỖI_MÃ_VT")</f>
        <v/>
      </c>
      <c r="K2101" s="2">
        <f>I2101*J2101</f>
        <v/>
      </c>
      <c r="L2101" t="inlineStr">
        <is>
          <t>2 cánh cao 120mm</t>
        </is>
      </c>
    </row>
    <row r="2102">
      <c r="A2102" t="inlineStr">
        <is>
          <t>SW-DAMPER-521-AXLE</t>
        </is>
      </c>
      <c r="B2102" t="inlineStr">
        <is>
          <t>SW-DAMPER-521</t>
        </is>
      </c>
      <c r="C2102" t="inlineStr">
        <is>
          <t>Trục Sus 201 D10</t>
        </is>
      </c>
      <c r="D2102" t="inlineStr">
        <is>
          <t>PHỤ_KIỆN_VAN</t>
        </is>
      </c>
      <c r="E2102" t="inlineStr">
        <is>
          <t>MAT-DAMPER-TRUC-SUS-201-D10</t>
        </is>
      </c>
      <c r="F2102" t="inlineStr">
        <is>
          <t>m</t>
        </is>
      </c>
      <c r="G2102" s="4" t="n">
        <v>1.02</v>
      </c>
      <c r="H2102" s="2">
        <f>XLOOKUP(B2102, '00_TONG_HOP_BAO_GIA'!B:B, '00_TONG_HOP_BAO_GIA'!G:G, 1)</f>
        <v/>
      </c>
      <c r="I2102" s="5">
        <f>G2102*H2102</f>
        <v/>
      </c>
      <c r="J2102" s="2">
        <f>XLOOKUP(E2102, '06_BANG_GIA_VAT_TU_AP_DUNG'!B:B, '06_BANG_GIA_VAT_TU_AP_DUNG'!C:C, "LỖI_MÃ_VT")</f>
        <v/>
      </c>
      <c r="K2102" s="2">
        <f>I2102*J2102</f>
        <v/>
      </c>
      <c r="L2102" t="inlineStr">
        <is>
          <t>2 trục dài 510mm</t>
        </is>
      </c>
    </row>
    <row r="2103">
      <c r="A2103" t="inlineStr">
        <is>
          <t>SW-DAMPER-521-BEARING</t>
        </is>
      </c>
      <c r="B2103" t="inlineStr">
        <is>
          <t>SW-DAMPER-521</t>
        </is>
      </c>
      <c r="C2103" t="inlineStr">
        <is>
          <t>Bạc đồng D10</t>
        </is>
      </c>
      <c r="D2103" t="inlineStr">
        <is>
          <t>PHỤ_KIỆN_VAN</t>
        </is>
      </c>
      <c r="E2103" t="inlineStr">
        <is>
          <t>MAT-DAMPER-BAC-DONG-D10</t>
        </is>
      </c>
      <c r="F2103" t="inlineStr">
        <is>
          <t>Đôi</t>
        </is>
      </c>
      <c r="G2103" s="4" t="n">
        <v>2</v>
      </c>
      <c r="H2103" s="2">
        <f>XLOOKUP(B2103, '00_TONG_HOP_BAO_GIA'!B:B, '00_TONG_HOP_BAO_GIA'!G:G, 1)</f>
        <v/>
      </c>
      <c r="I2103" s="5">
        <f>G2103*H2103</f>
        <v/>
      </c>
      <c r="J2103" s="2">
        <f>XLOOKUP(E2103, '06_BANG_GIA_VAT_TU_AP_DUNG'!B:B, '06_BANG_GIA_VAT_TU_AP_DUNG'!C:C, "LỖI_MÃ_VT")</f>
        <v/>
      </c>
      <c r="K2103" s="2">
        <f>I2103*J2103</f>
        <v/>
      </c>
      <c r="L2103" t="inlineStr">
        <is>
          <t>2 đôi bạc đỡ 2 bên thân</t>
        </is>
      </c>
    </row>
    <row r="2104">
      <c r="A2104" t="inlineStr">
        <is>
          <t>SW-DAMPER-521-GEAR</t>
        </is>
      </c>
      <c r="B2104" t="inlineStr">
        <is>
          <t>SW-DAMPER-521</t>
        </is>
      </c>
      <c r="C2104" t="inlineStr">
        <is>
          <t>Bánh răng van nhôm</t>
        </is>
      </c>
      <c r="D2104" t="inlineStr">
        <is>
          <t>PHỤ_KIỆN_VAN</t>
        </is>
      </c>
      <c r="E2104" t="inlineStr">
        <is>
          <t>MAT-DAMPER-BANH-RANG-VAN-NHOM</t>
        </is>
      </c>
      <c r="F2104" t="inlineStr">
        <is>
          <t>Bộ</t>
        </is>
      </c>
      <c r="G2104" s="4" t="n">
        <v>1</v>
      </c>
      <c r="H2104" s="2">
        <f>XLOOKUP(B2104, '00_TONG_HOP_BAO_GIA'!B:B, '00_TONG_HOP_BAO_GIA'!G:G, 1)</f>
        <v/>
      </c>
      <c r="I2104" s="5">
        <f>G2104*H2104</f>
        <v/>
      </c>
      <c r="J2104" s="2">
        <f>XLOOKUP(E2104, '06_BANG_GIA_VAT_TU_AP_DUNG'!B:B, '06_BANG_GIA_VAT_TU_AP_DUNG'!C:C, "LỖI_MÃ_VT")</f>
        <v/>
      </c>
      <c r="K2104" s="2">
        <f>I2104*J2104</f>
        <v/>
      </c>
      <c r="L2104" t="inlineStr">
        <is>
          <t>Cơ cấu liên động bánh răng van</t>
        </is>
      </c>
    </row>
    <row r="2105">
      <c r="A2105" t="inlineStr">
        <is>
          <t>SW-DAMPER-521-FUSE</t>
        </is>
      </c>
      <c r="B2105" t="inlineStr">
        <is>
          <t>SW-DAMPER-521</t>
        </is>
      </c>
      <c r="C2105" t="inlineStr">
        <is>
          <t>Cầu chì nhiệt nóng chảy 70°C (Elsie/USA)</t>
        </is>
      </c>
      <c r="D2105" t="inlineStr">
        <is>
          <t>PHỤ_KIỆN_VAN</t>
        </is>
      </c>
      <c r="E2105" t="inlineStr">
        <is>
          <t>MAT-DAMPER-CAU-CHI-USA-2-400X400</t>
        </is>
      </c>
      <c r="F2105" t="inlineStr">
        <is>
          <t>Cái</t>
        </is>
      </c>
      <c r="G2105" s="4" t="n">
        <v>1</v>
      </c>
      <c r="H2105" s="2">
        <f>XLOOKUP(B2105, '00_TONG_HOP_BAO_GIA'!B:B, '00_TONG_HOP_BAO_GIA'!G:G, 1)</f>
        <v/>
      </c>
      <c r="I2105" s="5">
        <f>G2105*H2105</f>
        <v/>
      </c>
      <c r="J2105" s="2">
        <f>XLOOKUP(E2105, '06_BANG_GIA_VAT_TU_AP_DUNG'!B:B, '06_BANG_GIA_VAT_TU_AP_DUNG'!C:C, "LỖI_MÃ_VT")</f>
        <v/>
      </c>
      <c r="K2105" s="2">
        <f>I2105*J2105</f>
        <v/>
      </c>
      <c r="L2105" t="inlineStr">
        <is>
          <t>Cầu chì kiểm định PCCC</t>
        </is>
      </c>
    </row>
    <row r="2106">
      <c r="A2106" t="inlineStr">
        <is>
          <t>SW-DAMPER-522-BODY</t>
        </is>
      </c>
      <c r="B2106" t="inlineStr">
        <is>
          <t>SW-DAMPER-522</t>
        </is>
      </c>
      <c r="C2106" t="inlineStr">
        <is>
          <t>Thân vỏ van FD bích TDF (0.75mm)</t>
        </is>
      </c>
      <c r="D2106" t="inlineStr">
        <is>
          <t>TÔN_CUỘN_MẠ_KẼM</t>
        </is>
      </c>
      <c r="E2106" t="inlineStr">
        <is>
          <t>MAT-STEEL-PN-0.75</t>
        </is>
      </c>
      <c r="F2106" t="inlineStr">
        <is>
          <t>kg</t>
        </is>
      </c>
      <c r="G2106" s="4" t="n">
        <v>3.244247999999999</v>
      </c>
      <c r="H2106" s="2">
        <f>XLOOKUP(B2106, '00_TONG_HOP_BAO_GIA'!B:B, '00_TONG_HOP_BAO_GIA'!G:G, 1)</f>
        <v/>
      </c>
      <c r="I2106" s="5">
        <f>G2106*H2106</f>
        <v/>
      </c>
      <c r="J2106" s="2">
        <f>XLOOKUP(E2106, '06_BANG_GIA_VAT_TU_AP_DUNG'!B:B, '06_BANG_GIA_VAT_TU_AP_DUNG'!C:C, "LỖI_MÃ_VT")</f>
        <v/>
      </c>
      <c r="K2106" s="2">
        <f>I2106*J2106</f>
        <v/>
      </c>
      <c r="L2106" t="inlineStr">
        <is>
          <t>Kích thước vỏ 600.0x200.0x250mm</t>
        </is>
      </c>
    </row>
    <row r="2107">
      <c r="A2107" t="inlineStr">
        <is>
          <t>SW-DAMPER-522-BLADE</t>
        </is>
      </c>
      <c r="B2107" t="inlineStr">
        <is>
          <t>SW-DAMPER-522</t>
        </is>
      </c>
      <c r="C2107" t="inlineStr">
        <is>
          <t>Lá cánh van (2 cánh overlap)</t>
        </is>
      </c>
      <c r="D2107" t="inlineStr">
        <is>
          <t>TÔN_CUỘN_MẠ_KẼM</t>
        </is>
      </c>
      <c r="E2107" t="inlineStr">
        <is>
          <t>MAT-STEEL-PN-0.75</t>
        </is>
      </c>
      <c r="F2107" t="inlineStr">
        <is>
          <t>kg</t>
        </is>
      </c>
      <c r="G2107" s="4" t="n">
        <v>0.9156239999999999</v>
      </c>
      <c r="H2107" s="2">
        <f>XLOOKUP(B2107, '00_TONG_HOP_BAO_GIA'!B:B, '00_TONG_HOP_BAO_GIA'!G:G, 1)</f>
        <v/>
      </c>
      <c r="I2107" s="5">
        <f>G2107*H2107</f>
        <v/>
      </c>
      <c r="J2107" s="2">
        <f>XLOOKUP(E2107, '06_BANG_GIA_VAT_TU_AP_DUNG'!B:B, '06_BANG_GIA_VAT_TU_AP_DUNG'!C:C, "LỖI_MÃ_VT")</f>
        <v/>
      </c>
      <c r="K2107" s="2">
        <f>I2107*J2107</f>
        <v/>
      </c>
      <c r="L2107" t="inlineStr">
        <is>
          <t>2 cánh cao 120mm</t>
        </is>
      </c>
    </row>
    <row r="2108">
      <c r="A2108" t="inlineStr">
        <is>
          <t>SW-DAMPER-522-AXLE</t>
        </is>
      </c>
      <c r="B2108" t="inlineStr">
        <is>
          <t>SW-DAMPER-522</t>
        </is>
      </c>
      <c r="C2108" t="inlineStr">
        <is>
          <t>Trục Sus 201 D10</t>
        </is>
      </c>
      <c r="D2108" t="inlineStr">
        <is>
          <t>PHỤ_KIỆN_VAN</t>
        </is>
      </c>
      <c r="E2108" t="inlineStr">
        <is>
          <t>MAT-DAMPER-TRUC-SUS-201-D10</t>
        </is>
      </c>
      <c r="F2108" t="inlineStr">
        <is>
          <t>m</t>
        </is>
      </c>
      <c r="G2108" s="4" t="n">
        <v>1.32</v>
      </c>
      <c r="H2108" s="2">
        <f>XLOOKUP(B2108, '00_TONG_HOP_BAO_GIA'!B:B, '00_TONG_HOP_BAO_GIA'!G:G, 1)</f>
        <v/>
      </c>
      <c r="I2108" s="5">
        <f>G2108*H2108</f>
        <v/>
      </c>
      <c r="J2108" s="2">
        <f>XLOOKUP(E2108, '06_BANG_GIA_VAT_TU_AP_DUNG'!B:B, '06_BANG_GIA_VAT_TU_AP_DUNG'!C:C, "LỖI_MÃ_VT")</f>
        <v/>
      </c>
      <c r="K2108" s="2">
        <f>I2108*J2108</f>
        <v/>
      </c>
      <c r="L2108" t="inlineStr">
        <is>
          <t>2 trục dài 660mm</t>
        </is>
      </c>
    </row>
    <row r="2109">
      <c r="A2109" t="inlineStr">
        <is>
          <t>SW-DAMPER-522-BEARING</t>
        </is>
      </c>
      <c r="B2109" t="inlineStr">
        <is>
          <t>SW-DAMPER-522</t>
        </is>
      </c>
      <c r="C2109" t="inlineStr">
        <is>
          <t>Bạc đồng D10</t>
        </is>
      </c>
      <c r="D2109" t="inlineStr">
        <is>
          <t>PHỤ_KIỆN_VAN</t>
        </is>
      </c>
      <c r="E2109" t="inlineStr">
        <is>
          <t>MAT-DAMPER-BAC-DONG-D10</t>
        </is>
      </c>
      <c r="F2109" t="inlineStr">
        <is>
          <t>Đôi</t>
        </is>
      </c>
      <c r="G2109" s="4" t="n">
        <v>2</v>
      </c>
      <c r="H2109" s="2">
        <f>XLOOKUP(B2109, '00_TONG_HOP_BAO_GIA'!B:B, '00_TONG_HOP_BAO_GIA'!G:G, 1)</f>
        <v/>
      </c>
      <c r="I2109" s="5">
        <f>G2109*H2109</f>
        <v/>
      </c>
      <c r="J2109" s="2">
        <f>XLOOKUP(E2109, '06_BANG_GIA_VAT_TU_AP_DUNG'!B:B, '06_BANG_GIA_VAT_TU_AP_DUNG'!C:C, "LỖI_MÃ_VT")</f>
        <v/>
      </c>
      <c r="K2109" s="2">
        <f>I2109*J2109</f>
        <v/>
      </c>
      <c r="L2109" t="inlineStr">
        <is>
          <t>2 đôi bạc đỡ 2 bên thân</t>
        </is>
      </c>
    </row>
    <row r="2110">
      <c r="A2110" t="inlineStr">
        <is>
          <t>SW-DAMPER-522-GEAR</t>
        </is>
      </c>
      <c r="B2110" t="inlineStr">
        <is>
          <t>SW-DAMPER-522</t>
        </is>
      </c>
      <c r="C2110" t="inlineStr">
        <is>
          <t>Bánh răng van nhôm</t>
        </is>
      </c>
      <c r="D2110" t="inlineStr">
        <is>
          <t>PHỤ_KIỆN_VAN</t>
        </is>
      </c>
      <c r="E2110" t="inlineStr">
        <is>
          <t>MAT-DAMPER-BANH-RANG-VAN-NHOM</t>
        </is>
      </c>
      <c r="F2110" t="inlineStr">
        <is>
          <t>Bộ</t>
        </is>
      </c>
      <c r="G2110" s="4" t="n">
        <v>1</v>
      </c>
      <c r="H2110" s="2">
        <f>XLOOKUP(B2110, '00_TONG_HOP_BAO_GIA'!B:B, '00_TONG_HOP_BAO_GIA'!G:G, 1)</f>
        <v/>
      </c>
      <c r="I2110" s="5">
        <f>G2110*H2110</f>
        <v/>
      </c>
      <c r="J2110" s="2">
        <f>XLOOKUP(E2110, '06_BANG_GIA_VAT_TU_AP_DUNG'!B:B, '06_BANG_GIA_VAT_TU_AP_DUNG'!C:C, "LỖI_MÃ_VT")</f>
        <v/>
      </c>
      <c r="K2110" s="2">
        <f>I2110*J2110</f>
        <v/>
      </c>
      <c r="L2110" t="inlineStr">
        <is>
          <t>Cơ cấu liên động bánh răng van</t>
        </is>
      </c>
    </row>
    <row r="2111">
      <c r="A2111" t="inlineStr">
        <is>
          <t>SW-DAMPER-522-FUSE</t>
        </is>
      </c>
      <c r="B2111" t="inlineStr">
        <is>
          <t>SW-DAMPER-522</t>
        </is>
      </c>
      <c r="C2111" t="inlineStr">
        <is>
          <t>Cầu chì nhiệt nóng chảy 70°C (Elsie/USA)</t>
        </is>
      </c>
      <c r="D2111" t="inlineStr">
        <is>
          <t>PHỤ_KIỆN_VAN</t>
        </is>
      </c>
      <c r="E2111" t="inlineStr">
        <is>
          <t>MAT-DAMPER-CAU-CHI-USA-2-400X400</t>
        </is>
      </c>
      <c r="F2111" t="inlineStr">
        <is>
          <t>Cái</t>
        </is>
      </c>
      <c r="G2111" s="4" t="n">
        <v>1</v>
      </c>
      <c r="H2111" s="2">
        <f>XLOOKUP(B2111, '00_TONG_HOP_BAO_GIA'!B:B, '00_TONG_HOP_BAO_GIA'!G:G, 1)</f>
        <v/>
      </c>
      <c r="I2111" s="5">
        <f>G2111*H2111</f>
        <v/>
      </c>
      <c r="J2111" s="2">
        <f>XLOOKUP(E2111, '06_BANG_GIA_VAT_TU_AP_DUNG'!B:B, '06_BANG_GIA_VAT_TU_AP_DUNG'!C:C, "LỖI_MÃ_VT")</f>
        <v/>
      </c>
      <c r="K2111" s="2">
        <f>I2111*J2111</f>
        <v/>
      </c>
      <c r="L2111" t="inlineStr">
        <is>
          <t>Cầu chì kiểm định PCCC</t>
        </is>
      </c>
    </row>
    <row r="2112">
      <c r="A2112" t="inlineStr">
        <is>
          <t>SW-DAMPER-523-BODY</t>
        </is>
      </c>
      <c r="B2112" t="inlineStr">
        <is>
          <t>SW-DAMPER-523</t>
        </is>
      </c>
      <c r="C2112" t="inlineStr">
        <is>
          <t>Thân vỏ van FD bích TDF (0.75mm)</t>
        </is>
      </c>
      <c r="D2112" t="inlineStr">
        <is>
          <t>TÔN_CUỘN_MẠ_KẼM</t>
        </is>
      </c>
      <c r="E2112" t="inlineStr">
        <is>
          <t>MAT-STEEL-PN-0.75</t>
        </is>
      </c>
      <c r="F2112" t="inlineStr">
        <is>
          <t>kg</t>
        </is>
      </c>
      <c r="G2112" s="4" t="n">
        <v>3.639888</v>
      </c>
      <c r="H2112" s="2">
        <f>XLOOKUP(B2112, '00_TONG_HOP_BAO_GIA'!B:B, '00_TONG_HOP_BAO_GIA'!G:G, 1)</f>
        <v/>
      </c>
      <c r="I2112" s="5">
        <f>G2112*H2112</f>
        <v/>
      </c>
      <c r="J2112" s="2">
        <f>XLOOKUP(E2112, '06_BANG_GIA_VAT_TU_AP_DUNG'!B:B, '06_BANG_GIA_VAT_TU_AP_DUNG'!C:C, "LỖI_MÃ_VT")</f>
        <v/>
      </c>
      <c r="K2112" s="2">
        <f>I2112*J2112</f>
        <v/>
      </c>
      <c r="L2112" t="inlineStr">
        <is>
          <t>Kích thước vỏ 600.0x300.0x250mm</t>
        </is>
      </c>
    </row>
    <row r="2113">
      <c r="A2113" t="inlineStr">
        <is>
          <t>SW-DAMPER-523-BLADE</t>
        </is>
      </c>
      <c r="B2113" t="inlineStr">
        <is>
          <t>SW-DAMPER-523</t>
        </is>
      </c>
      <c r="C2113" t="inlineStr">
        <is>
          <t>Lá cánh van (2 cánh overlap)</t>
        </is>
      </c>
      <c r="D2113" t="inlineStr">
        <is>
          <t>TÔN_CUỘN_MẠ_KẼM</t>
        </is>
      </c>
      <c r="E2113" t="inlineStr">
        <is>
          <t>MAT-STEEL-PN-0.75</t>
        </is>
      </c>
      <c r="F2113" t="inlineStr">
        <is>
          <t>kg</t>
        </is>
      </c>
      <c r="G2113" s="4" t="n">
        <v>1.297134</v>
      </c>
      <c r="H2113" s="2">
        <f>XLOOKUP(B2113, '00_TONG_HOP_BAO_GIA'!B:B, '00_TONG_HOP_BAO_GIA'!G:G, 1)</f>
        <v/>
      </c>
      <c r="I2113" s="5">
        <f>G2113*H2113</f>
        <v/>
      </c>
      <c r="J2113" s="2">
        <f>XLOOKUP(E2113, '06_BANG_GIA_VAT_TU_AP_DUNG'!B:B, '06_BANG_GIA_VAT_TU_AP_DUNG'!C:C, "LỖI_MÃ_VT")</f>
        <v/>
      </c>
      <c r="K2113" s="2">
        <f>I2113*J2113</f>
        <v/>
      </c>
      <c r="L2113" t="inlineStr">
        <is>
          <t>2 cánh cao 170mm</t>
        </is>
      </c>
    </row>
    <row r="2114">
      <c r="A2114" t="inlineStr">
        <is>
          <t>SW-DAMPER-523-AXLE</t>
        </is>
      </c>
      <c r="B2114" t="inlineStr">
        <is>
          <t>SW-DAMPER-523</t>
        </is>
      </c>
      <c r="C2114" t="inlineStr">
        <is>
          <t>Trục Sus 201 D10</t>
        </is>
      </c>
      <c r="D2114" t="inlineStr">
        <is>
          <t>PHỤ_KIỆN_VAN</t>
        </is>
      </c>
      <c r="E2114" t="inlineStr">
        <is>
          <t>MAT-DAMPER-TRUC-SUS-201-D10</t>
        </is>
      </c>
      <c r="F2114" t="inlineStr">
        <is>
          <t>m</t>
        </is>
      </c>
      <c r="G2114" s="4" t="n">
        <v>1.32</v>
      </c>
      <c r="H2114" s="2">
        <f>XLOOKUP(B2114, '00_TONG_HOP_BAO_GIA'!B:B, '00_TONG_HOP_BAO_GIA'!G:G, 1)</f>
        <v/>
      </c>
      <c r="I2114" s="5">
        <f>G2114*H2114</f>
        <v/>
      </c>
      <c r="J2114" s="2">
        <f>XLOOKUP(E2114, '06_BANG_GIA_VAT_TU_AP_DUNG'!B:B, '06_BANG_GIA_VAT_TU_AP_DUNG'!C:C, "LỖI_MÃ_VT")</f>
        <v/>
      </c>
      <c r="K2114" s="2">
        <f>I2114*J2114</f>
        <v/>
      </c>
      <c r="L2114" t="inlineStr">
        <is>
          <t>2 trục dài 660mm</t>
        </is>
      </c>
    </row>
    <row r="2115">
      <c r="A2115" t="inlineStr">
        <is>
          <t>SW-DAMPER-523-BEARING</t>
        </is>
      </c>
      <c r="B2115" t="inlineStr">
        <is>
          <t>SW-DAMPER-523</t>
        </is>
      </c>
      <c r="C2115" t="inlineStr">
        <is>
          <t>Bạc đồng D10</t>
        </is>
      </c>
      <c r="D2115" t="inlineStr">
        <is>
          <t>PHỤ_KIỆN_VAN</t>
        </is>
      </c>
      <c r="E2115" t="inlineStr">
        <is>
          <t>MAT-DAMPER-BAC-DONG-D10</t>
        </is>
      </c>
      <c r="F2115" t="inlineStr">
        <is>
          <t>Đôi</t>
        </is>
      </c>
      <c r="G2115" s="4" t="n">
        <v>2</v>
      </c>
      <c r="H2115" s="2">
        <f>XLOOKUP(B2115, '00_TONG_HOP_BAO_GIA'!B:B, '00_TONG_HOP_BAO_GIA'!G:G, 1)</f>
        <v/>
      </c>
      <c r="I2115" s="5">
        <f>G2115*H2115</f>
        <v/>
      </c>
      <c r="J2115" s="2">
        <f>XLOOKUP(E2115, '06_BANG_GIA_VAT_TU_AP_DUNG'!B:B, '06_BANG_GIA_VAT_TU_AP_DUNG'!C:C, "LỖI_MÃ_VT")</f>
        <v/>
      </c>
      <c r="K2115" s="2">
        <f>I2115*J2115</f>
        <v/>
      </c>
      <c r="L2115" t="inlineStr">
        <is>
          <t>2 đôi bạc đỡ 2 bên thân</t>
        </is>
      </c>
    </row>
    <row r="2116">
      <c r="A2116" t="inlineStr">
        <is>
          <t>SW-DAMPER-523-GEAR</t>
        </is>
      </c>
      <c r="B2116" t="inlineStr">
        <is>
          <t>SW-DAMPER-523</t>
        </is>
      </c>
      <c r="C2116" t="inlineStr">
        <is>
          <t>Bánh răng van nhôm</t>
        </is>
      </c>
      <c r="D2116" t="inlineStr">
        <is>
          <t>PHỤ_KIỆN_VAN</t>
        </is>
      </c>
      <c r="E2116" t="inlineStr">
        <is>
          <t>MAT-DAMPER-BANH-RANG-VAN-NHOM</t>
        </is>
      </c>
      <c r="F2116" t="inlineStr">
        <is>
          <t>Bộ</t>
        </is>
      </c>
      <c r="G2116" s="4" t="n">
        <v>1</v>
      </c>
      <c r="H2116" s="2">
        <f>XLOOKUP(B2116, '00_TONG_HOP_BAO_GIA'!B:B, '00_TONG_HOP_BAO_GIA'!G:G, 1)</f>
        <v/>
      </c>
      <c r="I2116" s="5">
        <f>G2116*H2116</f>
        <v/>
      </c>
      <c r="J2116" s="2">
        <f>XLOOKUP(E2116, '06_BANG_GIA_VAT_TU_AP_DUNG'!B:B, '06_BANG_GIA_VAT_TU_AP_DUNG'!C:C, "LỖI_MÃ_VT")</f>
        <v/>
      </c>
      <c r="K2116" s="2">
        <f>I2116*J2116</f>
        <v/>
      </c>
      <c r="L2116" t="inlineStr">
        <is>
          <t>Cơ cấu liên động bánh răng van</t>
        </is>
      </c>
    </row>
    <row r="2117">
      <c r="A2117" t="inlineStr">
        <is>
          <t>SW-DAMPER-523-FUSE</t>
        </is>
      </c>
      <c r="B2117" t="inlineStr">
        <is>
          <t>SW-DAMPER-523</t>
        </is>
      </c>
      <c r="C2117" t="inlineStr">
        <is>
          <t>Cầu chì nhiệt nóng chảy 70°C (Elsie/USA)</t>
        </is>
      </c>
      <c r="D2117" t="inlineStr">
        <is>
          <t>PHỤ_KIỆN_VAN</t>
        </is>
      </c>
      <c r="E2117" t="inlineStr">
        <is>
          <t>MAT-DAMPER-CAU-CHI-USA-2-400X400</t>
        </is>
      </c>
      <c r="F2117" t="inlineStr">
        <is>
          <t>Cái</t>
        </is>
      </c>
      <c r="G2117" s="4" t="n">
        <v>1</v>
      </c>
      <c r="H2117" s="2">
        <f>XLOOKUP(B2117, '00_TONG_HOP_BAO_GIA'!B:B, '00_TONG_HOP_BAO_GIA'!G:G, 1)</f>
        <v/>
      </c>
      <c r="I2117" s="5">
        <f>G2117*H2117</f>
        <v/>
      </c>
      <c r="J2117" s="2">
        <f>XLOOKUP(E2117, '06_BANG_GIA_VAT_TU_AP_DUNG'!B:B, '06_BANG_GIA_VAT_TU_AP_DUNG'!C:C, "LỖI_MÃ_VT")</f>
        <v/>
      </c>
      <c r="K2117" s="2">
        <f>I2117*J2117</f>
        <v/>
      </c>
      <c r="L2117" t="inlineStr">
        <is>
          <t>Cầu chì kiểm định PCCC</t>
        </is>
      </c>
    </row>
    <row r="2118">
      <c r="A2118" t="inlineStr">
        <is>
          <t>SW-DAMPER-524-BODY</t>
        </is>
      </c>
      <c r="B2118" t="inlineStr">
        <is>
          <t>SW-DAMPER-524</t>
        </is>
      </c>
      <c r="C2118" t="inlineStr">
        <is>
          <t>Thân vỏ van FD bích TDF (0.75mm)</t>
        </is>
      </c>
      <c r="D2118" t="inlineStr">
        <is>
          <t>TÔN_CUỘN_MẠ_KẼM</t>
        </is>
      </c>
      <c r="E2118" t="inlineStr">
        <is>
          <t>MAT-STEEL-PN-0.75</t>
        </is>
      </c>
      <c r="F2118" t="inlineStr">
        <is>
          <t>kg</t>
        </is>
      </c>
      <c r="G2118" s="4" t="n">
        <v>4.826808</v>
      </c>
      <c r="H2118" s="2">
        <f>XLOOKUP(B2118, '00_TONG_HOP_BAO_GIA'!B:B, '00_TONG_HOP_BAO_GIA'!G:G, 1)</f>
        <v/>
      </c>
      <c r="I2118" s="5">
        <f>G2118*H2118</f>
        <v/>
      </c>
      <c r="J2118" s="2">
        <f>XLOOKUP(E2118, '06_BANG_GIA_VAT_TU_AP_DUNG'!B:B, '06_BANG_GIA_VAT_TU_AP_DUNG'!C:C, "LỖI_MÃ_VT")</f>
        <v/>
      </c>
      <c r="K2118" s="2">
        <f>I2118*J2118</f>
        <v/>
      </c>
      <c r="L2118" t="inlineStr">
        <is>
          <t>Kích thước vỏ 750.0x450.0x250mm</t>
        </is>
      </c>
    </row>
    <row r="2119">
      <c r="A2119" t="inlineStr">
        <is>
          <t>SW-DAMPER-524-BLADE</t>
        </is>
      </c>
      <c r="B2119" t="inlineStr">
        <is>
          <t>SW-DAMPER-524</t>
        </is>
      </c>
      <c r="C2119" t="inlineStr">
        <is>
          <t>Lá cánh van (3 cánh overlap)</t>
        </is>
      </c>
      <c r="D2119" t="inlineStr">
        <is>
          <t>TÔN_CUỘN_MẠ_KẼM</t>
        </is>
      </c>
      <c r="E2119" t="inlineStr">
        <is>
          <t>MAT-STEEL-PN-0.75</t>
        </is>
      </c>
      <c r="F2119" t="inlineStr">
        <is>
          <t>kg</t>
        </is>
      </c>
      <c r="G2119" s="4" t="n">
        <v>2.43212625</v>
      </c>
      <c r="H2119" s="2">
        <f>XLOOKUP(B2119, '00_TONG_HOP_BAO_GIA'!B:B, '00_TONG_HOP_BAO_GIA'!G:G, 1)</f>
        <v/>
      </c>
      <c r="I2119" s="5">
        <f>G2119*H2119</f>
        <v/>
      </c>
      <c r="J2119" s="2">
        <f>XLOOKUP(E2119, '06_BANG_GIA_VAT_TU_AP_DUNG'!B:B, '06_BANG_GIA_VAT_TU_AP_DUNG'!C:C, "LỖI_MÃ_VT")</f>
        <v/>
      </c>
      <c r="K2119" s="2">
        <f>I2119*J2119</f>
        <v/>
      </c>
      <c r="L2119" t="inlineStr">
        <is>
          <t>3 cánh cao 170mm</t>
        </is>
      </c>
    </row>
    <row r="2120">
      <c r="A2120" t="inlineStr">
        <is>
          <t>SW-DAMPER-524-AXLE</t>
        </is>
      </c>
      <c r="B2120" t="inlineStr">
        <is>
          <t>SW-DAMPER-524</t>
        </is>
      </c>
      <c r="C2120" t="inlineStr">
        <is>
          <t>Trục Sus 201 D10</t>
        </is>
      </c>
      <c r="D2120" t="inlineStr">
        <is>
          <t>PHỤ_KIỆN_VAN</t>
        </is>
      </c>
      <c r="E2120" t="inlineStr">
        <is>
          <t>MAT-DAMPER-TRUC-SUS-201-D10</t>
        </is>
      </c>
      <c r="F2120" t="inlineStr">
        <is>
          <t>m</t>
        </is>
      </c>
      <c r="G2120" s="4" t="n">
        <v>2.43</v>
      </c>
      <c r="H2120" s="2">
        <f>XLOOKUP(B2120, '00_TONG_HOP_BAO_GIA'!B:B, '00_TONG_HOP_BAO_GIA'!G:G, 1)</f>
        <v/>
      </c>
      <c r="I2120" s="5">
        <f>G2120*H2120</f>
        <v/>
      </c>
      <c r="J2120" s="2">
        <f>XLOOKUP(E2120, '06_BANG_GIA_VAT_TU_AP_DUNG'!B:B, '06_BANG_GIA_VAT_TU_AP_DUNG'!C:C, "LỖI_MÃ_VT")</f>
        <v/>
      </c>
      <c r="K2120" s="2">
        <f>I2120*J2120</f>
        <v/>
      </c>
      <c r="L2120" t="inlineStr">
        <is>
          <t>3 trục dài 810mm</t>
        </is>
      </c>
    </row>
    <row r="2121">
      <c r="A2121" t="inlineStr">
        <is>
          <t>SW-DAMPER-524-BEARING</t>
        </is>
      </c>
      <c r="B2121" t="inlineStr">
        <is>
          <t>SW-DAMPER-524</t>
        </is>
      </c>
      <c r="C2121" t="inlineStr">
        <is>
          <t>Bạc đồng D10</t>
        </is>
      </c>
      <c r="D2121" t="inlineStr">
        <is>
          <t>PHỤ_KIỆN_VAN</t>
        </is>
      </c>
      <c r="E2121" t="inlineStr">
        <is>
          <t>MAT-DAMPER-BAC-DONG-D10</t>
        </is>
      </c>
      <c r="F2121" t="inlineStr">
        <is>
          <t>Đôi</t>
        </is>
      </c>
      <c r="G2121" s="4" t="n">
        <v>3</v>
      </c>
      <c r="H2121" s="2">
        <f>XLOOKUP(B2121, '00_TONG_HOP_BAO_GIA'!B:B, '00_TONG_HOP_BAO_GIA'!G:G, 1)</f>
        <v/>
      </c>
      <c r="I2121" s="5">
        <f>G2121*H2121</f>
        <v/>
      </c>
      <c r="J2121" s="2">
        <f>XLOOKUP(E2121, '06_BANG_GIA_VAT_TU_AP_DUNG'!B:B, '06_BANG_GIA_VAT_TU_AP_DUNG'!C:C, "LỖI_MÃ_VT")</f>
        <v/>
      </c>
      <c r="K2121" s="2">
        <f>I2121*J2121</f>
        <v/>
      </c>
      <c r="L2121" t="inlineStr">
        <is>
          <t>3 đôi bạc đỡ 2 bên thân</t>
        </is>
      </c>
    </row>
    <row r="2122">
      <c r="A2122" t="inlineStr">
        <is>
          <t>SW-DAMPER-524-GEAR</t>
        </is>
      </c>
      <c r="B2122" t="inlineStr">
        <is>
          <t>SW-DAMPER-524</t>
        </is>
      </c>
      <c r="C2122" t="inlineStr">
        <is>
          <t>Bánh răng van nhôm</t>
        </is>
      </c>
      <c r="D2122" t="inlineStr">
        <is>
          <t>PHỤ_KIỆN_VAN</t>
        </is>
      </c>
      <c r="E2122" t="inlineStr">
        <is>
          <t>MAT-DAMPER-BANH-RANG-VAN-NHOM</t>
        </is>
      </c>
      <c r="F2122" t="inlineStr">
        <is>
          <t>Bộ</t>
        </is>
      </c>
      <c r="G2122" s="4" t="n">
        <v>1</v>
      </c>
      <c r="H2122" s="2">
        <f>XLOOKUP(B2122, '00_TONG_HOP_BAO_GIA'!B:B, '00_TONG_HOP_BAO_GIA'!G:G, 1)</f>
        <v/>
      </c>
      <c r="I2122" s="5">
        <f>G2122*H2122</f>
        <v/>
      </c>
      <c r="J2122" s="2">
        <f>XLOOKUP(E2122, '06_BANG_GIA_VAT_TU_AP_DUNG'!B:B, '06_BANG_GIA_VAT_TU_AP_DUNG'!C:C, "LỖI_MÃ_VT")</f>
        <v/>
      </c>
      <c r="K2122" s="2">
        <f>I2122*J2122</f>
        <v/>
      </c>
      <c r="L2122" t="inlineStr">
        <is>
          <t>Cơ cấu liên động bánh răng van</t>
        </is>
      </c>
    </row>
    <row r="2123">
      <c r="A2123" t="inlineStr">
        <is>
          <t>SW-DAMPER-524-FUSE</t>
        </is>
      </c>
      <c r="B2123" t="inlineStr">
        <is>
          <t>SW-DAMPER-524</t>
        </is>
      </c>
      <c r="C2123" t="inlineStr">
        <is>
          <t>Cầu chì nhiệt nóng chảy 70°C (Elsie/USA)</t>
        </is>
      </c>
      <c r="D2123" t="inlineStr">
        <is>
          <t>PHỤ_KIỆN_VAN</t>
        </is>
      </c>
      <c r="E2123" t="inlineStr">
        <is>
          <t>MAT-DAMPER-CAU-CHI-USA-2-400X400</t>
        </is>
      </c>
      <c r="F2123" t="inlineStr">
        <is>
          <t>Cái</t>
        </is>
      </c>
      <c r="G2123" s="4" t="n">
        <v>1</v>
      </c>
      <c r="H2123" s="2">
        <f>XLOOKUP(B2123, '00_TONG_HOP_BAO_GIA'!B:B, '00_TONG_HOP_BAO_GIA'!G:G, 1)</f>
        <v/>
      </c>
      <c r="I2123" s="5">
        <f>G2123*H2123</f>
        <v/>
      </c>
      <c r="J2123" s="2">
        <f>XLOOKUP(E2123, '06_BANG_GIA_VAT_TU_AP_DUNG'!B:B, '06_BANG_GIA_VAT_TU_AP_DUNG'!C:C, "LỖI_MÃ_VT")</f>
        <v/>
      </c>
      <c r="K2123" s="2">
        <f>I2123*J2123</f>
        <v/>
      </c>
      <c r="L2123" t="inlineStr">
        <is>
          <t>Cầu chì kiểm định PCCC</t>
        </is>
      </c>
    </row>
    <row r="2124">
      <c r="A2124" t="inlineStr">
        <is>
          <t>SW-DAMPER-525-BODY</t>
        </is>
      </c>
      <c r="B2124" t="inlineStr">
        <is>
          <t>SW-DAMPER-525</t>
        </is>
      </c>
      <c r="C2124" t="inlineStr">
        <is>
          <t>Thân vỏ van FD bích TDF (0.95mm)</t>
        </is>
      </c>
      <c r="D2124" t="inlineStr">
        <is>
          <t>TÔN_CUỘN_MẠ_KẼM</t>
        </is>
      </c>
      <c r="E2124" t="inlineStr">
        <is>
          <t>MAT-STEEL-PN-0.95</t>
        </is>
      </c>
      <c r="F2124" t="inlineStr">
        <is>
          <t>kg</t>
        </is>
      </c>
      <c r="G2124" s="4" t="n">
        <v>7.1162448</v>
      </c>
      <c r="H2124" s="2">
        <f>XLOOKUP(B2124, '00_TONG_HOP_BAO_GIA'!B:B, '00_TONG_HOP_BAO_GIA'!G:G, 1)</f>
        <v/>
      </c>
      <c r="I2124" s="5">
        <f>G2124*H2124</f>
        <v/>
      </c>
      <c r="J2124" s="2">
        <f>XLOOKUP(E2124, '06_BANG_GIA_VAT_TU_AP_DUNG'!B:B, '06_BANG_GIA_VAT_TU_AP_DUNG'!C:C, "LỖI_MÃ_VT")</f>
        <v/>
      </c>
      <c r="K2124" s="2">
        <f>I2124*J2124</f>
        <v/>
      </c>
      <c r="L2124" t="inlineStr">
        <is>
          <t>Kích thước vỏ 900.0x500.0x250mm</t>
        </is>
      </c>
    </row>
    <row r="2125">
      <c r="A2125" t="inlineStr">
        <is>
          <t>SW-DAMPER-525-BLADE</t>
        </is>
      </c>
      <c r="B2125" t="inlineStr">
        <is>
          <t>SW-DAMPER-525</t>
        </is>
      </c>
      <c r="C2125" t="inlineStr">
        <is>
          <t>Lá cánh van (3 cánh overlap)</t>
        </is>
      </c>
      <c r="D2125" t="inlineStr">
        <is>
          <t>TÔN_CUỘN_MẠ_KẼM</t>
        </is>
      </c>
      <c r="E2125" t="inlineStr">
        <is>
          <t>MAT-STEEL-PN-0.75</t>
        </is>
      </c>
      <c r="F2125" t="inlineStr">
        <is>
          <t>kg</t>
        </is>
      </c>
      <c r="G2125" s="4" t="n">
        <v>3.204684</v>
      </c>
      <c r="H2125" s="2">
        <f>XLOOKUP(B2125, '00_TONG_HOP_BAO_GIA'!B:B, '00_TONG_HOP_BAO_GIA'!G:G, 1)</f>
        <v/>
      </c>
      <c r="I2125" s="5">
        <f>G2125*H2125</f>
        <v/>
      </c>
      <c r="J2125" s="2">
        <f>XLOOKUP(E2125, '06_BANG_GIA_VAT_TU_AP_DUNG'!B:B, '06_BANG_GIA_VAT_TU_AP_DUNG'!C:C, "LỖI_MÃ_VT")</f>
        <v/>
      </c>
      <c r="K2125" s="2">
        <f>I2125*J2125</f>
        <v/>
      </c>
      <c r="L2125" t="inlineStr">
        <is>
          <t>3 cánh cao 187mm</t>
        </is>
      </c>
    </row>
    <row r="2126">
      <c r="A2126" t="inlineStr">
        <is>
          <t>SW-DAMPER-525-AXLE</t>
        </is>
      </c>
      <c r="B2126" t="inlineStr">
        <is>
          <t>SW-DAMPER-525</t>
        </is>
      </c>
      <c r="C2126" t="inlineStr">
        <is>
          <t>Trục Sus 201 D10</t>
        </is>
      </c>
      <c r="D2126" t="inlineStr">
        <is>
          <t>PHỤ_KIỆN_VAN</t>
        </is>
      </c>
      <c r="E2126" t="inlineStr">
        <is>
          <t>MAT-DAMPER-TRUC-SUS-201-D10</t>
        </is>
      </c>
      <c r="F2126" t="inlineStr">
        <is>
          <t>m</t>
        </is>
      </c>
      <c r="G2126" s="4" t="n">
        <v>2.88</v>
      </c>
      <c r="H2126" s="2">
        <f>XLOOKUP(B2126, '00_TONG_HOP_BAO_GIA'!B:B, '00_TONG_HOP_BAO_GIA'!G:G, 1)</f>
        <v/>
      </c>
      <c r="I2126" s="5">
        <f>G2126*H2126</f>
        <v/>
      </c>
      <c r="J2126" s="2">
        <f>XLOOKUP(E2126, '06_BANG_GIA_VAT_TU_AP_DUNG'!B:B, '06_BANG_GIA_VAT_TU_AP_DUNG'!C:C, "LỖI_MÃ_VT")</f>
        <v/>
      </c>
      <c r="K2126" s="2">
        <f>I2126*J2126</f>
        <v/>
      </c>
      <c r="L2126" t="inlineStr">
        <is>
          <t>3 trục dài 960mm</t>
        </is>
      </c>
    </row>
    <row r="2127">
      <c r="A2127" t="inlineStr">
        <is>
          <t>SW-DAMPER-525-BEARING</t>
        </is>
      </c>
      <c r="B2127" t="inlineStr">
        <is>
          <t>SW-DAMPER-525</t>
        </is>
      </c>
      <c r="C2127" t="inlineStr">
        <is>
          <t>Bạc đồng D10</t>
        </is>
      </c>
      <c r="D2127" t="inlineStr">
        <is>
          <t>PHỤ_KIỆN_VAN</t>
        </is>
      </c>
      <c r="E2127" t="inlineStr">
        <is>
          <t>MAT-DAMPER-BAC-DONG-D10</t>
        </is>
      </c>
      <c r="F2127" t="inlineStr">
        <is>
          <t>Đôi</t>
        </is>
      </c>
      <c r="G2127" s="4" t="n">
        <v>3</v>
      </c>
      <c r="H2127" s="2">
        <f>XLOOKUP(B2127, '00_TONG_HOP_BAO_GIA'!B:B, '00_TONG_HOP_BAO_GIA'!G:G, 1)</f>
        <v/>
      </c>
      <c r="I2127" s="5">
        <f>G2127*H2127</f>
        <v/>
      </c>
      <c r="J2127" s="2">
        <f>XLOOKUP(E2127, '06_BANG_GIA_VAT_TU_AP_DUNG'!B:B, '06_BANG_GIA_VAT_TU_AP_DUNG'!C:C, "LỖI_MÃ_VT")</f>
        <v/>
      </c>
      <c r="K2127" s="2">
        <f>I2127*J2127</f>
        <v/>
      </c>
      <c r="L2127" t="inlineStr">
        <is>
          <t>3 đôi bạc đỡ 2 bên thân</t>
        </is>
      </c>
    </row>
    <row r="2128">
      <c r="A2128" t="inlineStr">
        <is>
          <t>SW-DAMPER-525-GEAR</t>
        </is>
      </c>
      <c r="B2128" t="inlineStr">
        <is>
          <t>SW-DAMPER-525</t>
        </is>
      </c>
      <c r="C2128" t="inlineStr">
        <is>
          <t>Bánh răng van nhôm</t>
        </is>
      </c>
      <c r="D2128" t="inlineStr">
        <is>
          <t>PHỤ_KIỆN_VAN</t>
        </is>
      </c>
      <c r="E2128" t="inlineStr">
        <is>
          <t>MAT-DAMPER-BANH-RANG-VAN-NHOM</t>
        </is>
      </c>
      <c r="F2128" t="inlineStr">
        <is>
          <t>Bộ</t>
        </is>
      </c>
      <c r="G2128" s="4" t="n">
        <v>1</v>
      </c>
      <c r="H2128" s="2">
        <f>XLOOKUP(B2128, '00_TONG_HOP_BAO_GIA'!B:B, '00_TONG_HOP_BAO_GIA'!G:G, 1)</f>
        <v/>
      </c>
      <c r="I2128" s="5">
        <f>G2128*H2128</f>
        <v/>
      </c>
      <c r="J2128" s="2">
        <f>XLOOKUP(E2128, '06_BANG_GIA_VAT_TU_AP_DUNG'!B:B, '06_BANG_GIA_VAT_TU_AP_DUNG'!C:C, "LỖI_MÃ_VT")</f>
        <v/>
      </c>
      <c r="K2128" s="2">
        <f>I2128*J2128</f>
        <v/>
      </c>
      <c r="L2128" t="inlineStr">
        <is>
          <t>Cơ cấu liên động bánh răng van</t>
        </is>
      </c>
    </row>
    <row r="2129">
      <c r="A2129" t="inlineStr">
        <is>
          <t>SW-DAMPER-525-FUSE</t>
        </is>
      </c>
      <c r="B2129" t="inlineStr">
        <is>
          <t>SW-DAMPER-525</t>
        </is>
      </c>
      <c r="C2129" t="inlineStr">
        <is>
          <t>Cầu chì nhiệt nóng chảy 70°C (Elsie/USA)</t>
        </is>
      </c>
      <c r="D2129" t="inlineStr">
        <is>
          <t>PHỤ_KIỆN_VAN</t>
        </is>
      </c>
      <c r="E2129" t="inlineStr">
        <is>
          <t>MAT-DAMPER-CAU-CHI-USA-2-400X400</t>
        </is>
      </c>
      <c r="F2129" t="inlineStr">
        <is>
          <t>Cái</t>
        </is>
      </c>
      <c r="G2129" s="4" t="n">
        <v>1</v>
      </c>
      <c r="H2129" s="2">
        <f>XLOOKUP(B2129, '00_TONG_HOP_BAO_GIA'!B:B, '00_TONG_HOP_BAO_GIA'!G:G, 1)</f>
        <v/>
      </c>
      <c r="I2129" s="5">
        <f>G2129*H2129</f>
        <v/>
      </c>
      <c r="J2129" s="2">
        <f>XLOOKUP(E2129, '06_BANG_GIA_VAT_TU_AP_DUNG'!B:B, '06_BANG_GIA_VAT_TU_AP_DUNG'!C:C, "LỖI_MÃ_VT")</f>
        <v/>
      </c>
      <c r="K2129" s="2">
        <f>I2129*J2129</f>
        <v/>
      </c>
      <c r="L2129" t="inlineStr">
        <is>
          <t>Cầu chì kiểm định PCCC</t>
        </is>
      </c>
    </row>
    <row r="2130">
      <c r="A2130" t="inlineStr">
        <is>
          <t>SW-DAMPER-526-BODY</t>
        </is>
      </c>
      <c r="B2130" t="inlineStr">
        <is>
          <t>SW-DAMPER-526</t>
        </is>
      </c>
      <c r="C2130" t="inlineStr">
        <is>
          <t>Thân vỏ van FD bích TDF (0.95mm)</t>
        </is>
      </c>
      <c r="D2130" t="inlineStr">
        <is>
          <t>TÔN_CUỘN_MẠ_KẼM</t>
        </is>
      </c>
      <c r="E2130" t="inlineStr">
        <is>
          <t>MAT-STEEL-PN-0.95</t>
        </is>
      </c>
      <c r="F2130" t="inlineStr">
        <is>
          <t>kg</t>
        </is>
      </c>
      <c r="G2130" s="4" t="n">
        <v>12.3782568</v>
      </c>
      <c r="H2130" s="2">
        <f>XLOOKUP(B2130, '00_TONG_HOP_BAO_GIA'!B:B, '00_TONG_HOP_BAO_GIA'!G:G, 1)</f>
        <v/>
      </c>
      <c r="I2130" s="5">
        <f>G2130*H2130</f>
        <v/>
      </c>
      <c r="J2130" s="2">
        <f>XLOOKUP(E2130, '06_BANG_GIA_VAT_TU_AP_DUNG'!B:B, '06_BANG_GIA_VAT_TU_AP_DUNG'!C:C, "LỖI_MÃ_VT")</f>
        <v/>
      </c>
      <c r="K2130" s="2">
        <f>I2130*J2130</f>
        <v/>
      </c>
      <c r="L2130" t="inlineStr">
        <is>
          <t>Kích thước vỏ 1700.0x750.0x250mm</t>
        </is>
      </c>
    </row>
    <row r="2131">
      <c r="A2131" t="inlineStr">
        <is>
          <t>SW-DAMPER-526-BLADE</t>
        </is>
      </c>
      <c r="B2131" t="inlineStr">
        <is>
          <t>SW-DAMPER-526</t>
        </is>
      </c>
      <c r="C2131" t="inlineStr">
        <is>
          <t>Lá cánh van (5 cánh overlap)</t>
        </is>
      </c>
      <c r="D2131" t="inlineStr">
        <is>
          <t>TÔN_CUỘN_MẠ_KẼM</t>
        </is>
      </c>
      <c r="E2131" t="inlineStr">
        <is>
          <t>MAT-STEEL-PN-0.75</t>
        </is>
      </c>
      <c r="F2131" t="inlineStr">
        <is>
          <t>kg</t>
        </is>
      </c>
      <c r="G2131" s="4" t="n">
        <v>9.1880325</v>
      </c>
      <c r="H2131" s="2">
        <f>XLOOKUP(B2131, '00_TONG_HOP_BAO_GIA'!B:B, '00_TONG_HOP_BAO_GIA'!G:G, 1)</f>
        <v/>
      </c>
      <c r="I2131" s="5">
        <f>G2131*H2131</f>
        <v/>
      </c>
      <c r="J2131" s="2">
        <f>XLOOKUP(E2131, '06_BANG_GIA_VAT_TU_AP_DUNG'!B:B, '06_BANG_GIA_VAT_TU_AP_DUNG'!C:C, "LỖI_MÃ_VT")</f>
        <v/>
      </c>
      <c r="K2131" s="2">
        <f>I2131*J2131</f>
        <v/>
      </c>
      <c r="L2131" t="inlineStr">
        <is>
          <t>5 cánh cao 170mm</t>
        </is>
      </c>
    </row>
    <row r="2132">
      <c r="A2132" t="inlineStr">
        <is>
          <t>SW-DAMPER-526-AXLE</t>
        </is>
      </c>
      <c r="B2132" t="inlineStr">
        <is>
          <t>SW-DAMPER-526</t>
        </is>
      </c>
      <c r="C2132" t="inlineStr">
        <is>
          <t>Trục Sus 201 D10</t>
        </is>
      </c>
      <c r="D2132" t="inlineStr">
        <is>
          <t>PHỤ_KIỆN_VAN</t>
        </is>
      </c>
      <c r="E2132" t="inlineStr">
        <is>
          <t>MAT-DAMPER-TRUC-SUS-201-D10</t>
        </is>
      </c>
      <c r="F2132" t="inlineStr">
        <is>
          <t>m</t>
        </is>
      </c>
      <c r="G2132" s="4" t="n">
        <v>8.800000000000001</v>
      </c>
      <c r="H2132" s="2">
        <f>XLOOKUP(B2132, '00_TONG_HOP_BAO_GIA'!B:B, '00_TONG_HOP_BAO_GIA'!G:G, 1)</f>
        <v/>
      </c>
      <c r="I2132" s="5">
        <f>G2132*H2132</f>
        <v/>
      </c>
      <c r="J2132" s="2">
        <f>XLOOKUP(E2132, '06_BANG_GIA_VAT_TU_AP_DUNG'!B:B, '06_BANG_GIA_VAT_TU_AP_DUNG'!C:C, "LỖI_MÃ_VT")</f>
        <v/>
      </c>
      <c r="K2132" s="2">
        <f>I2132*J2132</f>
        <v/>
      </c>
      <c r="L2132" t="inlineStr">
        <is>
          <t>5 trục dài 1760mm</t>
        </is>
      </c>
    </row>
    <row r="2133">
      <c r="A2133" t="inlineStr">
        <is>
          <t>SW-DAMPER-526-BEARING</t>
        </is>
      </c>
      <c r="B2133" t="inlineStr">
        <is>
          <t>SW-DAMPER-526</t>
        </is>
      </c>
      <c r="C2133" t="inlineStr">
        <is>
          <t>Bạc đồng D10</t>
        </is>
      </c>
      <c r="D2133" t="inlineStr">
        <is>
          <t>PHỤ_KIỆN_VAN</t>
        </is>
      </c>
      <c r="E2133" t="inlineStr">
        <is>
          <t>MAT-DAMPER-BAC-DONG-D10</t>
        </is>
      </c>
      <c r="F2133" t="inlineStr">
        <is>
          <t>Đôi</t>
        </is>
      </c>
      <c r="G2133" s="4" t="n">
        <v>5</v>
      </c>
      <c r="H2133" s="2">
        <f>XLOOKUP(B2133, '00_TONG_HOP_BAO_GIA'!B:B, '00_TONG_HOP_BAO_GIA'!G:G, 1)</f>
        <v/>
      </c>
      <c r="I2133" s="5">
        <f>G2133*H2133</f>
        <v/>
      </c>
      <c r="J2133" s="2">
        <f>XLOOKUP(E2133, '06_BANG_GIA_VAT_TU_AP_DUNG'!B:B, '06_BANG_GIA_VAT_TU_AP_DUNG'!C:C, "LỖI_MÃ_VT")</f>
        <v/>
      </c>
      <c r="K2133" s="2">
        <f>I2133*J2133</f>
        <v/>
      </c>
      <c r="L2133" t="inlineStr">
        <is>
          <t>5 đôi bạc đỡ 2 bên thân</t>
        </is>
      </c>
    </row>
    <row r="2134">
      <c r="A2134" t="inlineStr">
        <is>
          <t>SW-DAMPER-526-GEAR</t>
        </is>
      </c>
      <c r="B2134" t="inlineStr">
        <is>
          <t>SW-DAMPER-526</t>
        </is>
      </c>
      <c r="C2134" t="inlineStr">
        <is>
          <t>Bánh răng van nhôm</t>
        </is>
      </c>
      <c r="D2134" t="inlineStr">
        <is>
          <t>PHỤ_KIỆN_VAN</t>
        </is>
      </c>
      <c r="E2134" t="inlineStr">
        <is>
          <t>MAT-DAMPER-BANH-RANG-VAN-NHOM</t>
        </is>
      </c>
      <c r="F2134" t="inlineStr">
        <is>
          <t>Bộ</t>
        </is>
      </c>
      <c r="G2134" s="4" t="n">
        <v>1</v>
      </c>
      <c r="H2134" s="2">
        <f>XLOOKUP(B2134, '00_TONG_HOP_BAO_GIA'!B:B, '00_TONG_HOP_BAO_GIA'!G:G, 1)</f>
        <v/>
      </c>
      <c r="I2134" s="5">
        <f>G2134*H2134</f>
        <v/>
      </c>
      <c r="J2134" s="2">
        <f>XLOOKUP(E2134, '06_BANG_GIA_VAT_TU_AP_DUNG'!B:B, '06_BANG_GIA_VAT_TU_AP_DUNG'!C:C, "LỖI_MÃ_VT")</f>
        <v/>
      </c>
      <c r="K2134" s="2">
        <f>I2134*J2134</f>
        <v/>
      </c>
      <c r="L2134" t="inlineStr">
        <is>
          <t>Cơ cấu liên động bánh răng van</t>
        </is>
      </c>
    </row>
    <row r="2135">
      <c r="A2135" t="inlineStr">
        <is>
          <t>SW-DAMPER-526-FUSE</t>
        </is>
      </c>
      <c r="B2135" t="inlineStr">
        <is>
          <t>SW-DAMPER-526</t>
        </is>
      </c>
      <c r="C2135" t="inlineStr">
        <is>
          <t>Cầu chì nhiệt nóng chảy 70°C (Elsie/USA)</t>
        </is>
      </c>
      <c r="D2135" t="inlineStr">
        <is>
          <t>PHỤ_KIỆN_VAN</t>
        </is>
      </c>
      <c r="E2135" t="inlineStr">
        <is>
          <t>MAT-DAMPER-CAU-CHI-USA-2-400X400</t>
        </is>
      </c>
      <c r="F2135" t="inlineStr">
        <is>
          <t>Cái</t>
        </is>
      </c>
      <c r="G2135" s="4" t="n">
        <v>1</v>
      </c>
      <c r="H2135" s="2">
        <f>XLOOKUP(B2135, '00_TONG_HOP_BAO_GIA'!B:B, '00_TONG_HOP_BAO_GIA'!G:G, 1)</f>
        <v/>
      </c>
      <c r="I2135" s="5">
        <f>G2135*H2135</f>
        <v/>
      </c>
      <c r="J2135" s="2">
        <f>XLOOKUP(E2135, '06_BANG_GIA_VAT_TU_AP_DUNG'!B:B, '06_BANG_GIA_VAT_TU_AP_DUNG'!C:C, "LỖI_MÃ_VT")</f>
        <v/>
      </c>
      <c r="K2135" s="2">
        <f>I2135*J2135</f>
        <v/>
      </c>
      <c r="L2135" t="inlineStr">
        <is>
          <t>Cầu chì kiểm định PCCC</t>
        </is>
      </c>
    </row>
    <row r="2136">
      <c r="A2136" t="inlineStr">
        <is>
          <t>SW-DAMPER-527-BODY</t>
        </is>
      </c>
      <c r="B2136" t="inlineStr">
        <is>
          <t>SW-DAMPER-527</t>
        </is>
      </c>
      <c r="C2136" t="inlineStr">
        <is>
          <t>Thân vỏ van FD bích TDF (0.95mm)</t>
        </is>
      </c>
      <c r="D2136" t="inlineStr">
        <is>
          <t>TÔN_CUỘN_MẠ_KẼM</t>
        </is>
      </c>
      <c r="E2136" t="inlineStr">
        <is>
          <t>MAT-STEEL-PN-0.95</t>
        </is>
      </c>
      <c r="F2136" t="inlineStr">
        <is>
          <t>kg</t>
        </is>
      </c>
      <c r="G2136" s="4" t="n">
        <v>15.1345488</v>
      </c>
      <c r="H2136" s="2">
        <f>XLOOKUP(B2136, '00_TONG_HOP_BAO_GIA'!B:B, '00_TONG_HOP_BAO_GIA'!G:G, 1)</f>
        <v/>
      </c>
      <c r="I2136" s="5">
        <f>G2136*H2136</f>
        <v/>
      </c>
      <c r="J2136" s="2">
        <f>XLOOKUP(E2136, '06_BANG_GIA_VAT_TU_AP_DUNG'!B:B, '06_BANG_GIA_VAT_TU_AP_DUNG'!C:C, "LỖI_MÃ_VT")</f>
        <v/>
      </c>
      <c r="K2136" s="2">
        <f>I2136*J2136</f>
        <v/>
      </c>
      <c r="L2136" t="inlineStr">
        <is>
          <t>Kích thước vỏ 2000.0x1000.0x250mm</t>
        </is>
      </c>
    </row>
    <row r="2137">
      <c r="A2137" t="inlineStr">
        <is>
          <t>SW-DAMPER-527-BLADE</t>
        </is>
      </c>
      <c r="B2137" t="inlineStr">
        <is>
          <t>SW-DAMPER-527</t>
        </is>
      </c>
      <c r="C2137" t="inlineStr">
        <is>
          <t>Lá cánh van (6 cánh overlap)</t>
        </is>
      </c>
      <c r="D2137" t="inlineStr">
        <is>
          <t>TÔN_CUỘN_MẠ_KẼM</t>
        </is>
      </c>
      <c r="E2137" t="inlineStr">
        <is>
          <t>MAT-STEEL-PN-0.75</t>
        </is>
      </c>
      <c r="F2137" t="inlineStr">
        <is>
          <t>kg</t>
        </is>
      </c>
      <c r="G2137" s="4" t="n">
        <v>14.24304</v>
      </c>
      <c r="H2137" s="2">
        <f>XLOOKUP(B2137, '00_TONG_HOP_BAO_GIA'!B:B, '00_TONG_HOP_BAO_GIA'!G:G, 1)</f>
        <v/>
      </c>
      <c r="I2137" s="5">
        <f>G2137*H2137</f>
        <v/>
      </c>
      <c r="J2137" s="2">
        <f>XLOOKUP(E2137, '06_BANG_GIA_VAT_TU_AP_DUNG'!B:B, '06_BANG_GIA_VAT_TU_AP_DUNG'!C:C, "LỖI_MÃ_VT")</f>
        <v/>
      </c>
      <c r="K2137" s="2">
        <f>I2137*J2137</f>
        <v/>
      </c>
      <c r="L2137" t="inlineStr">
        <is>
          <t>6 cánh cao 187mm</t>
        </is>
      </c>
    </row>
    <row r="2138">
      <c r="A2138" t="inlineStr">
        <is>
          <t>SW-DAMPER-527-AXLE</t>
        </is>
      </c>
      <c r="B2138" t="inlineStr">
        <is>
          <t>SW-DAMPER-527</t>
        </is>
      </c>
      <c r="C2138" t="inlineStr">
        <is>
          <t>Trục Sus 201 D10</t>
        </is>
      </c>
      <c r="D2138" t="inlineStr">
        <is>
          <t>PHỤ_KIỆN_VAN</t>
        </is>
      </c>
      <c r="E2138" t="inlineStr">
        <is>
          <t>MAT-DAMPER-TRUC-SUS-201-D10</t>
        </is>
      </c>
      <c r="F2138" t="inlineStr">
        <is>
          <t>m</t>
        </is>
      </c>
      <c r="G2138" s="4" t="n">
        <v>12.36</v>
      </c>
      <c r="H2138" s="2">
        <f>XLOOKUP(B2138, '00_TONG_HOP_BAO_GIA'!B:B, '00_TONG_HOP_BAO_GIA'!G:G, 1)</f>
        <v/>
      </c>
      <c r="I2138" s="5">
        <f>G2138*H2138</f>
        <v/>
      </c>
      <c r="J2138" s="2">
        <f>XLOOKUP(E2138, '06_BANG_GIA_VAT_TU_AP_DUNG'!B:B, '06_BANG_GIA_VAT_TU_AP_DUNG'!C:C, "LỖI_MÃ_VT")</f>
        <v/>
      </c>
      <c r="K2138" s="2">
        <f>I2138*J2138</f>
        <v/>
      </c>
      <c r="L2138" t="inlineStr">
        <is>
          <t>6 trục dài 2060mm</t>
        </is>
      </c>
    </row>
    <row r="2139">
      <c r="A2139" t="inlineStr">
        <is>
          <t>SW-DAMPER-527-BEARING</t>
        </is>
      </c>
      <c r="B2139" t="inlineStr">
        <is>
          <t>SW-DAMPER-527</t>
        </is>
      </c>
      <c r="C2139" t="inlineStr">
        <is>
          <t>Bạc đồng D10</t>
        </is>
      </c>
      <c r="D2139" t="inlineStr">
        <is>
          <t>PHỤ_KIỆN_VAN</t>
        </is>
      </c>
      <c r="E2139" t="inlineStr">
        <is>
          <t>MAT-DAMPER-BAC-DONG-D10</t>
        </is>
      </c>
      <c r="F2139" t="inlineStr">
        <is>
          <t>Đôi</t>
        </is>
      </c>
      <c r="G2139" s="4" t="n">
        <v>6</v>
      </c>
      <c r="H2139" s="2">
        <f>XLOOKUP(B2139, '00_TONG_HOP_BAO_GIA'!B:B, '00_TONG_HOP_BAO_GIA'!G:G, 1)</f>
        <v/>
      </c>
      <c r="I2139" s="5">
        <f>G2139*H2139</f>
        <v/>
      </c>
      <c r="J2139" s="2">
        <f>XLOOKUP(E2139, '06_BANG_GIA_VAT_TU_AP_DUNG'!B:B, '06_BANG_GIA_VAT_TU_AP_DUNG'!C:C, "LỖI_MÃ_VT")</f>
        <v/>
      </c>
      <c r="K2139" s="2">
        <f>I2139*J2139</f>
        <v/>
      </c>
      <c r="L2139" t="inlineStr">
        <is>
          <t>6 đôi bạc đỡ 2 bên thân</t>
        </is>
      </c>
    </row>
    <row r="2140">
      <c r="A2140" t="inlineStr">
        <is>
          <t>SW-DAMPER-527-GEAR</t>
        </is>
      </c>
      <c r="B2140" t="inlineStr">
        <is>
          <t>SW-DAMPER-527</t>
        </is>
      </c>
      <c r="C2140" t="inlineStr">
        <is>
          <t>Bánh răng van nhôm</t>
        </is>
      </c>
      <c r="D2140" t="inlineStr">
        <is>
          <t>PHỤ_KIỆN_VAN</t>
        </is>
      </c>
      <c r="E2140" t="inlineStr">
        <is>
          <t>MAT-DAMPER-BANH-RANG-VAN-NHOM</t>
        </is>
      </c>
      <c r="F2140" t="inlineStr">
        <is>
          <t>Bộ</t>
        </is>
      </c>
      <c r="G2140" s="4" t="n">
        <v>1</v>
      </c>
      <c r="H2140" s="2">
        <f>XLOOKUP(B2140, '00_TONG_HOP_BAO_GIA'!B:B, '00_TONG_HOP_BAO_GIA'!G:G, 1)</f>
        <v/>
      </c>
      <c r="I2140" s="5">
        <f>G2140*H2140</f>
        <v/>
      </c>
      <c r="J2140" s="2">
        <f>XLOOKUP(E2140, '06_BANG_GIA_VAT_TU_AP_DUNG'!B:B, '06_BANG_GIA_VAT_TU_AP_DUNG'!C:C, "LỖI_MÃ_VT")</f>
        <v/>
      </c>
      <c r="K2140" s="2">
        <f>I2140*J2140</f>
        <v/>
      </c>
      <c r="L2140" t="inlineStr">
        <is>
          <t>Cơ cấu liên động bánh răng van</t>
        </is>
      </c>
    </row>
    <row r="2141">
      <c r="A2141" t="inlineStr">
        <is>
          <t>SW-DAMPER-527-FUSE</t>
        </is>
      </c>
      <c r="B2141" t="inlineStr">
        <is>
          <t>SW-DAMPER-527</t>
        </is>
      </c>
      <c r="C2141" t="inlineStr">
        <is>
          <t>Cầu chì nhiệt nóng chảy 70°C (Elsie/USA)</t>
        </is>
      </c>
      <c r="D2141" t="inlineStr">
        <is>
          <t>PHỤ_KIỆN_VAN</t>
        </is>
      </c>
      <c r="E2141" t="inlineStr">
        <is>
          <t>MAT-DAMPER-CAU-CHI-USA-2-400X400</t>
        </is>
      </c>
      <c r="F2141" t="inlineStr">
        <is>
          <t>Cái</t>
        </is>
      </c>
      <c r="G2141" s="4" t="n">
        <v>1</v>
      </c>
      <c r="H2141" s="2">
        <f>XLOOKUP(B2141, '00_TONG_HOP_BAO_GIA'!B:B, '00_TONG_HOP_BAO_GIA'!G:G, 1)</f>
        <v/>
      </c>
      <c r="I2141" s="5">
        <f>G2141*H2141</f>
        <v/>
      </c>
      <c r="J2141" s="2">
        <f>XLOOKUP(E2141, '06_BANG_GIA_VAT_TU_AP_DUNG'!B:B, '06_BANG_GIA_VAT_TU_AP_DUNG'!C:C, "LỖI_MÃ_VT")</f>
        <v/>
      </c>
      <c r="K2141" s="2">
        <f>I2141*J2141</f>
        <v/>
      </c>
      <c r="L2141" t="inlineStr">
        <is>
          <t>Cầu chì kiểm định PCCC</t>
        </is>
      </c>
    </row>
    <row r="2142">
      <c r="A2142" t="inlineStr">
        <is>
          <t>SW-DAMPER-528-BODY</t>
        </is>
      </c>
      <c r="B2142" t="inlineStr">
        <is>
          <t>SW-DAMPER-528</t>
        </is>
      </c>
      <c r="C2142" t="inlineStr">
        <is>
          <t>Thân vỏ van MD bích TDF (0.75mm)</t>
        </is>
      </c>
      <c r="D2142" t="inlineStr">
        <is>
          <t>TÔN_CUỘN_MẠ_KẼM</t>
        </is>
      </c>
      <c r="E2142" t="inlineStr">
        <is>
          <t>MAT-STEEL-PN-0.75</t>
        </is>
      </c>
      <c r="F2142" t="inlineStr">
        <is>
          <t>kg</t>
        </is>
      </c>
      <c r="G2142" s="4" t="n">
        <v>2.146347</v>
      </c>
      <c r="H2142" s="2">
        <f>XLOOKUP(B2142, '00_TONG_HOP_BAO_GIA'!B:B, '00_TONG_HOP_BAO_GIA'!G:G, 1)</f>
        <v/>
      </c>
      <c r="I2142" s="5">
        <f>G2142*H2142</f>
        <v/>
      </c>
      <c r="J2142" s="2">
        <f>XLOOKUP(E2142, '06_BANG_GIA_VAT_TU_AP_DUNG'!B:B, '06_BANG_GIA_VAT_TU_AP_DUNG'!C:C, "LỖI_MÃ_VT")</f>
        <v/>
      </c>
      <c r="K2142" s="2">
        <f>I2142*J2142</f>
        <v/>
      </c>
      <c r="L2142" t="inlineStr">
        <is>
          <t>Kích thước vỏ 300.0x300.0x210mm</t>
        </is>
      </c>
    </row>
    <row r="2143">
      <c r="A2143" t="inlineStr">
        <is>
          <t>SW-DAMPER-528-BLADE</t>
        </is>
      </c>
      <c r="B2143" t="inlineStr">
        <is>
          <t>SW-DAMPER-528</t>
        </is>
      </c>
      <c r="C2143" t="inlineStr">
        <is>
          <t>Lá cánh van (2 cánh overlap)</t>
        </is>
      </c>
      <c r="D2143" t="inlineStr">
        <is>
          <t>TÔN_CUỘN_MẠ_KẼM</t>
        </is>
      </c>
      <c r="E2143" t="inlineStr">
        <is>
          <t>MAT-STEEL-PN-0.75</t>
        </is>
      </c>
      <c r="F2143" t="inlineStr">
        <is>
          <t>kg</t>
        </is>
      </c>
      <c r="G2143" s="4" t="n">
        <v>0.648567</v>
      </c>
      <c r="H2143" s="2">
        <f>XLOOKUP(B2143, '00_TONG_HOP_BAO_GIA'!B:B, '00_TONG_HOP_BAO_GIA'!G:G, 1)</f>
        <v/>
      </c>
      <c r="I2143" s="5">
        <f>G2143*H2143</f>
        <v/>
      </c>
      <c r="J2143" s="2">
        <f>XLOOKUP(E2143, '06_BANG_GIA_VAT_TU_AP_DUNG'!B:B, '06_BANG_GIA_VAT_TU_AP_DUNG'!C:C, "LỖI_MÃ_VT")</f>
        <v/>
      </c>
      <c r="K2143" s="2">
        <f>I2143*J2143</f>
        <v/>
      </c>
      <c r="L2143" t="inlineStr">
        <is>
          <t>2 cánh cao 170mm</t>
        </is>
      </c>
    </row>
    <row r="2144">
      <c r="A2144" t="inlineStr">
        <is>
          <t>SW-DAMPER-528-AXLE</t>
        </is>
      </c>
      <c r="B2144" t="inlineStr">
        <is>
          <t>SW-DAMPER-528</t>
        </is>
      </c>
      <c r="C2144" t="inlineStr">
        <is>
          <t>Trục Sus 201 D10</t>
        </is>
      </c>
      <c r="D2144" t="inlineStr">
        <is>
          <t>PHỤ_KIỆN_VAN</t>
        </is>
      </c>
      <c r="E2144" t="inlineStr">
        <is>
          <t>MAT-DAMPER-TRUC-SUS-201-D10</t>
        </is>
      </c>
      <c r="F2144" t="inlineStr">
        <is>
          <t>m</t>
        </is>
      </c>
      <c r="G2144" s="4" t="n">
        <v>0.72</v>
      </c>
      <c r="H2144" s="2">
        <f>XLOOKUP(B2144, '00_TONG_HOP_BAO_GIA'!B:B, '00_TONG_HOP_BAO_GIA'!G:G, 1)</f>
        <v/>
      </c>
      <c r="I2144" s="5">
        <f>G2144*H2144</f>
        <v/>
      </c>
      <c r="J2144" s="2">
        <f>XLOOKUP(E2144, '06_BANG_GIA_VAT_TU_AP_DUNG'!B:B, '06_BANG_GIA_VAT_TU_AP_DUNG'!C:C, "LỖI_MÃ_VT")</f>
        <v/>
      </c>
      <c r="K2144" s="2">
        <f>I2144*J2144</f>
        <v/>
      </c>
      <c r="L2144" t="inlineStr">
        <is>
          <t>2 trục dài 360mm</t>
        </is>
      </c>
    </row>
    <row r="2145">
      <c r="A2145" t="inlineStr">
        <is>
          <t>SW-DAMPER-528-BEARING</t>
        </is>
      </c>
      <c r="B2145" t="inlineStr">
        <is>
          <t>SW-DAMPER-528</t>
        </is>
      </c>
      <c r="C2145" t="inlineStr">
        <is>
          <t>Bạc đồng D10</t>
        </is>
      </c>
      <c r="D2145" t="inlineStr">
        <is>
          <t>PHỤ_KIỆN_VAN</t>
        </is>
      </c>
      <c r="E2145" t="inlineStr">
        <is>
          <t>MAT-DAMPER-BAC-DONG-D10</t>
        </is>
      </c>
      <c r="F2145" t="inlineStr">
        <is>
          <t>Đôi</t>
        </is>
      </c>
      <c r="G2145" s="4" t="n">
        <v>2</v>
      </c>
      <c r="H2145" s="2">
        <f>XLOOKUP(B2145, '00_TONG_HOP_BAO_GIA'!B:B, '00_TONG_HOP_BAO_GIA'!G:G, 1)</f>
        <v/>
      </c>
      <c r="I2145" s="5">
        <f>G2145*H2145</f>
        <v/>
      </c>
      <c r="J2145" s="2">
        <f>XLOOKUP(E2145, '06_BANG_GIA_VAT_TU_AP_DUNG'!B:B, '06_BANG_GIA_VAT_TU_AP_DUNG'!C:C, "LỖI_MÃ_VT")</f>
        <v/>
      </c>
      <c r="K2145" s="2">
        <f>I2145*J2145</f>
        <v/>
      </c>
      <c r="L2145" t="inlineStr">
        <is>
          <t>2 đôi bạc đỡ 2 bên thân</t>
        </is>
      </c>
    </row>
    <row r="2146">
      <c r="A2146" t="inlineStr">
        <is>
          <t>SW-DAMPER-528-GEAR</t>
        </is>
      </c>
      <c r="B2146" t="inlineStr">
        <is>
          <t>SW-DAMPER-528</t>
        </is>
      </c>
      <c r="C2146" t="inlineStr">
        <is>
          <t>Bánh răng van nhôm</t>
        </is>
      </c>
      <c r="D2146" t="inlineStr">
        <is>
          <t>PHỤ_KIỆN_VAN</t>
        </is>
      </c>
      <c r="E2146" t="inlineStr">
        <is>
          <t>MAT-DAMPER-BANH-RANG-VAN-NHOM</t>
        </is>
      </c>
      <c r="F2146" t="inlineStr">
        <is>
          <t>Bộ</t>
        </is>
      </c>
      <c r="G2146" s="4" t="n">
        <v>1</v>
      </c>
      <c r="H2146" s="2">
        <f>XLOOKUP(B2146, '00_TONG_HOP_BAO_GIA'!B:B, '00_TONG_HOP_BAO_GIA'!G:G, 1)</f>
        <v/>
      </c>
      <c r="I2146" s="5">
        <f>G2146*H2146</f>
        <v/>
      </c>
      <c r="J2146" s="2">
        <f>XLOOKUP(E2146, '06_BANG_GIA_VAT_TU_AP_DUNG'!B:B, '06_BANG_GIA_VAT_TU_AP_DUNG'!C:C, "LỖI_MÃ_VT")</f>
        <v/>
      </c>
      <c r="K2146" s="2">
        <f>I2146*J2146</f>
        <v/>
      </c>
      <c r="L2146" t="inlineStr">
        <is>
          <t>Cơ cấu liên động bánh răng van</t>
        </is>
      </c>
    </row>
    <row r="2147">
      <c r="A2147" t="inlineStr">
        <is>
          <t>SW-DAMPER-528-ACTUATOR</t>
        </is>
      </c>
      <c r="B2147" t="inlineStr">
        <is>
          <t>SW-DAMPER-528</t>
        </is>
      </c>
      <c r="C2147" t="inlineStr">
        <is>
          <t>Model: NACA 2-05 (5Nm, 220VAC)</t>
        </is>
      </c>
      <c r="D2147" t="inlineStr">
        <is>
          <t>ĐỘNG_CƠ_VÀ_CẢM_BIẾN</t>
        </is>
      </c>
      <c r="E2147" t="inlineStr">
        <is>
          <t>MAT-ACTUATOR-NACA-2-05</t>
        </is>
      </c>
      <c r="F2147" t="inlineStr">
        <is>
          <t>Cái</t>
        </is>
      </c>
      <c r="G2147" s="4" t="n">
        <v>1</v>
      </c>
      <c r="H2147" s="2">
        <f>XLOOKUP(B2147, '00_TONG_HOP_BAO_GIA'!B:B, '00_TONG_HOP_BAO_GIA'!G:G, 1)</f>
        <v/>
      </c>
      <c r="I2147" s="5">
        <f>G2147*H2147</f>
        <v/>
      </c>
      <c r="J2147" s="2">
        <f>XLOOKUP(E2147, '06_BANG_GIA_VAT_TU_AP_DUNG'!B:B, '06_BANG_GIA_VAT_TU_AP_DUNG'!C:C, "LỖI_MÃ_VT")</f>
        <v/>
      </c>
      <c r="K2147" s="2">
        <f>I2147*J2147</f>
        <v/>
      </c>
      <c r="L2147" t="inlineStr">
        <is>
          <t>Tiết diện van 0.09m2</t>
        </is>
      </c>
    </row>
    <row r="2148">
      <c r="A2148" t="inlineStr">
        <is>
          <t>SW-DAMPER-529-BODY</t>
        </is>
      </c>
      <c r="B2148" t="inlineStr">
        <is>
          <t>SW-DAMPER-529</t>
        </is>
      </c>
      <c r="C2148" t="inlineStr">
        <is>
          <t>Thân vỏ van MD bích TDF (0.75mm)</t>
        </is>
      </c>
      <c r="D2148" t="inlineStr">
        <is>
          <t>TÔN_CUỘN_MẠ_KẼM</t>
        </is>
      </c>
      <c r="E2148" t="inlineStr">
        <is>
          <t>MAT-STEEL-PN-0.75</t>
        </is>
      </c>
      <c r="F2148" t="inlineStr">
        <is>
          <t>kg</t>
        </is>
      </c>
      <c r="G2148" s="4" t="n">
        <v>3.184902</v>
      </c>
      <c r="H2148" s="2">
        <f>XLOOKUP(B2148, '00_TONG_HOP_BAO_GIA'!B:B, '00_TONG_HOP_BAO_GIA'!G:G, 1)</f>
        <v/>
      </c>
      <c r="I2148" s="5">
        <f>G2148*H2148</f>
        <v/>
      </c>
      <c r="J2148" s="2">
        <f>XLOOKUP(E2148, '06_BANG_GIA_VAT_TU_AP_DUNG'!B:B, '06_BANG_GIA_VAT_TU_AP_DUNG'!C:C, "LỖI_MÃ_VT")</f>
        <v/>
      </c>
      <c r="K2148" s="2">
        <f>I2148*J2148</f>
        <v/>
      </c>
      <c r="L2148" t="inlineStr">
        <is>
          <t>Kích thước vỏ 500.0x400.0x210mm</t>
        </is>
      </c>
    </row>
    <row r="2149">
      <c r="A2149" t="inlineStr">
        <is>
          <t>SW-DAMPER-529-BLADE</t>
        </is>
      </c>
      <c r="B2149" t="inlineStr">
        <is>
          <t>SW-DAMPER-529</t>
        </is>
      </c>
      <c r="C2149" t="inlineStr">
        <is>
          <t>Lá cánh van (3 cánh overlap)</t>
        </is>
      </c>
      <c r="D2149" t="inlineStr">
        <is>
          <t>TÔN_CUỘN_MẠ_KẼM</t>
        </is>
      </c>
      <c r="E2149" t="inlineStr">
        <is>
          <t>MAT-STEEL-PN-0.75</t>
        </is>
      </c>
      <c r="F2149" t="inlineStr">
        <is>
          <t>kg</t>
        </is>
      </c>
      <c r="G2149" s="4" t="n">
        <v>1.462455</v>
      </c>
      <c r="H2149" s="2">
        <f>XLOOKUP(B2149, '00_TONG_HOP_BAO_GIA'!B:B, '00_TONG_HOP_BAO_GIA'!G:G, 1)</f>
        <v/>
      </c>
      <c r="I2149" s="5">
        <f>G2149*H2149</f>
        <v/>
      </c>
      <c r="J2149" s="2">
        <f>XLOOKUP(E2149, '06_BANG_GIA_VAT_TU_AP_DUNG'!B:B, '06_BANG_GIA_VAT_TU_AP_DUNG'!C:C, "LỖI_MÃ_VT")</f>
        <v/>
      </c>
      <c r="K2149" s="2">
        <f>I2149*J2149</f>
        <v/>
      </c>
      <c r="L2149" t="inlineStr">
        <is>
          <t>3 cánh cao 153mm</t>
        </is>
      </c>
    </row>
    <row r="2150">
      <c r="A2150" t="inlineStr">
        <is>
          <t>SW-DAMPER-529-AXLE</t>
        </is>
      </c>
      <c r="B2150" t="inlineStr">
        <is>
          <t>SW-DAMPER-529</t>
        </is>
      </c>
      <c r="C2150" t="inlineStr">
        <is>
          <t>Trục Sus 201 D10</t>
        </is>
      </c>
      <c r="D2150" t="inlineStr">
        <is>
          <t>PHỤ_KIỆN_VAN</t>
        </is>
      </c>
      <c r="E2150" t="inlineStr">
        <is>
          <t>MAT-DAMPER-TRUC-SUS-201-D10</t>
        </is>
      </c>
      <c r="F2150" t="inlineStr">
        <is>
          <t>m</t>
        </is>
      </c>
      <c r="G2150" s="4" t="n">
        <v>1.68</v>
      </c>
      <c r="H2150" s="2">
        <f>XLOOKUP(B2150, '00_TONG_HOP_BAO_GIA'!B:B, '00_TONG_HOP_BAO_GIA'!G:G, 1)</f>
        <v/>
      </c>
      <c r="I2150" s="5">
        <f>G2150*H2150</f>
        <v/>
      </c>
      <c r="J2150" s="2">
        <f>XLOOKUP(E2150, '06_BANG_GIA_VAT_TU_AP_DUNG'!B:B, '06_BANG_GIA_VAT_TU_AP_DUNG'!C:C, "LỖI_MÃ_VT")</f>
        <v/>
      </c>
      <c r="K2150" s="2">
        <f>I2150*J2150</f>
        <v/>
      </c>
      <c r="L2150" t="inlineStr">
        <is>
          <t>3 trục dài 560mm</t>
        </is>
      </c>
    </row>
    <row r="2151">
      <c r="A2151" t="inlineStr">
        <is>
          <t>SW-DAMPER-529-BEARING</t>
        </is>
      </c>
      <c r="B2151" t="inlineStr">
        <is>
          <t>SW-DAMPER-529</t>
        </is>
      </c>
      <c r="C2151" t="inlineStr">
        <is>
          <t>Bạc đồng D10</t>
        </is>
      </c>
      <c r="D2151" t="inlineStr">
        <is>
          <t>PHỤ_KIỆN_VAN</t>
        </is>
      </c>
      <c r="E2151" t="inlineStr">
        <is>
          <t>MAT-DAMPER-BAC-DONG-D10</t>
        </is>
      </c>
      <c r="F2151" t="inlineStr">
        <is>
          <t>Đôi</t>
        </is>
      </c>
      <c r="G2151" s="4" t="n">
        <v>3</v>
      </c>
      <c r="H2151" s="2">
        <f>XLOOKUP(B2151, '00_TONG_HOP_BAO_GIA'!B:B, '00_TONG_HOP_BAO_GIA'!G:G, 1)</f>
        <v/>
      </c>
      <c r="I2151" s="5">
        <f>G2151*H2151</f>
        <v/>
      </c>
      <c r="J2151" s="2">
        <f>XLOOKUP(E2151, '06_BANG_GIA_VAT_TU_AP_DUNG'!B:B, '06_BANG_GIA_VAT_TU_AP_DUNG'!C:C, "LỖI_MÃ_VT")</f>
        <v/>
      </c>
      <c r="K2151" s="2">
        <f>I2151*J2151</f>
        <v/>
      </c>
      <c r="L2151" t="inlineStr">
        <is>
          <t>3 đôi bạc đỡ 2 bên thân</t>
        </is>
      </c>
    </row>
    <row r="2152">
      <c r="A2152" t="inlineStr">
        <is>
          <t>SW-DAMPER-529-GEAR</t>
        </is>
      </c>
      <c r="B2152" t="inlineStr">
        <is>
          <t>SW-DAMPER-529</t>
        </is>
      </c>
      <c r="C2152" t="inlineStr">
        <is>
          <t>Bánh răng van nhôm</t>
        </is>
      </c>
      <c r="D2152" t="inlineStr">
        <is>
          <t>PHỤ_KIỆN_VAN</t>
        </is>
      </c>
      <c r="E2152" t="inlineStr">
        <is>
          <t>MAT-DAMPER-BANH-RANG-VAN-NHOM</t>
        </is>
      </c>
      <c r="F2152" t="inlineStr">
        <is>
          <t>Bộ</t>
        </is>
      </c>
      <c r="G2152" s="4" t="n">
        <v>1</v>
      </c>
      <c r="H2152" s="2">
        <f>XLOOKUP(B2152, '00_TONG_HOP_BAO_GIA'!B:B, '00_TONG_HOP_BAO_GIA'!G:G, 1)</f>
        <v/>
      </c>
      <c r="I2152" s="5">
        <f>G2152*H2152</f>
        <v/>
      </c>
      <c r="J2152" s="2">
        <f>XLOOKUP(E2152, '06_BANG_GIA_VAT_TU_AP_DUNG'!B:B, '06_BANG_GIA_VAT_TU_AP_DUNG'!C:C, "LỖI_MÃ_VT")</f>
        <v/>
      </c>
      <c r="K2152" s="2">
        <f>I2152*J2152</f>
        <v/>
      </c>
      <c r="L2152" t="inlineStr">
        <is>
          <t>Cơ cấu liên động bánh răng van</t>
        </is>
      </c>
    </row>
    <row r="2153">
      <c r="A2153" t="inlineStr">
        <is>
          <t>SW-DAMPER-529-ACTUATOR</t>
        </is>
      </c>
      <c r="B2153" t="inlineStr">
        <is>
          <t>SW-DAMPER-529</t>
        </is>
      </c>
      <c r="C2153" t="inlineStr">
        <is>
          <t>Model: NACA 2-05 (5Nm, 220VAC)</t>
        </is>
      </c>
      <c r="D2153" t="inlineStr">
        <is>
          <t>ĐỘNG_CƠ_VÀ_CẢM_BIẾN</t>
        </is>
      </c>
      <c r="E2153" t="inlineStr">
        <is>
          <t>MAT-ACTUATOR-NACA-2-05</t>
        </is>
      </c>
      <c r="F2153" t="inlineStr">
        <is>
          <t>Cái</t>
        </is>
      </c>
      <c r="G2153" s="4" t="n">
        <v>1</v>
      </c>
      <c r="H2153" s="2">
        <f>XLOOKUP(B2153, '00_TONG_HOP_BAO_GIA'!B:B, '00_TONG_HOP_BAO_GIA'!G:G, 1)</f>
        <v/>
      </c>
      <c r="I2153" s="5">
        <f>G2153*H2153</f>
        <v/>
      </c>
      <c r="J2153" s="2">
        <f>XLOOKUP(E2153, '06_BANG_GIA_VAT_TU_AP_DUNG'!B:B, '06_BANG_GIA_VAT_TU_AP_DUNG'!C:C, "LỖI_MÃ_VT")</f>
        <v/>
      </c>
      <c r="K2153" s="2">
        <f>I2153*J2153</f>
        <v/>
      </c>
      <c r="L2153" t="inlineStr">
        <is>
          <t>Tiết diện van 0.20m2</t>
        </is>
      </c>
    </row>
    <row r="2154">
      <c r="A2154" t="inlineStr">
        <is>
          <t>SW-DAMPER-530-BODY</t>
        </is>
      </c>
      <c r="B2154" t="inlineStr">
        <is>
          <t>SW-DAMPER-530</t>
        </is>
      </c>
      <c r="C2154" t="inlineStr">
        <is>
          <t>Thân vỏ van MD bích TDF (0.75mm)</t>
        </is>
      </c>
      <c r="D2154" t="inlineStr">
        <is>
          <t>TÔN_CUỘN_MẠ_KẼM</t>
        </is>
      </c>
      <c r="E2154" t="inlineStr">
        <is>
          <t>MAT-STEEL-PN-0.75</t>
        </is>
      </c>
      <c r="F2154" t="inlineStr">
        <is>
          <t>kg</t>
        </is>
      </c>
      <c r="G2154" s="4" t="n">
        <v>3.531087</v>
      </c>
      <c r="H2154" s="2">
        <f>XLOOKUP(B2154, '00_TONG_HOP_BAO_GIA'!B:B, '00_TONG_HOP_BAO_GIA'!G:G, 1)</f>
        <v/>
      </c>
      <c r="I2154" s="5">
        <f>G2154*H2154</f>
        <v/>
      </c>
      <c r="J2154" s="2">
        <f>XLOOKUP(E2154, '06_BANG_GIA_VAT_TU_AP_DUNG'!B:B, '06_BANG_GIA_VAT_TU_AP_DUNG'!C:C, "LỖI_MÃ_VT")</f>
        <v/>
      </c>
      <c r="K2154" s="2">
        <f>I2154*J2154</f>
        <v/>
      </c>
      <c r="L2154" t="inlineStr">
        <is>
          <t>Kích thước vỏ 550.0x450.0x210mm</t>
        </is>
      </c>
    </row>
    <row r="2155">
      <c r="A2155" t="inlineStr">
        <is>
          <t>SW-DAMPER-530-BLADE</t>
        </is>
      </c>
      <c r="B2155" t="inlineStr">
        <is>
          <t>SW-DAMPER-530</t>
        </is>
      </c>
      <c r="C2155" t="inlineStr">
        <is>
          <t>Lá cánh van (3 cánh overlap)</t>
        </is>
      </c>
      <c r="D2155" t="inlineStr">
        <is>
          <t>TÔN_CUỘN_MẠ_KẼM</t>
        </is>
      </c>
      <c r="E2155" t="inlineStr">
        <is>
          <t>MAT-STEEL-PN-0.75</t>
        </is>
      </c>
      <c r="F2155" t="inlineStr">
        <is>
          <t>kg</t>
        </is>
      </c>
      <c r="G2155" s="4" t="n">
        <v>1.78355925</v>
      </c>
      <c r="H2155" s="2">
        <f>XLOOKUP(B2155, '00_TONG_HOP_BAO_GIA'!B:B, '00_TONG_HOP_BAO_GIA'!G:G, 1)</f>
        <v/>
      </c>
      <c r="I2155" s="5">
        <f>G2155*H2155</f>
        <v/>
      </c>
      <c r="J2155" s="2">
        <f>XLOOKUP(E2155, '06_BANG_GIA_VAT_TU_AP_DUNG'!B:B, '06_BANG_GIA_VAT_TU_AP_DUNG'!C:C, "LỖI_MÃ_VT")</f>
        <v/>
      </c>
      <c r="K2155" s="2">
        <f>I2155*J2155</f>
        <v/>
      </c>
      <c r="L2155" t="inlineStr">
        <is>
          <t>3 cánh cao 170mm</t>
        </is>
      </c>
    </row>
    <row r="2156">
      <c r="A2156" t="inlineStr">
        <is>
          <t>SW-DAMPER-530-AXLE</t>
        </is>
      </c>
      <c r="B2156" t="inlineStr">
        <is>
          <t>SW-DAMPER-530</t>
        </is>
      </c>
      <c r="C2156" t="inlineStr">
        <is>
          <t>Trục Sus 201 D10</t>
        </is>
      </c>
      <c r="D2156" t="inlineStr">
        <is>
          <t>PHỤ_KIỆN_VAN</t>
        </is>
      </c>
      <c r="E2156" t="inlineStr">
        <is>
          <t>MAT-DAMPER-TRUC-SUS-201-D10</t>
        </is>
      </c>
      <c r="F2156" t="inlineStr">
        <is>
          <t>m</t>
        </is>
      </c>
      <c r="G2156" s="4" t="n">
        <v>1.83</v>
      </c>
      <c r="H2156" s="2">
        <f>XLOOKUP(B2156, '00_TONG_HOP_BAO_GIA'!B:B, '00_TONG_HOP_BAO_GIA'!G:G, 1)</f>
        <v/>
      </c>
      <c r="I2156" s="5">
        <f>G2156*H2156</f>
        <v/>
      </c>
      <c r="J2156" s="2">
        <f>XLOOKUP(E2156, '06_BANG_GIA_VAT_TU_AP_DUNG'!B:B, '06_BANG_GIA_VAT_TU_AP_DUNG'!C:C, "LỖI_MÃ_VT")</f>
        <v/>
      </c>
      <c r="K2156" s="2">
        <f>I2156*J2156</f>
        <v/>
      </c>
      <c r="L2156" t="inlineStr">
        <is>
          <t>3 trục dài 610mm</t>
        </is>
      </c>
    </row>
    <row r="2157">
      <c r="A2157" t="inlineStr">
        <is>
          <t>SW-DAMPER-530-BEARING</t>
        </is>
      </c>
      <c r="B2157" t="inlineStr">
        <is>
          <t>SW-DAMPER-530</t>
        </is>
      </c>
      <c r="C2157" t="inlineStr">
        <is>
          <t>Bạc đồng D10</t>
        </is>
      </c>
      <c r="D2157" t="inlineStr">
        <is>
          <t>PHỤ_KIỆN_VAN</t>
        </is>
      </c>
      <c r="E2157" t="inlineStr">
        <is>
          <t>MAT-DAMPER-BAC-DONG-D10</t>
        </is>
      </c>
      <c r="F2157" t="inlineStr">
        <is>
          <t>Đôi</t>
        </is>
      </c>
      <c r="G2157" s="4" t="n">
        <v>3</v>
      </c>
      <c r="H2157" s="2">
        <f>XLOOKUP(B2157, '00_TONG_HOP_BAO_GIA'!B:B, '00_TONG_HOP_BAO_GIA'!G:G, 1)</f>
        <v/>
      </c>
      <c r="I2157" s="5">
        <f>G2157*H2157</f>
        <v/>
      </c>
      <c r="J2157" s="2">
        <f>XLOOKUP(E2157, '06_BANG_GIA_VAT_TU_AP_DUNG'!B:B, '06_BANG_GIA_VAT_TU_AP_DUNG'!C:C, "LỖI_MÃ_VT")</f>
        <v/>
      </c>
      <c r="K2157" s="2">
        <f>I2157*J2157</f>
        <v/>
      </c>
      <c r="L2157" t="inlineStr">
        <is>
          <t>3 đôi bạc đỡ 2 bên thân</t>
        </is>
      </c>
    </row>
    <row r="2158">
      <c r="A2158" t="inlineStr">
        <is>
          <t>SW-DAMPER-530-GEAR</t>
        </is>
      </c>
      <c r="B2158" t="inlineStr">
        <is>
          <t>SW-DAMPER-530</t>
        </is>
      </c>
      <c r="C2158" t="inlineStr">
        <is>
          <t>Bánh răng van nhôm</t>
        </is>
      </c>
      <c r="D2158" t="inlineStr">
        <is>
          <t>PHỤ_KIỆN_VAN</t>
        </is>
      </c>
      <c r="E2158" t="inlineStr">
        <is>
          <t>MAT-DAMPER-BANH-RANG-VAN-NHOM</t>
        </is>
      </c>
      <c r="F2158" t="inlineStr">
        <is>
          <t>Bộ</t>
        </is>
      </c>
      <c r="G2158" s="4" t="n">
        <v>1</v>
      </c>
      <c r="H2158" s="2">
        <f>XLOOKUP(B2158, '00_TONG_HOP_BAO_GIA'!B:B, '00_TONG_HOP_BAO_GIA'!G:G, 1)</f>
        <v/>
      </c>
      <c r="I2158" s="5">
        <f>G2158*H2158</f>
        <v/>
      </c>
      <c r="J2158" s="2">
        <f>XLOOKUP(E2158, '06_BANG_GIA_VAT_TU_AP_DUNG'!B:B, '06_BANG_GIA_VAT_TU_AP_DUNG'!C:C, "LỖI_MÃ_VT")</f>
        <v/>
      </c>
      <c r="K2158" s="2">
        <f>I2158*J2158</f>
        <v/>
      </c>
      <c r="L2158" t="inlineStr">
        <is>
          <t>Cơ cấu liên động bánh răng van</t>
        </is>
      </c>
    </row>
    <row r="2159">
      <c r="A2159" t="inlineStr">
        <is>
          <t>SW-DAMPER-530-ACTUATOR</t>
        </is>
      </c>
      <c r="B2159" t="inlineStr">
        <is>
          <t>SW-DAMPER-530</t>
        </is>
      </c>
      <c r="C2159" t="inlineStr">
        <is>
          <t>Model: NACA 2-05 (5Nm, 220VAC)</t>
        </is>
      </c>
      <c r="D2159" t="inlineStr">
        <is>
          <t>ĐỘNG_CƠ_VÀ_CẢM_BIẾN</t>
        </is>
      </c>
      <c r="E2159" t="inlineStr">
        <is>
          <t>MAT-ACTUATOR-NACA-2-05</t>
        </is>
      </c>
      <c r="F2159" t="inlineStr">
        <is>
          <t>Cái</t>
        </is>
      </c>
      <c r="G2159" s="4" t="n">
        <v>1</v>
      </c>
      <c r="H2159" s="2">
        <f>XLOOKUP(B2159, '00_TONG_HOP_BAO_GIA'!B:B, '00_TONG_HOP_BAO_GIA'!G:G, 1)</f>
        <v/>
      </c>
      <c r="I2159" s="5">
        <f>G2159*H2159</f>
        <v/>
      </c>
      <c r="J2159" s="2">
        <f>XLOOKUP(E2159, '06_BANG_GIA_VAT_TU_AP_DUNG'!B:B, '06_BANG_GIA_VAT_TU_AP_DUNG'!C:C, "LỖI_MÃ_VT")</f>
        <v/>
      </c>
      <c r="K2159" s="2">
        <f>I2159*J2159</f>
        <v/>
      </c>
      <c r="L2159" t="inlineStr">
        <is>
          <t>Tiết diện van 0.25m2</t>
        </is>
      </c>
    </row>
    <row r="2160">
      <c r="A2160" t="inlineStr">
        <is>
          <t>SW-DAMPER-531-BODY</t>
        </is>
      </c>
      <c r="B2160" t="inlineStr">
        <is>
          <t>SW-DAMPER-531</t>
        </is>
      </c>
      <c r="C2160" t="inlineStr">
        <is>
          <t>Thân vỏ van MD bích TDF (0.75mm)</t>
        </is>
      </c>
      <c r="D2160" t="inlineStr">
        <is>
          <t>TÔN_CUỘN_MẠ_KẼM</t>
        </is>
      </c>
      <c r="E2160" t="inlineStr">
        <is>
          <t>MAT-STEEL-PN-0.75</t>
        </is>
      </c>
      <c r="F2160" t="inlineStr">
        <is>
          <t>kg</t>
        </is>
      </c>
      <c r="G2160" s="4" t="n">
        <v>2.838717</v>
      </c>
      <c r="H2160" s="2">
        <f>XLOOKUP(B2160, '00_TONG_HOP_BAO_GIA'!B:B, '00_TONG_HOP_BAO_GIA'!G:G, 1)</f>
        <v/>
      </c>
      <c r="I2160" s="5">
        <f>G2160*H2160</f>
        <v/>
      </c>
      <c r="J2160" s="2">
        <f>XLOOKUP(E2160, '06_BANG_GIA_VAT_TU_AP_DUNG'!B:B, '06_BANG_GIA_VAT_TU_AP_DUNG'!C:C, "LỖI_MÃ_VT")</f>
        <v/>
      </c>
      <c r="K2160" s="2">
        <f>I2160*J2160</f>
        <v/>
      </c>
      <c r="L2160" t="inlineStr">
        <is>
          <t>Kích thước vỏ 600.0x200.0x210mm</t>
        </is>
      </c>
    </row>
    <row r="2161">
      <c r="A2161" t="inlineStr">
        <is>
          <t>SW-DAMPER-531-BLADE</t>
        </is>
      </c>
      <c r="B2161" t="inlineStr">
        <is>
          <t>SW-DAMPER-531</t>
        </is>
      </c>
      <c r="C2161" t="inlineStr">
        <is>
          <t>Lá cánh van (2 cánh overlap)</t>
        </is>
      </c>
      <c r="D2161" t="inlineStr">
        <is>
          <t>TÔN_CUỘN_MẠ_KẼM</t>
        </is>
      </c>
      <c r="E2161" t="inlineStr">
        <is>
          <t>MAT-STEEL-PN-0.75</t>
        </is>
      </c>
      <c r="F2161" t="inlineStr">
        <is>
          <t>kg</t>
        </is>
      </c>
      <c r="G2161" s="4" t="n">
        <v>0.9156239999999999</v>
      </c>
      <c r="H2161" s="2">
        <f>XLOOKUP(B2161, '00_TONG_HOP_BAO_GIA'!B:B, '00_TONG_HOP_BAO_GIA'!G:G, 1)</f>
        <v/>
      </c>
      <c r="I2161" s="5">
        <f>G2161*H2161</f>
        <v/>
      </c>
      <c r="J2161" s="2">
        <f>XLOOKUP(E2161, '06_BANG_GIA_VAT_TU_AP_DUNG'!B:B, '06_BANG_GIA_VAT_TU_AP_DUNG'!C:C, "LỖI_MÃ_VT")</f>
        <v/>
      </c>
      <c r="K2161" s="2">
        <f>I2161*J2161</f>
        <v/>
      </c>
      <c r="L2161" t="inlineStr">
        <is>
          <t>2 cánh cao 120mm</t>
        </is>
      </c>
    </row>
    <row r="2162">
      <c r="A2162" t="inlineStr">
        <is>
          <t>SW-DAMPER-531-AXLE</t>
        </is>
      </c>
      <c r="B2162" t="inlineStr">
        <is>
          <t>SW-DAMPER-531</t>
        </is>
      </c>
      <c r="C2162" t="inlineStr">
        <is>
          <t>Trục Sus 201 D10</t>
        </is>
      </c>
      <c r="D2162" t="inlineStr">
        <is>
          <t>PHỤ_KIỆN_VAN</t>
        </is>
      </c>
      <c r="E2162" t="inlineStr">
        <is>
          <t>MAT-DAMPER-TRUC-SUS-201-D10</t>
        </is>
      </c>
      <c r="F2162" t="inlineStr">
        <is>
          <t>m</t>
        </is>
      </c>
      <c r="G2162" s="4" t="n">
        <v>1.32</v>
      </c>
      <c r="H2162" s="2">
        <f>XLOOKUP(B2162, '00_TONG_HOP_BAO_GIA'!B:B, '00_TONG_HOP_BAO_GIA'!G:G, 1)</f>
        <v/>
      </c>
      <c r="I2162" s="5">
        <f>G2162*H2162</f>
        <v/>
      </c>
      <c r="J2162" s="2">
        <f>XLOOKUP(E2162, '06_BANG_GIA_VAT_TU_AP_DUNG'!B:B, '06_BANG_GIA_VAT_TU_AP_DUNG'!C:C, "LỖI_MÃ_VT")</f>
        <v/>
      </c>
      <c r="K2162" s="2">
        <f>I2162*J2162</f>
        <v/>
      </c>
      <c r="L2162" t="inlineStr">
        <is>
          <t>2 trục dài 660mm</t>
        </is>
      </c>
    </row>
    <row r="2163">
      <c r="A2163" t="inlineStr">
        <is>
          <t>SW-DAMPER-531-BEARING</t>
        </is>
      </c>
      <c r="B2163" t="inlineStr">
        <is>
          <t>SW-DAMPER-531</t>
        </is>
      </c>
      <c r="C2163" t="inlineStr">
        <is>
          <t>Bạc đồng D10</t>
        </is>
      </c>
      <c r="D2163" t="inlineStr">
        <is>
          <t>PHỤ_KIỆN_VAN</t>
        </is>
      </c>
      <c r="E2163" t="inlineStr">
        <is>
          <t>MAT-DAMPER-BAC-DONG-D10</t>
        </is>
      </c>
      <c r="F2163" t="inlineStr">
        <is>
          <t>Đôi</t>
        </is>
      </c>
      <c r="G2163" s="4" t="n">
        <v>2</v>
      </c>
      <c r="H2163" s="2">
        <f>XLOOKUP(B2163, '00_TONG_HOP_BAO_GIA'!B:B, '00_TONG_HOP_BAO_GIA'!G:G, 1)</f>
        <v/>
      </c>
      <c r="I2163" s="5">
        <f>G2163*H2163</f>
        <v/>
      </c>
      <c r="J2163" s="2">
        <f>XLOOKUP(E2163, '06_BANG_GIA_VAT_TU_AP_DUNG'!B:B, '06_BANG_GIA_VAT_TU_AP_DUNG'!C:C, "LỖI_MÃ_VT")</f>
        <v/>
      </c>
      <c r="K2163" s="2">
        <f>I2163*J2163</f>
        <v/>
      </c>
      <c r="L2163" t="inlineStr">
        <is>
          <t>2 đôi bạc đỡ 2 bên thân</t>
        </is>
      </c>
    </row>
    <row r="2164">
      <c r="A2164" t="inlineStr">
        <is>
          <t>SW-DAMPER-531-GEAR</t>
        </is>
      </c>
      <c r="B2164" t="inlineStr">
        <is>
          <t>SW-DAMPER-531</t>
        </is>
      </c>
      <c r="C2164" t="inlineStr">
        <is>
          <t>Bánh răng van nhôm</t>
        </is>
      </c>
      <c r="D2164" t="inlineStr">
        <is>
          <t>PHỤ_KIỆN_VAN</t>
        </is>
      </c>
      <c r="E2164" t="inlineStr">
        <is>
          <t>MAT-DAMPER-BANH-RANG-VAN-NHOM</t>
        </is>
      </c>
      <c r="F2164" t="inlineStr">
        <is>
          <t>Bộ</t>
        </is>
      </c>
      <c r="G2164" s="4" t="n">
        <v>1</v>
      </c>
      <c r="H2164" s="2">
        <f>XLOOKUP(B2164, '00_TONG_HOP_BAO_GIA'!B:B, '00_TONG_HOP_BAO_GIA'!G:G, 1)</f>
        <v/>
      </c>
      <c r="I2164" s="5">
        <f>G2164*H2164</f>
        <v/>
      </c>
      <c r="J2164" s="2">
        <f>XLOOKUP(E2164, '06_BANG_GIA_VAT_TU_AP_DUNG'!B:B, '06_BANG_GIA_VAT_TU_AP_DUNG'!C:C, "LỖI_MÃ_VT")</f>
        <v/>
      </c>
      <c r="K2164" s="2">
        <f>I2164*J2164</f>
        <v/>
      </c>
      <c r="L2164" t="inlineStr">
        <is>
          <t>Cơ cấu liên động bánh răng van</t>
        </is>
      </c>
    </row>
    <row r="2165">
      <c r="A2165" t="inlineStr">
        <is>
          <t>SW-DAMPER-531-ACTUATOR</t>
        </is>
      </c>
      <c r="B2165" t="inlineStr">
        <is>
          <t>SW-DAMPER-531</t>
        </is>
      </c>
      <c r="C2165" t="inlineStr">
        <is>
          <t>Model: NACA 2-05 (5Nm, 220VAC)</t>
        </is>
      </c>
      <c r="D2165" t="inlineStr">
        <is>
          <t>ĐỘNG_CƠ_VÀ_CẢM_BIẾN</t>
        </is>
      </c>
      <c r="E2165" t="inlineStr">
        <is>
          <t>MAT-ACTUATOR-NACA-2-05</t>
        </is>
      </c>
      <c r="F2165" t="inlineStr">
        <is>
          <t>Cái</t>
        </is>
      </c>
      <c r="G2165" s="4" t="n">
        <v>1</v>
      </c>
      <c r="H2165" s="2">
        <f>XLOOKUP(B2165, '00_TONG_HOP_BAO_GIA'!B:B, '00_TONG_HOP_BAO_GIA'!G:G, 1)</f>
        <v/>
      </c>
      <c r="I2165" s="5">
        <f>G2165*H2165</f>
        <v/>
      </c>
      <c r="J2165" s="2">
        <f>XLOOKUP(E2165, '06_BANG_GIA_VAT_TU_AP_DUNG'!B:B, '06_BANG_GIA_VAT_TU_AP_DUNG'!C:C, "LỖI_MÃ_VT")</f>
        <v/>
      </c>
      <c r="K2165" s="2">
        <f>I2165*J2165</f>
        <v/>
      </c>
      <c r="L2165" t="inlineStr">
        <is>
          <t>Tiết diện van 0.12m2</t>
        </is>
      </c>
    </row>
    <row r="2166">
      <c r="A2166" t="inlineStr">
        <is>
          <t>SW-DAMPER-532-BODY</t>
        </is>
      </c>
      <c r="B2166" t="inlineStr">
        <is>
          <t>SW-DAMPER-532</t>
        </is>
      </c>
      <c r="C2166" t="inlineStr">
        <is>
          <t>Thân vỏ van MD bích TDF (0.75mm)</t>
        </is>
      </c>
      <c r="D2166" t="inlineStr">
        <is>
          <t>TÔN_CUỘN_MẠ_KẼM</t>
        </is>
      </c>
      <c r="E2166" t="inlineStr">
        <is>
          <t>MAT-STEEL-PN-0.75</t>
        </is>
      </c>
      <c r="F2166" t="inlineStr">
        <is>
          <t>kg</t>
        </is>
      </c>
      <c r="G2166" s="4" t="n">
        <v>3.7041795</v>
      </c>
      <c r="H2166" s="2">
        <f>XLOOKUP(B2166, '00_TONG_HOP_BAO_GIA'!B:B, '00_TONG_HOP_BAO_GIA'!G:G, 1)</f>
        <v/>
      </c>
      <c r="I2166" s="5">
        <f>G2166*H2166</f>
        <v/>
      </c>
      <c r="J2166" s="2">
        <f>XLOOKUP(E2166, '06_BANG_GIA_VAT_TU_AP_DUNG'!B:B, '06_BANG_GIA_VAT_TU_AP_DUNG'!C:C, "LỖI_MÃ_VT")</f>
        <v/>
      </c>
      <c r="K2166" s="2">
        <f>I2166*J2166</f>
        <v/>
      </c>
      <c r="L2166" t="inlineStr">
        <is>
          <t>Kích thước vỏ 600.0x450.0x210mm</t>
        </is>
      </c>
    </row>
    <row r="2167">
      <c r="A2167" t="inlineStr">
        <is>
          <t>SW-DAMPER-532-BLADE</t>
        </is>
      </c>
      <c r="B2167" t="inlineStr">
        <is>
          <t>SW-DAMPER-532</t>
        </is>
      </c>
      <c r="C2167" t="inlineStr">
        <is>
          <t>Lá cánh van (3 cánh overlap)</t>
        </is>
      </c>
      <c r="D2167" t="inlineStr">
        <is>
          <t>TÔN_CUỘN_MẠ_KẼM</t>
        </is>
      </c>
      <c r="E2167" t="inlineStr">
        <is>
          <t>MAT-STEEL-PN-0.75</t>
        </is>
      </c>
      <c r="F2167" t="inlineStr">
        <is>
          <t>kg</t>
        </is>
      </c>
      <c r="G2167" s="4" t="n">
        <v>1.945701</v>
      </c>
      <c r="H2167" s="2">
        <f>XLOOKUP(B2167, '00_TONG_HOP_BAO_GIA'!B:B, '00_TONG_HOP_BAO_GIA'!G:G, 1)</f>
        <v/>
      </c>
      <c r="I2167" s="5">
        <f>G2167*H2167</f>
        <v/>
      </c>
      <c r="J2167" s="2">
        <f>XLOOKUP(E2167, '06_BANG_GIA_VAT_TU_AP_DUNG'!B:B, '06_BANG_GIA_VAT_TU_AP_DUNG'!C:C, "LỖI_MÃ_VT")</f>
        <v/>
      </c>
      <c r="K2167" s="2">
        <f>I2167*J2167</f>
        <v/>
      </c>
      <c r="L2167" t="inlineStr">
        <is>
          <t>3 cánh cao 170mm</t>
        </is>
      </c>
    </row>
    <row r="2168">
      <c r="A2168" t="inlineStr">
        <is>
          <t>SW-DAMPER-532-AXLE</t>
        </is>
      </c>
      <c r="B2168" t="inlineStr">
        <is>
          <t>SW-DAMPER-532</t>
        </is>
      </c>
      <c r="C2168" t="inlineStr">
        <is>
          <t>Trục Sus 201 D10</t>
        </is>
      </c>
      <c r="D2168" t="inlineStr">
        <is>
          <t>PHỤ_KIỆN_VAN</t>
        </is>
      </c>
      <c r="E2168" t="inlineStr">
        <is>
          <t>MAT-DAMPER-TRUC-SUS-201-D10</t>
        </is>
      </c>
      <c r="F2168" t="inlineStr">
        <is>
          <t>m</t>
        </is>
      </c>
      <c r="G2168" s="4" t="n">
        <v>1.98</v>
      </c>
      <c r="H2168" s="2">
        <f>XLOOKUP(B2168, '00_TONG_HOP_BAO_GIA'!B:B, '00_TONG_HOP_BAO_GIA'!G:G, 1)</f>
        <v/>
      </c>
      <c r="I2168" s="5">
        <f>G2168*H2168</f>
        <v/>
      </c>
      <c r="J2168" s="2">
        <f>XLOOKUP(E2168, '06_BANG_GIA_VAT_TU_AP_DUNG'!B:B, '06_BANG_GIA_VAT_TU_AP_DUNG'!C:C, "LỖI_MÃ_VT")</f>
        <v/>
      </c>
      <c r="K2168" s="2">
        <f>I2168*J2168</f>
        <v/>
      </c>
      <c r="L2168" t="inlineStr">
        <is>
          <t>3 trục dài 660mm</t>
        </is>
      </c>
    </row>
    <row r="2169">
      <c r="A2169" t="inlineStr">
        <is>
          <t>SW-DAMPER-532-BEARING</t>
        </is>
      </c>
      <c r="B2169" t="inlineStr">
        <is>
          <t>SW-DAMPER-532</t>
        </is>
      </c>
      <c r="C2169" t="inlineStr">
        <is>
          <t>Bạc đồng D10</t>
        </is>
      </c>
      <c r="D2169" t="inlineStr">
        <is>
          <t>PHỤ_KIỆN_VAN</t>
        </is>
      </c>
      <c r="E2169" t="inlineStr">
        <is>
          <t>MAT-DAMPER-BAC-DONG-D10</t>
        </is>
      </c>
      <c r="F2169" t="inlineStr">
        <is>
          <t>Đôi</t>
        </is>
      </c>
      <c r="G2169" s="4" t="n">
        <v>3</v>
      </c>
      <c r="H2169" s="2">
        <f>XLOOKUP(B2169, '00_TONG_HOP_BAO_GIA'!B:B, '00_TONG_HOP_BAO_GIA'!G:G, 1)</f>
        <v/>
      </c>
      <c r="I2169" s="5">
        <f>G2169*H2169</f>
        <v/>
      </c>
      <c r="J2169" s="2">
        <f>XLOOKUP(E2169, '06_BANG_GIA_VAT_TU_AP_DUNG'!B:B, '06_BANG_GIA_VAT_TU_AP_DUNG'!C:C, "LỖI_MÃ_VT")</f>
        <v/>
      </c>
      <c r="K2169" s="2">
        <f>I2169*J2169</f>
        <v/>
      </c>
      <c r="L2169" t="inlineStr">
        <is>
          <t>3 đôi bạc đỡ 2 bên thân</t>
        </is>
      </c>
    </row>
    <row r="2170">
      <c r="A2170" t="inlineStr">
        <is>
          <t>SW-DAMPER-532-GEAR</t>
        </is>
      </c>
      <c r="B2170" t="inlineStr">
        <is>
          <t>SW-DAMPER-532</t>
        </is>
      </c>
      <c r="C2170" t="inlineStr">
        <is>
          <t>Bánh răng van nhôm</t>
        </is>
      </c>
      <c r="D2170" t="inlineStr">
        <is>
          <t>PHỤ_KIỆN_VAN</t>
        </is>
      </c>
      <c r="E2170" t="inlineStr">
        <is>
          <t>MAT-DAMPER-BANH-RANG-VAN-NHOM</t>
        </is>
      </c>
      <c r="F2170" t="inlineStr">
        <is>
          <t>Bộ</t>
        </is>
      </c>
      <c r="G2170" s="4" t="n">
        <v>1</v>
      </c>
      <c r="H2170" s="2">
        <f>XLOOKUP(B2170, '00_TONG_HOP_BAO_GIA'!B:B, '00_TONG_HOP_BAO_GIA'!G:G, 1)</f>
        <v/>
      </c>
      <c r="I2170" s="5">
        <f>G2170*H2170</f>
        <v/>
      </c>
      <c r="J2170" s="2">
        <f>XLOOKUP(E2170, '06_BANG_GIA_VAT_TU_AP_DUNG'!B:B, '06_BANG_GIA_VAT_TU_AP_DUNG'!C:C, "LỖI_MÃ_VT")</f>
        <v/>
      </c>
      <c r="K2170" s="2">
        <f>I2170*J2170</f>
        <v/>
      </c>
      <c r="L2170" t="inlineStr">
        <is>
          <t>Cơ cấu liên động bánh răng van</t>
        </is>
      </c>
    </row>
    <row r="2171">
      <c r="A2171" t="inlineStr">
        <is>
          <t>SW-DAMPER-532-ACTUATOR</t>
        </is>
      </c>
      <c r="B2171" t="inlineStr">
        <is>
          <t>SW-DAMPER-532</t>
        </is>
      </c>
      <c r="C2171" t="inlineStr">
        <is>
          <t>Model: NACA 2-05 (5Nm, 220VAC)</t>
        </is>
      </c>
      <c r="D2171" t="inlineStr">
        <is>
          <t>ĐỘNG_CƠ_VÀ_CẢM_BIẾN</t>
        </is>
      </c>
      <c r="E2171" t="inlineStr">
        <is>
          <t>MAT-ACTUATOR-NACA-2-05</t>
        </is>
      </c>
      <c r="F2171" t="inlineStr">
        <is>
          <t>Cái</t>
        </is>
      </c>
      <c r="G2171" s="4" t="n">
        <v>1</v>
      </c>
      <c r="H2171" s="2">
        <f>XLOOKUP(B2171, '00_TONG_HOP_BAO_GIA'!B:B, '00_TONG_HOP_BAO_GIA'!G:G, 1)</f>
        <v/>
      </c>
      <c r="I2171" s="5">
        <f>G2171*H2171</f>
        <v/>
      </c>
      <c r="J2171" s="2">
        <f>XLOOKUP(E2171, '06_BANG_GIA_VAT_TU_AP_DUNG'!B:B, '06_BANG_GIA_VAT_TU_AP_DUNG'!C:C, "LỖI_MÃ_VT")</f>
        <v/>
      </c>
      <c r="K2171" s="2">
        <f>I2171*J2171</f>
        <v/>
      </c>
      <c r="L2171" t="inlineStr">
        <is>
          <t>Tiết diện van 0.27m2</t>
        </is>
      </c>
    </row>
    <row r="2172">
      <c r="A2172" t="inlineStr">
        <is>
          <t>SW-DAMPER-533-BODY</t>
        </is>
      </c>
      <c r="B2172" t="inlineStr">
        <is>
          <t>SW-DAMPER-533</t>
        </is>
      </c>
      <c r="C2172" t="inlineStr">
        <is>
          <t>Thân vỏ van MD bích TDF (0.75mm)</t>
        </is>
      </c>
      <c r="D2172" t="inlineStr">
        <is>
          <t>TÔN_CUỘN_MẠ_KẼM</t>
        </is>
      </c>
      <c r="E2172" t="inlineStr">
        <is>
          <t>MAT-STEEL-PN-0.75</t>
        </is>
      </c>
      <c r="F2172" t="inlineStr">
        <is>
          <t>kg</t>
        </is>
      </c>
      <c r="G2172" s="4" t="n">
        <v>4.223457</v>
      </c>
      <c r="H2172" s="2">
        <f>XLOOKUP(B2172, '00_TONG_HOP_BAO_GIA'!B:B, '00_TONG_HOP_BAO_GIA'!G:G, 1)</f>
        <v/>
      </c>
      <c r="I2172" s="5">
        <f>G2172*H2172</f>
        <v/>
      </c>
      <c r="J2172" s="2">
        <f>XLOOKUP(E2172, '06_BANG_GIA_VAT_TU_AP_DUNG'!B:B, '06_BANG_GIA_VAT_TU_AP_DUNG'!C:C, "LỖI_MÃ_VT")</f>
        <v/>
      </c>
      <c r="K2172" s="2">
        <f>I2172*J2172</f>
        <v/>
      </c>
      <c r="L2172" t="inlineStr">
        <is>
          <t>Kích thước vỏ 600.0x600.0x210mm</t>
        </is>
      </c>
    </row>
    <row r="2173">
      <c r="A2173" t="inlineStr">
        <is>
          <t>SW-DAMPER-533-BLADE</t>
        </is>
      </c>
      <c r="B2173" t="inlineStr">
        <is>
          <t>SW-DAMPER-533</t>
        </is>
      </c>
      <c r="C2173" t="inlineStr">
        <is>
          <t>Lá cánh van (4 cánh overlap)</t>
        </is>
      </c>
      <c r="D2173" t="inlineStr">
        <is>
          <t>TÔN_CUỘN_MẠ_KẼM</t>
        </is>
      </c>
      <c r="E2173" t="inlineStr">
        <is>
          <t>MAT-STEEL-PN-0.75</t>
        </is>
      </c>
      <c r="F2173" t="inlineStr">
        <is>
          <t>kg</t>
        </is>
      </c>
      <c r="G2173" s="4" t="n">
        <v>2.594268</v>
      </c>
      <c r="H2173" s="2">
        <f>XLOOKUP(B2173, '00_TONG_HOP_BAO_GIA'!B:B, '00_TONG_HOP_BAO_GIA'!G:G, 1)</f>
        <v/>
      </c>
      <c r="I2173" s="5">
        <f>G2173*H2173</f>
        <v/>
      </c>
      <c r="J2173" s="2">
        <f>XLOOKUP(E2173, '06_BANG_GIA_VAT_TU_AP_DUNG'!B:B, '06_BANG_GIA_VAT_TU_AP_DUNG'!C:C, "LỖI_MÃ_VT")</f>
        <v/>
      </c>
      <c r="K2173" s="2">
        <f>I2173*J2173</f>
        <v/>
      </c>
      <c r="L2173" t="inlineStr">
        <is>
          <t>4 cánh cao 170mm</t>
        </is>
      </c>
    </row>
    <row r="2174">
      <c r="A2174" t="inlineStr">
        <is>
          <t>SW-DAMPER-533-AXLE</t>
        </is>
      </c>
      <c r="B2174" t="inlineStr">
        <is>
          <t>SW-DAMPER-533</t>
        </is>
      </c>
      <c r="C2174" t="inlineStr">
        <is>
          <t>Trục Sus 201 D10</t>
        </is>
      </c>
      <c r="D2174" t="inlineStr">
        <is>
          <t>PHỤ_KIỆN_VAN</t>
        </is>
      </c>
      <c r="E2174" t="inlineStr">
        <is>
          <t>MAT-DAMPER-TRUC-SUS-201-D10</t>
        </is>
      </c>
      <c r="F2174" t="inlineStr">
        <is>
          <t>m</t>
        </is>
      </c>
      <c r="G2174" s="4" t="n">
        <v>2.64</v>
      </c>
      <c r="H2174" s="2">
        <f>XLOOKUP(B2174, '00_TONG_HOP_BAO_GIA'!B:B, '00_TONG_HOP_BAO_GIA'!G:G, 1)</f>
        <v/>
      </c>
      <c r="I2174" s="5">
        <f>G2174*H2174</f>
        <v/>
      </c>
      <c r="J2174" s="2">
        <f>XLOOKUP(E2174, '06_BANG_GIA_VAT_TU_AP_DUNG'!B:B, '06_BANG_GIA_VAT_TU_AP_DUNG'!C:C, "LỖI_MÃ_VT")</f>
        <v/>
      </c>
      <c r="K2174" s="2">
        <f>I2174*J2174</f>
        <v/>
      </c>
      <c r="L2174" t="inlineStr">
        <is>
          <t>4 trục dài 660mm</t>
        </is>
      </c>
    </row>
    <row r="2175">
      <c r="A2175" t="inlineStr">
        <is>
          <t>SW-DAMPER-533-BEARING</t>
        </is>
      </c>
      <c r="B2175" t="inlineStr">
        <is>
          <t>SW-DAMPER-533</t>
        </is>
      </c>
      <c r="C2175" t="inlineStr">
        <is>
          <t>Bạc đồng D10</t>
        </is>
      </c>
      <c r="D2175" t="inlineStr">
        <is>
          <t>PHỤ_KIỆN_VAN</t>
        </is>
      </c>
      <c r="E2175" t="inlineStr">
        <is>
          <t>MAT-DAMPER-BAC-DONG-D10</t>
        </is>
      </c>
      <c r="F2175" t="inlineStr">
        <is>
          <t>Đôi</t>
        </is>
      </c>
      <c r="G2175" s="4" t="n">
        <v>4</v>
      </c>
      <c r="H2175" s="2">
        <f>XLOOKUP(B2175, '00_TONG_HOP_BAO_GIA'!B:B, '00_TONG_HOP_BAO_GIA'!G:G, 1)</f>
        <v/>
      </c>
      <c r="I2175" s="5">
        <f>G2175*H2175</f>
        <v/>
      </c>
      <c r="J2175" s="2">
        <f>XLOOKUP(E2175, '06_BANG_GIA_VAT_TU_AP_DUNG'!B:B, '06_BANG_GIA_VAT_TU_AP_DUNG'!C:C, "LỖI_MÃ_VT")</f>
        <v/>
      </c>
      <c r="K2175" s="2">
        <f>I2175*J2175</f>
        <v/>
      </c>
      <c r="L2175" t="inlineStr">
        <is>
          <t>4 đôi bạc đỡ 2 bên thân</t>
        </is>
      </c>
    </row>
    <row r="2176">
      <c r="A2176" t="inlineStr">
        <is>
          <t>SW-DAMPER-533-GEAR</t>
        </is>
      </c>
      <c r="B2176" t="inlineStr">
        <is>
          <t>SW-DAMPER-533</t>
        </is>
      </c>
      <c r="C2176" t="inlineStr">
        <is>
          <t>Bánh răng van nhôm</t>
        </is>
      </c>
      <c r="D2176" t="inlineStr">
        <is>
          <t>PHỤ_KIỆN_VAN</t>
        </is>
      </c>
      <c r="E2176" t="inlineStr">
        <is>
          <t>MAT-DAMPER-BANH-RANG-VAN-NHOM</t>
        </is>
      </c>
      <c r="F2176" t="inlineStr">
        <is>
          <t>Bộ</t>
        </is>
      </c>
      <c r="G2176" s="4" t="n">
        <v>1</v>
      </c>
      <c r="H2176" s="2">
        <f>XLOOKUP(B2176, '00_TONG_HOP_BAO_GIA'!B:B, '00_TONG_HOP_BAO_GIA'!G:G, 1)</f>
        <v/>
      </c>
      <c r="I2176" s="5">
        <f>G2176*H2176</f>
        <v/>
      </c>
      <c r="J2176" s="2">
        <f>XLOOKUP(E2176, '06_BANG_GIA_VAT_TU_AP_DUNG'!B:B, '06_BANG_GIA_VAT_TU_AP_DUNG'!C:C, "LỖI_MÃ_VT")</f>
        <v/>
      </c>
      <c r="K2176" s="2">
        <f>I2176*J2176</f>
        <v/>
      </c>
      <c r="L2176" t="inlineStr">
        <is>
          <t>Cơ cấu liên động bánh răng van</t>
        </is>
      </c>
    </row>
    <row r="2177">
      <c r="A2177" t="inlineStr">
        <is>
          <t>SW-DAMPER-533-ACTUATOR</t>
        </is>
      </c>
      <c r="B2177" t="inlineStr">
        <is>
          <t>SW-DAMPER-533</t>
        </is>
      </c>
      <c r="C2177" t="inlineStr">
        <is>
          <t>Model: NACA 2-05 (5Nm, 220VAC)</t>
        </is>
      </c>
      <c r="D2177" t="inlineStr">
        <is>
          <t>ĐỘNG_CƠ_VÀ_CẢM_BIẾN</t>
        </is>
      </c>
      <c r="E2177" t="inlineStr">
        <is>
          <t>MAT-ACTUATOR-NACA-2-05</t>
        </is>
      </c>
      <c r="F2177" t="inlineStr">
        <is>
          <t>Cái</t>
        </is>
      </c>
      <c r="G2177" s="4" t="n">
        <v>1</v>
      </c>
      <c r="H2177" s="2">
        <f>XLOOKUP(B2177, '00_TONG_HOP_BAO_GIA'!B:B, '00_TONG_HOP_BAO_GIA'!G:G, 1)</f>
        <v/>
      </c>
      <c r="I2177" s="5">
        <f>G2177*H2177</f>
        <v/>
      </c>
      <c r="J2177" s="2">
        <f>XLOOKUP(E2177, '06_BANG_GIA_VAT_TU_AP_DUNG'!B:B, '06_BANG_GIA_VAT_TU_AP_DUNG'!C:C, "LỖI_MÃ_VT")</f>
        <v/>
      </c>
      <c r="K2177" s="2">
        <f>I2177*J2177</f>
        <v/>
      </c>
      <c r="L2177" t="inlineStr">
        <is>
          <t>Tiết diện van 0.36m2</t>
        </is>
      </c>
    </row>
    <row r="2178">
      <c r="A2178" t="inlineStr">
        <is>
          <t>SW-DAMPER-534-BODY</t>
        </is>
      </c>
      <c r="B2178" t="inlineStr">
        <is>
          <t>SW-DAMPER-534</t>
        </is>
      </c>
      <c r="C2178" t="inlineStr">
        <is>
          <t>Thân vỏ van MD bích TDF (0.75mm)</t>
        </is>
      </c>
      <c r="D2178" t="inlineStr">
        <is>
          <t>TÔN_CUỘN_MẠ_KẼM</t>
        </is>
      </c>
      <c r="E2178" t="inlineStr">
        <is>
          <t>MAT-STEEL-PN-0.75</t>
        </is>
      </c>
      <c r="F2178" t="inlineStr">
        <is>
          <t>kg</t>
        </is>
      </c>
      <c r="G2178" s="4" t="n">
        <v>3.7041795</v>
      </c>
      <c r="H2178" s="2">
        <f>XLOOKUP(B2178, '00_TONG_HOP_BAO_GIA'!B:B, '00_TONG_HOP_BAO_GIA'!G:G, 1)</f>
        <v/>
      </c>
      <c r="I2178" s="5">
        <f>G2178*H2178</f>
        <v/>
      </c>
      <c r="J2178" s="2">
        <f>XLOOKUP(E2178, '06_BANG_GIA_VAT_TU_AP_DUNG'!B:B, '06_BANG_GIA_VAT_TU_AP_DUNG'!C:C, "LỖI_MÃ_VT")</f>
        <v/>
      </c>
      <c r="K2178" s="2">
        <f>I2178*J2178</f>
        <v/>
      </c>
      <c r="L2178" t="inlineStr">
        <is>
          <t>Kích thước vỏ 650.0x400.0x210mm</t>
        </is>
      </c>
    </row>
    <row r="2179">
      <c r="A2179" t="inlineStr">
        <is>
          <t>SW-DAMPER-534-BLADE</t>
        </is>
      </c>
      <c r="B2179" t="inlineStr">
        <is>
          <t>SW-DAMPER-534</t>
        </is>
      </c>
      <c r="C2179" t="inlineStr">
        <is>
          <t>Lá cánh van (3 cánh overlap)</t>
        </is>
      </c>
      <c r="D2179" t="inlineStr">
        <is>
          <t>TÔN_CUỘN_MẠ_KẼM</t>
        </is>
      </c>
      <c r="E2179" t="inlineStr">
        <is>
          <t>MAT-STEEL-PN-0.75</t>
        </is>
      </c>
      <c r="F2179" t="inlineStr">
        <is>
          <t>kg</t>
        </is>
      </c>
      <c r="G2179" s="4" t="n">
        <v>1.9011915</v>
      </c>
      <c r="H2179" s="2">
        <f>XLOOKUP(B2179, '00_TONG_HOP_BAO_GIA'!B:B, '00_TONG_HOP_BAO_GIA'!G:G, 1)</f>
        <v/>
      </c>
      <c r="I2179" s="5">
        <f>G2179*H2179</f>
        <v/>
      </c>
      <c r="J2179" s="2">
        <f>XLOOKUP(E2179, '06_BANG_GIA_VAT_TU_AP_DUNG'!B:B, '06_BANG_GIA_VAT_TU_AP_DUNG'!C:C, "LỖI_MÃ_VT")</f>
        <v/>
      </c>
      <c r="K2179" s="2">
        <f>I2179*J2179</f>
        <v/>
      </c>
      <c r="L2179" t="inlineStr">
        <is>
          <t>3 cánh cao 153mm</t>
        </is>
      </c>
    </row>
    <row r="2180">
      <c r="A2180" t="inlineStr">
        <is>
          <t>SW-DAMPER-534-AXLE</t>
        </is>
      </c>
      <c r="B2180" t="inlineStr">
        <is>
          <t>SW-DAMPER-534</t>
        </is>
      </c>
      <c r="C2180" t="inlineStr">
        <is>
          <t>Trục Sus 201 D10</t>
        </is>
      </c>
      <c r="D2180" t="inlineStr">
        <is>
          <t>PHỤ_KIỆN_VAN</t>
        </is>
      </c>
      <c r="E2180" t="inlineStr">
        <is>
          <t>MAT-DAMPER-TRUC-SUS-201-D10</t>
        </is>
      </c>
      <c r="F2180" t="inlineStr">
        <is>
          <t>m</t>
        </is>
      </c>
      <c r="G2180" s="4" t="n">
        <v>2.13</v>
      </c>
      <c r="H2180" s="2">
        <f>XLOOKUP(B2180, '00_TONG_HOP_BAO_GIA'!B:B, '00_TONG_HOP_BAO_GIA'!G:G, 1)</f>
        <v/>
      </c>
      <c r="I2180" s="5">
        <f>G2180*H2180</f>
        <v/>
      </c>
      <c r="J2180" s="2">
        <f>XLOOKUP(E2180, '06_BANG_GIA_VAT_TU_AP_DUNG'!B:B, '06_BANG_GIA_VAT_TU_AP_DUNG'!C:C, "LỖI_MÃ_VT")</f>
        <v/>
      </c>
      <c r="K2180" s="2">
        <f>I2180*J2180</f>
        <v/>
      </c>
      <c r="L2180" t="inlineStr">
        <is>
          <t>3 trục dài 710mm</t>
        </is>
      </c>
    </row>
    <row r="2181">
      <c r="A2181" t="inlineStr">
        <is>
          <t>SW-DAMPER-534-BEARING</t>
        </is>
      </c>
      <c r="B2181" t="inlineStr">
        <is>
          <t>SW-DAMPER-534</t>
        </is>
      </c>
      <c r="C2181" t="inlineStr">
        <is>
          <t>Bạc đồng D10</t>
        </is>
      </c>
      <c r="D2181" t="inlineStr">
        <is>
          <t>PHỤ_KIỆN_VAN</t>
        </is>
      </c>
      <c r="E2181" t="inlineStr">
        <is>
          <t>MAT-DAMPER-BAC-DONG-D10</t>
        </is>
      </c>
      <c r="F2181" t="inlineStr">
        <is>
          <t>Đôi</t>
        </is>
      </c>
      <c r="G2181" s="4" t="n">
        <v>3</v>
      </c>
      <c r="H2181" s="2">
        <f>XLOOKUP(B2181, '00_TONG_HOP_BAO_GIA'!B:B, '00_TONG_HOP_BAO_GIA'!G:G, 1)</f>
        <v/>
      </c>
      <c r="I2181" s="5">
        <f>G2181*H2181</f>
        <v/>
      </c>
      <c r="J2181" s="2">
        <f>XLOOKUP(E2181, '06_BANG_GIA_VAT_TU_AP_DUNG'!B:B, '06_BANG_GIA_VAT_TU_AP_DUNG'!C:C, "LỖI_MÃ_VT")</f>
        <v/>
      </c>
      <c r="K2181" s="2">
        <f>I2181*J2181</f>
        <v/>
      </c>
      <c r="L2181" t="inlineStr">
        <is>
          <t>3 đôi bạc đỡ 2 bên thân</t>
        </is>
      </c>
    </row>
    <row r="2182">
      <c r="A2182" t="inlineStr">
        <is>
          <t>SW-DAMPER-534-GEAR</t>
        </is>
      </c>
      <c r="B2182" t="inlineStr">
        <is>
          <t>SW-DAMPER-534</t>
        </is>
      </c>
      <c r="C2182" t="inlineStr">
        <is>
          <t>Bánh răng van nhôm</t>
        </is>
      </c>
      <c r="D2182" t="inlineStr">
        <is>
          <t>PHỤ_KIỆN_VAN</t>
        </is>
      </c>
      <c r="E2182" t="inlineStr">
        <is>
          <t>MAT-DAMPER-BANH-RANG-VAN-NHOM</t>
        </is>
      </c>
      <c r="F2182" t="inlineStr">
        <is>
          <t>Bộ</t>
        </is>
      </c>
      <c r="G2182" s="4" t="n">
        <v>1</v>
      </c>
      <c r="H2182" s="2">
        <f>XLOOKUP(B2182, '00_TONG_HOP_BAO_GIA'!B:B, '00_TONG_HOP_BAO_GIA'!G:G, 1)</f>
        <v/>
      </c>
      <c r="I2182" s="5">
        <f>G2182*H2182</f>
        <v/>
      </c>
      <c r="J2182" s="2">
        <f>XLOOKUP(E2182, '06_BANG_GIA_VAT_TU_AP_DUNG'!B:B, '06_BANG_GIA_VAT_TU_AP_DUNG'!C:C, "LỖI_MÃ_VT")</f>
        <v/>
      </c>
      <c r="K2182" s="2">
        <f>I2182*J2182</f>
        <v/>
      </c>
      <c r="L2182" t="inlineStr">
        <is>
          <t>Cơ cấu liên động bánh răng van</t>
        </is>
      </c>
    </row>
    <row r="2183">
      <c r="A2183" t="inlineStr">
        <is>
          <t>SW-DAMPER-534-ACTUATOR</t>
        </is>
      </c>
      <c r="B2183" t="inlineStr">
        <is>
          <t>SW-DAMPER-534</t>
        </is>
      </c>
      <c r="C2183" t="inlineStr">
        <is>
          <t>Model: NACA 2-05 (5Nm, 220VAC)</t>
        </is>
      </c>
      <c r="D2183" t="inlineStr">
        <is>
          <t>ĐỘNG_CƠ_VÀ_CẢM_BIẾN</t>
        </is>
      </c>
      <c r="E2183" t="inlineStr">
        <is>
          <t>MAT-ACTUATOR-NACA-2-05</t>
        </is>
      </c>
      <c r="F2183" t="inlineStr">
        <is>
          <t>Cái</t>
        </is>
      </c>
      <c r="G2183" s="4" t="n">
        <v>1</v>
      </c>
      <c r="H2183" s="2">
        <f>XLOOKUP(B2183, '00_TONG_HOP_BAO_GIA'!B:B, '00_TONG_HOP_BAO_GIA'!G:G, 1)</f>
        <v/>
      </c>
      <c r="I2183" s="5">
        <f>G2183*H2183</f>
        <v/>
      </c>
      <c r="J2183" s="2">
        <f>XLOOKUP(E2183, '06_BANG_GIA_VAT_TU_AP_DUNG'!B:B, '06_BANG_GIA_VAT_TU_AP_DUNG'!C:C, "LỖI_MÃ_VT")</f>
        <v/>
      </c>
      <c r="K2183" s="2">
        <f>I2183*J2183</f>
        <v/>
      </c>
      <c r="L2183" t="inlineStr">
        <is>
          <t>Tiết diện van 0.26m2</t>
        </is>
      </c>
    </row>
    <row r="2184">
      <c r="A2184" t="inlineStr">
        <is>
          <t>SW-DAMPER-535-BODY</t>
        </is>
      </c>
      <c r="B2184" t="inlineStr">
        <is>
          <t>SW-DAMPER-535</t>
        </is>
      </c>
      <c r="C2184" t="inlineStr">
        <is>
          <t>Thân vỏ van MD bích TDF (0.75mm)</t>
        </is>
      </c>
      <c r="D2184" t="inlineStr">
        <is>
          <t>TÔN_CUỘN_MẠ_KẼM</t>
        </is>
      </c>
      <c r="E2184" t="inlineStr">
        <is>
          <t>MAT-STEEL-PN-0.75</t>
        </is>
      </c>
      <c r="F2184" t="inlineStr">
        <is>
          <t>kg</t>
        </is>
      </c>
      <c r="G2184" s="4" t="n">
        <v>4.7427345</v>
      </c>
      <c r="H2184" s="2">
        <f>XLOOKUP(B2184, '00_TONG_HOP_BAO_GIA'!B:B, '00_TONG_HOP_BAO_GIA'!G:G, 1)</f>
        <v/>
      </c>
      <c r="I2184" s="5">
        <f>G2184*H2184</f>
        <v/>
      </c>
      <c r="J2184" s="2">
        <f>XLOOKUP(E2184, '06_BANG_GIA_VAT_TU_AP_DUNG'!B:B, '06_BANG_GIA_VAT_TU_AP_DUNG'!C:C, "LỖI_MÃ_VT")</f>
        <v/>
      </c>
      <c r="K2184" s="2">
        <f>I2184*J2184</f>
        <v/>
      </c>
      <c r="L2184" t="inlineStr">
        <is>
          <t>Kích thước vỏ 750.0x600.0x210mm</t>
        </is>
      </c>
    </row>
    <row r="2185">
      <c r="A2185" t="inlineStr">
        <is>
          <t>SW-DAMPER-535-BLADE</t>
        </is>
      </c>
      <c r="B2185" t="inlineStr">
        <is>
          <t>SW-DAMPER-535</t>
        </is>
      </c>
      <c r="C2185" t="inlineStr">
        <is>
          <t>Lá cánh van (4 cánh overlap)</t>
        </is>
      </c>
      <c r="D2185" t="inlineStr">
        <is>
          <t>TÔN_CUỘN_MẠ_KẼM</t>
        </is>
      </c>
      <c r="E2185" t="inlineStr">
        <is>
          <t>MAT-STEEL-PN-0.75</t>
        </is>
      </c>
      <c r="F2185" t="inlineStr">
        <is>
          <t>kg</t>
        </is>
      </c>
      <c r="G2185" s="4" t="n">
        <v>3.242835</v>
      </c>
      <c r="H2185" s="2">
        <f>XLOOKUP(B2185, '00_TONG_HOP_BAO_GIA'!B:B, '00_TONG_HOP_BAO_GIA'!G:G, 1)</f>
        <v/>
      </c>
      <c r="I2185" s="5">
        <f>G2185*H2185</f>
        <v/>
      </c>
      <c r="J2185" s="2">
        <f>XLOOKUP(E2185, '06_BANG_GIA_VAT_TU_AP_DUNG'!B:B, '06_BANG_GIA_VAT_TU_AP_DUNG'!C:C, "LỖI_MÃ_VT")</f>
        <v/>
      </c>
      <c r="K2185" s="2">
        <f>I2185*J2185</f>
        <v/>
      </c>
      <c r="L2185" t="inlineStr">
        <is>
          <t>4 cánh cao 170mm</t>
        </is>
      </c>
    </row>
    <row r="2186">
      <c r="A2186" t="inlineStr">
        <is>
          <t>SW-DAMPER-535-AXLE</t>
        </is>
      </c>
      <c r="B2186" t="inlineStr">
        <is>
          <t>SW-DAMPER-535</t>
        </is>
      </c>
      <c r="C2186" t="inlineStr">
        <is>
          <t>Trục Sus 201 D10</t>
        </is>
      </c>
      <c r="D2186" t="inlineStr">
        <is>
          <t>PHỤ_KIỆN_VAN</t>
        </is>
      </c>
      <c r="E2186" t="inlineStr">
        <is>
          <t>MAT-DAMPER-TRUC-SUS-201-D10</t>
        </is>
      </c>
      <c r="F2186" t="inlineStr">
        <is>
          <t>m</t>
        </is>
      </c>
      <c r="G2186" s="4" t="n">
        <v>3.24</v>
      </c>
      <c r="H2186" s="2">
        <f>XLOOKUP(B2186, '00_TONG_HOP_BAO_GIA'!B:B, '00_TONG_HOP_BAO_GIA'!G:G, 1)</f>
        <v/>
      </c>
      <c r="I2186" s="5">
        <f>G2186*H2186</f>
        <v/>
      </c>
      <c r="J2186" s="2">
        <f>XLOOKUP(E2186, '06_BANG_GIA_VAT_TU_AP_DUNG'!B:B, '06_BANG_GIA_VAT_TU_AP_DUNG'!C:C, "LỖI_MÃ_VT")</f>
        <v/>
      </c>
      <c r="K2186" s="2">
        <f>I2186*J2186</f>
        <v/>
      </c>
      <c r="L2186" t="inlineStr">
        <is>
          <t>4 trục dài 810mm</t>
        </is>
      </c>
    </row>
    <row r="2187">
      <c r="A2187" t="inlineStr">
        <is>
          <t>SW-DAMPER-535-BEARING</t>
        </is>
      </c>
      <c r="B2187" t="inlineStr">
        <is>
          <t>SW-DAMPER-535</t>
        </is>
      </c>
      <c r="C2187" t="inlineStr">
        <is>
          <t>Bạc đồng D10</t>
        </is>
      </c>
      <c r="D2187" t="inlineStr">
        <is>
          <t>PHỤ_KIỆN_VAN</t>
        </is>
      </c>
      <c r="E2187" t="inlineStr">
        <is>
          <t>MAT-DAMPER-BAC-DONG-D10</t>
        </is>
      </c>
      <c r="F2187" t="inlineStr">
        <is>
          <t>Đôi</t>
        </is>
      </c>
      <c r="G2187" s="4" t="n">
        <v>4</v>
      </c>
      <c r="H2187" s="2">
        <f>XLOOKUP(B2187, '00_TONG_HOP_BAO_GIA'!B:B, '00_TONG_HOP_BAO_GIA'!G:G, 1)</f>
        <v/>
      </c>
      <c r="I2187" s="5">
        <f>G2187*H2187</f>
        <v/>
      </c>
      <c r="J2187" s="2">
        <f>XLOOKUP(E2187, '06_BANG_GIA_VAT_TU_AP_DUNG'!B:B, '06_BANG_GIA_VAT_TU_AP_DUNG'!C:C, "LỖI_MÃ_VT")</f>
        <v/>
      </c>
      <c r="K2187" s="2">
        <f>I2187*J2187</f>
        <v/>
      </c>
      <c r="L2187" t="inlineStr">
        <is>
          <t>4 đôi bạc đỡ 2 bên thân</t>
        </is>
      </c>
    </row>
    <row r="2188">
      <c r="A2188" t="inlineStr">
        <is>
          <t>SW-DAMPER-535-GEAR</t>
        </is>
      </c>
      <c r="B2188" t="inlineStr">
        <is>
          <t>SW-DAMPER-535</t>
        </is>
      </c>
      <c r="C2188" t="inlineStr">
        <is>
          <t>Bánh răng van nhôm</t>
        </is>
      </c>
      <c r="D2188" t="inlineStr">
        <is>
          <t>PHỤ_KIỆN_VAN</t>
        </is>
      </c>
      <c r="E2188" t="inlineStr">
        <is>
          <t>MAT-DAMPER-BANH-RANG-VAN-NHOM</t>
        </is>
      </c>
      <c r="F2188" t="inlineStr">
        <is>
          <t>Bộ</t>
        </is>
      </c>
      <c r="G2188" s="4" t="n">
        <v>1</v>
      </c>
      <c r="H2188" s="2">
        <f>XLOOKUP(B2188, '00_TONG_HOP_BAO_GIA'!B:B, '00_TONG_HOP_BAO_GIA'!G:G, 1)</f>
        <v/>
      </c>
      <c r="I2188" s="5">
        <f>G2188*H2188</f>
        <v/>
      </c>
      <c r="J2188" s="2">
        <f>XLOOKUP(E2188, '06_BANG_GIA_VAT_TU_AP_DUNG'!B:B, '06_BANG_GIA_VAT_TU_AP_DUNG'!C:C, "LỖI_MÃ_VT")</f>
        <v/>
      </c>
      <c r="K2188" s="2">
        <f>I2188*J2188</f>
        <v/>
      </c>
      <c r="L2188" t="inlineStr">
        <is>
          <t>Cơ cấu liên động bánh răng van</t>
        </is>
      </c>
    </row>
    <row r="2189">
      <c r="A2189" t="inlineStr">
        <is>
          <t>SW-DAMPER-535-ACTUATOR</t>
        </is>
      </c>
      <c r="B2189" t="inlineStr">
        <is>
          <t>SW-DAMPER-535</t>
        </is>
      </c>
      <c r="C2189" t="inlineStr">
        <is>
          <t>Model: NACA 2-05 (5Nm, 220VAC)</t>
        </is>
      </c>
      <c r="D2189" t="inlineStr">
        <is>
          <t>ĐỘNG_CƠ_VÀ_CẢM_BIẾN</t>
        </is>
      </c>
      <c r="E2189" t="inlineStr">
        <is>
          <t>MAT-ACTUATOR-NACA-2-05</t>
        </is>
      </c>
      <c r="F2189" t="inlineStr">
        <is>
          <t>Cái</t>
        </is>
      </c>
      <c r="G2189" s="4" t="n">
        <v>1</v>
      </c>
      <c r="H2189" s="2">
        <f>XLOOKUP(B2189, '00_TONG_HOP_BAO_GIA'!B:B, '00_TONG_HOP_BAO_GIA'!G:G, 1)</f>
        <v/>
      </c>
      <c r="I2189" s="5">
        <f>G2189*H2189</f>
        <v/>
      </c>
      <c r="J2189" s="2">
        <f>XLOOKUP(E2189, '06_BANG_GIA_VAT_TU_AP_DUNG'!B:B, '06_BANG_GIA_VAT_TU_AP_DUNG'!C:C, "LỖI_MÃ_VT")</f>
        <v/>
      </c>
      <c r="K2189" s="2">
        <f>I2189*J2189</f>
        <v/>
      </c>
      <c r="L2189" t="inlineStr">
        <is>
          <t>Tiết diện van 0.45m2</t>
        </is>
      </c>
    </row>
    <row r="2190">
      <c r="A2190" t="inlineStr">
        <is>
          <t>SW-DAMPER-536-BODY</t>
        </is>
      </c>
      <c r="B2190" t="inlineStr">
        <is>
          <t>SW-DAMPER-536</t>
        </is>
      </c>
      <c r="C2190" t="inlineStr">
        <is>
          <t>Thân vỏ van MD bích TDF (0.75mm)</t>
        </is>
      </c>
      <c r="D2190" t="inlineStr">
        <is>
          <t>TÔN_CUỘN_MẠ_KẼM</t>
        </is>
      </c>
      <c r="E2190" t="inlineStr">
        <is>
          <t>MAT-STEEL-PN-0.75</t>
        </is>
      </c>
      <c r="F2190" t="inlineStr">
        <is>
          <t>kg</t>
        </is>
      </c>
      <c r="G2190" s="4" t="n">
        <v>3.531087</v>
      </c>
      <c r="H2190" s="2">
        <f>XLOOKUP(B2190, '00_TONG_HOP_BAO_GIA'!B:B, '00_TONG_HOP_BAO_GIA'!G:G, 1)</f>
        <v/>
      </c>
      <c r="I2190" s="5">
        <f>G2190*H2190</f>
        <v/>
      </c>
      <c r="J2190" s="2">
        <f>XLOOKUP(E2190, '06_BANG_GIA_VAT_TU_AP_DUNG'!B:B, '06_BANG_GIA_VAT_TU_AP_DUNG'!C:C, "LỖI_MÃ_VT")</f>
        <v/>
      </c>
      <c r="K2190" s="2">
        <f>I2190*J2190</f>
        <v/>
      </c>
      <c r="L2190" t="inlineStr">
        <is>
          <t>Kích thước vỏ 500.0x500.0x210mm</t>
        </is>
      </c>
    </row>
    <row r="2191">
      <c r="A2191" t="inlineStr">
        <is>
          <t>SW-DAMPER-536-BLADE</t>
        </is>
      </c>
      <c r="B2191" t="inlineStr">
        <is>
          <t>SW-DAMPER-536</t>
        </is>
      </c>
      <c r="C2191" t="inlineStr">
        <is>
          <t>Lá cánh van (3 cánh overlap)</t>
        </is>
      </c>
      <c r="D2191" t="inlineStr">
        <is>
          <t>TÔN_CUỘN_MẠ_KẼM</t>
        </is>
      </c>
      <c r="E2191" t="inlineStr">
        <is>
          <t>MAT-STEEL-PN-0.75</t>
        </is>
      </c>
      <c r="F2191" t="inlineStr">
        <is>
          <t>kg</t>
        </is>
      </c>
      <c r="G2191" s="4" t="n">
        <v>1.78038</v>
      </c>
      <c r="H2191" s="2">
        <f>XLOOKUP(B2191, '00_TONG_HOP_BAO_GIA'!B:B, '00_TONG_HOP_BAO_GIA'!G:G, 1)</f>
        <v/>
      </c>
      <c r="I2191" s="5">
        <f>G2191*H2191</f>
        <v/>
      </c>
      <c r="J2191" s="2">
        <f>XLOOKUP(E2191, '06_BANG_GIA_VAT_TU_AP_DUNG'!B:B, '06_BANG_GIA_VAT_TU_AP_DUNG'!C:C, "LỖI_MÃ_VT")</f>
        <v/>
      </c>
      <c r="K2191" s="2">
        <f>I2191*J2191</f>
        <v/>
      </c>
      <c r="L2191" t="inlineStr">
        <is>
          <t>3 cánh cao 187mm</t>
        </is>
      </c>
    </row>
    <row r="2192">
      <c r="A2192" t="inlineStr">
        <is>
          <t>SW-DAMPER-536-AXLE</t>
        </is>
      </c>
      <c r="B2192" t="inlineStr">
        <is>
          <t>SW-DAMPER-536</t>
        </is>
      </c>
      <c r="C2192" t="inlineStr">
        <is>
          <t>Trục Sus 201 D10</t>
        </is>
      </c>
      <c r="D2192" t="inlineStr">
        <is>
          <t>PHỤ_KIỆN_VAN</t>
        </is>
      </c>
      <c r="E2192" t="inlineStr">
        <is>
          <t>MAT-DAMPER-TRUC-SUS-201-D10</t>
        </is>
      </c>
      <c r="F2192" t="inlineStr">
        <is>
          <t>m</t>
        </is>
      </c>
      <c r="G2192" s="4" t="n">
        <v>1.68</v>
      </c>
      <c r="H2192" s="2">
        <f>XLOOKUP(B2192, '00_TONG_HOP_BAO_GIA'!B:B, '00_TONG_HOP_BAO_GIA'!G:G, 1)</f>
        <v/>
      </c>
      <c r="I2192" s="5">
        <f>G2192*H2192</f>
        <v/>
      </c>
      <c r="J2192" s="2">
        <f>XLOOKUP(E2192, '06_BANG_GIA_VAT_TU_AP_DUNG'!B:B, '06_BANG_GIA_VAT_TU_AP_DUNG'!C:C, "LỖI_MÃ_VT")</f>
        <v/>
      </c>
      <c r="K2192" s="2">
        <f>I2192*J2192</f>
        <v/>
      </c>
      <c r="L2192" t="inlineStr">
        <is>
          <t>3 trục dài 560mm</t>
        </is>
      </c>
    </row>
    <row r="2193">
      <c r="A2193" t="inlineStr">
        <is>
          <t>SW-DAMPER-536-BEARING</t>
        </is>
      </c>
      <c r="B2193" t="inlineStr">
        <is>
          <t>SW-DAMPER-536</t>
        </is>
      </c>
      <c r="C2193" t="inlineStr">
        <is>
          <t>Bạc đồng D10</t>
        </is>
      </c>
      <c r="D2193" t="inlineStr">
        <is>
          <t>PHỤ_KIỆN_VAN</t>
        </is>
      </c>
      <c r="E2193" t="inlineStr">
        <is>
          <t>MAT-DAMPER-BAC-DONG-D10</t>
        </is>
      </c>
      <c r="F2193" t="inlineStr">
        <is>
          <t>Đôi</t>
        </is>
      </c>
      <c r="G2193" s="4" t="n">
        <v>3</v>
      </c>
      <c r="H2193" s="2">
        <f>XLOOKUP(B2193, '00_TONG_HOP_BAO_GIA'!B:B, '00_TONG_HOP_BAO_GIA'!G:G, 1)</f>
        <v/>
      </c>
      <c r="I2193" s="5">
        <f>G2193*H2193</f>
        <v/>
      </c>
      <c r="J2193" s="2">
        <f>XLOOKUP(E2193, '06_BANG_GIA_VAT_TU_AP_DUNG'!B:B, '06_BANG_GIA_VAT_TU_AP_DUNG'!C:C, "LỖI_MÃ_VT")</f>
        <v/>
      </c>
      <c r="K2193" s="2">
        <f>I2193*J2193</f>
        <v/>
      </c>
      <c r="L2193" t="inlineStr">
        <is>
          <t>3 đôi bạc đỡ 2 bên thân</t>
        </is>
      </c>
    </row>
    <row r="2194">
      <c r="A2194" t="inlineStr">
        <is>
          <t>SW-DAMPER-536-GEAR</t>
        </is>
      </c>
      <c r="B2194" t="inlineStr">
        <is>
          <t>SW-DAMPER-536</t>
        </is>
      </c>
      <c r="C2194" t="inlineStr">
        <is>
          <t>Bánh răng van nhôm</t>
        </is>
      </c>
      <c r="D2194" t="inlineStr">
        <is>
          <t>PHỤ_KIỆN_VAN</t>
        </is>
      </c>
      <c r="E2194" t="inlineStr">
        <is>
          <t>MAT-DAMPER-BANH-RANG-VAN-NHOM</t>
        </is>
      </c>
      <c r="F2194" t="inlineStr">
        <is>
          <t>Bộ</t>
        </is>
      </c>
      <c r="G2194" s="4" t="n">
        <v>1</v>
      </c>
      <c r="H2194" s="2">
        <f>XLOOKUP(B2194, '00_TONG_HOP_BAO_GIA'!B:B, '00_TONG_HOP_BAO_GIA'!G:G, 1)</f>
        <v/>
      </c>
      <c r="I2194" s="5">
        <f>G2194*H2194</f>
        <v/>
      </c>
      <c r="J2194" s="2">
        <f>XLOOKUP(E2194, '06_BANG_GIA_VAT_TU_AP_DUNG'!B:B, '06_BANG_GIA_VAT_TU_AP_DUNG'!C:C, "LỖI_MÃ_VT")</f>
        <v/>
      </c>
      <c r="K2194" s="2">
        <f>I2194*J2194</f>
        <v/>
      </c>
      <c r="L2194" t="inlineStr">
        <is>
          <t>Cơ cấu liên động bánh răng van</t>
        </is>
      </c>
    </row>
    <row r="2195">
      <c r="A2195" t="inlineStr">
        <is>
          <t>SW-DAMPER-536-ACTUATOR</t>
        </is>
      </c>
      <c r="B2195" t="inlineStr">
        <is>
          <t>SW-DAMPER-536</t>
        </is>
      </c>
      <c r="C2195" t="inlineStr">
        <is>
          <t>Model: NACA 2-05 (5Nm, 220VAC)</t>
        </is>
      </c>
      <c r="D2195" t="inlineStr">
        <is>
          <t>ĐỘNG_CƠ_VÀ_CẢM_BIẾN</t>
        </is>
      </c>
      <c r="E2195" t="inlineStr">
        <is>
          <t>MAT-ACTUATOR-NACA-2-05</t>
        </is>
      </c>
      <c r="F2195" t="inlineStr">
        <is>
          <t>Cái</t>
        </is>
      </c>
      <c r="G2195" s="4" t="n">
        <v>1</v>
      </c>
      <c r="H2195" s="2">
        <f>XLOOKUP(B2195, '00_TONG_HOP_BAO_GIA'!B:B, '00_TONG_HOP_BAO_GIA'!G:G, 1)</f>
        <v/>
      </c>
      <c r="I2195" s="5">
        <f>G2195*H2195</f>
        <v/>
      </c>
      <c r="J2195" s="2">
        <f>XLOOKUP(E2195, '06_BANG_GIA_VAT_TU_AP_DUNG'!B:B, '06_BANG_GIA_VAT_TU_AP_DUNG'!C:C, "LỖI_MÃ_VT")</f>
        <v/>
      </c>
      <c r="K2195" s="2">
        <f>I2195*J2195</f>
        <v/>
      </c>
      <c r="L2195" t="inlineStr">
        <is>
          <t>Tiết diện van 0.25m2</t>
        </is>
      </c>
    </row>
    <row r="2196">
      <c r="A2196" t="inlineStr">
        <is>
          <t>SW-DAMPER-537-BODY</t>
        </is>
      </c>
      <c r="B2196" t="inlineStr">
        <is>
          <t>SW-DAMPER-537</t>
        </is>
      </c>
      <c r="C2196" t="inlineStr">
        <is>
          <t>Thân vỏ van MD bích TDF (0.75mm)</t>
        </is>
      </c>
      <c r="D2196" t="inlineStr">
        <is>
          <t>TÔN_CUỘN_MẠ_KẼM</t>
        </is>
      </c>
      <c r="E2196" t="inlineStr">
        <is>
          <t>MAT-STEEL-PN-0.75</t>
        </is>
      </c>
      <c r="F2196" t="inlineStr">
        <is>
          <t>kg</t>
        </is>
      </c>
      <c r="G2196" s="4" t="n">
        <v>4.915826999999999</v>
      </c>
      <c r="H2196" s="2">
        <f>XLOOKUP(B2196, '00_TONG_HOP_BAO_GIA'!B:B, '00_TONG_HOP_BAO_GIA'!G:G, 1)</f>
        <v/>
      </c>
      <c r="I2196" s="5">
        <f>G2196*H2196</f>
        <v/>
      </c>
      <c r="J2196" s="2">
        <f>XLOOKUP(E2196, '06_BANG_GIA_VAT_TU_AP_DUNG'!B:B, '06_BANG_GIA_VAT_TU_AP_DUNG'!C:C, "LỖI_MÃ_VT")</f>
        <v/>
      </c>
      <c r="K2196" s="2">
        <f>I2196*J2196</f>
        <v/>
      </c>
      <c r="L2196" t="inlineStr">
        <is>
          <t>Kích thước vỏ 700.0x700.0x210mm</t>
        </is>
      </c>
    </row>
    <row r="2197">
      <c r="A2197" t="inlineStr">
        <is>
          <t>SW-DAMPER-537-BLADE</t>
        </is>
      </c>
      <c r="B2197" t="inlineStr">
        <is>
          <t>SW-DAMPER-537</t>
        </is>
      </c>
      <c r="C2197" t="inlineStr">
        <is>
          <t>Lá cánh van (4 cánh overlap)</t>
        </is>
      </c>
      <c r="D2197" t="inlineStr">
        <is>
          <t>TÔN_CUỘN_MẠ_KẼM</t>
        </is>
      </c>
      <c r="E2197" t="inlineStr">
        <is>
          <t>MAT-STEEL-PN-0.75</t>
        </is>
      </c>
      <c r="F2197" t="inlineStr">
        <is>
          <t>kg</t>
        </is>
      </c>
      <c r="G2197" s="4" t="n">
        <v>3.471740999999999</v>
      </c>
      <c r="H2197" s="2">
        <f>XLOOKUP(B2197, '00_TONG_HOP_BAO_GIA'!B:B, '00_TONG_HOP_BAO_GIA'!G:G, 1)</f>
        <v/>
      </c>
      <c r="I2197" s="5">
        <f>G2197*H2197</f>
        <v/>
      </c>
      <c r="J2197" s="2">
        <f>XLOOKUP(E2197, '06_BANG_GIA_VAT_TU_AP_DUNG'!B:B, '06_BANG_GIA_VAT_TU_AP_DUNG'!C:C, "LỖI_MÃ_VT")</f>
        <v/>
      </c>
      <c r="K2197" s="2">
        <f>I2197*J2197</f>
        <v/>
      </c>
      <c r="L2197" t="inlineStr">
        <is>
          <t>4 cánh cao 195mm</t>
        </is>
      </c>
    </row>
    <row r="2198">
      <c r="A2198" t="inlineStr">
        <is>
          <t>SW-DAMPER-537-AXLE</t>
        </is>
      </c>
      <c r="B2198" t="inlineStr">
        <is>
          <t>SW-DAMPER-537</t>
        </is>
      </c>
      <c r="C2198" t="inlineStr">
        <is>
          <t>Trục Sus 201 D10</t>
        </is>
      </c>
      <c r="D2198" t="inlineStr">
        <is>
          <t>PHỤ_KIỆN_VAN</t>
        </is>
      </c>
      <c r="E2198" t="inlineStr">
        <is>
          <t>MAT-DAMPER-TRUC-SUS-201-D10</t>
        </is>
      </c>
      <c r="F2198" t="inlineStr">
        <is>
          <t>m</t>
        </is>
      </c>
      <c r="G2198" s="4" t="n">
        <v>3.04</v>
      </c>
      <c r="H2198" s="2">
        <f>XLOOKUP(B2198, '00_TONG_HOP_BAO_GIA'!B:B, '00_TONG_HOP_BAO_GIA'!G:G, 1)</f>
        <v/>
      </c>
      <c r="I2198" s="5">
        <f>G2198*H2198</f>
        <v/>
      </c>
      <c r="J2198" s="2">
        <f>XLOOKUP(E2198, '06_BANG_GIA_VAT_TU_AP_DUNG'!B:B, '06_BANG_GIA_VAT_TU_AP_DUNG'!C:C, "LỖI_MÃ_VT")</f>
        <v/>
      </c>
      <c r="K2198" s="2">
        <f>I2198*J2198</f>
        <v/>
      </c>
      <c r="L2198" t="inlineStr">
        <is>
          <t>4 trục dài 760mm</t>
        </is>
      </c>
    </row>
    <row r="2199">
      <c r="A2199" t="inlineStr">
        <is>
          <t>SW-DAMPER-537-BEARING</t>
        </is>
      </c>
      <c r="B2199" t="inlineStr">
        <is>
          <t>SW-DAMPER-537</t>
        </is>
      </c>
      <c r="C2199" t="inlineStr">
        <is>
          <t>Bạc đồng D10</t>
        </is>
      </c>
      <c r="D2199" t="inlineStr">
        <is>
          <t>PHỤ_KIỆN_VAN</t>
        </is>
      </c>
      <c r="E2199" t="inlineStr">
        <is>
          <t>MAT-DAMPER-BAC-DONG-D10</t>
        </is>
      </c>
      <c r="F2199" t="inlineStr">
        <is>
          <t>Đôi</t>
        </is>
      </c>
      <c r="G2199" s="4" t="n">
        <v>4</v>
      </c>
      <c r="H2199" s="2">
        <f>XLOOKUP(B2199, '00_TONG_HOP_BAO_GIA'!B:B, '00_TONG_HOP_BAO_GIA'!G:G, 1)</f>
        <v/>
      </c>
      <c r="I2199" s="5">
        <f>G2199*H2199</f>
        <v/>
      </c>
      <c r="J2199" s="2">
        <f>XLOOKUP(E2199, '06_BANG_GIA_VAT_TU_AP_DUNG'!B:B, '06_BANG_GIA_VAT_TU_AP_DUNG'!C:C, "LỖI_MÃ_VT")</f>
        <v/>
      </c>
      <c r="K2199" s="2">
        <f>I2199*J2199</f>
        <v/>
      </c>
      <c r="L2199" t="inlineStr">
        <is>
          <t>4 đôi bạc đỡ 2 bên thân</t>
        </is>
      </c>
    </row>
    <row r="2200">
      <c r="A2200" t="inlineStr">
        <is>
          <t>SW-DAMPER-537-GEAR</t>
        </is>
      </c>
      <c r="B2200" t="inlineStr">
        <is>
          <t>SW-DAMPER-537</t>
        </is>
      </c>
      <c r="C2200" t="inlineStr">
        <is>
          <t>Bánh răng van nhôm</t>
        </is>
      </c>
      <c r="D2200" t="inlineStr">
        <is>
          <t>PHỤ_KIỆN_VAN</t>
        </is>
      </c>
      <c r="E2200" t="inlineStr">
        <is>
          <t>MAT-DAMPER-BANH-RANG-VAN-NHOM</t>
        </is>
      </c>
      <c r="F2200" t="inlineStr">
        <is>
          <t>Bộ</t>
        </is>
      </c>
      <c r="G2200" s="4" t="n">
        <v>1</v>
      </c>
      <c r="H2200" s="2">
        <f>XLOOKUP(B2200, '00_TONG_HOP_BAO_GIA'!B:B, '00_TONG_HOP_BAO_GIA'!G:G, 1)</f>
        <v/>
      </c>
      <c r="I2200" s="5">
        <f>G2200*H2200</f>
        <v/>
      </c>
      <c r="J2200" s="2">
        <f>XLOOKUP(E2200, '06_BANG_GIA_VAT_TU_AP_DUNG'!B:B, '06_BANG_GIA_VAT_TU_AP_DUNG'!C:C, "LỖI_MÃ_VT")</f>
        <v/>
      </c>
      <c r="K2200" s="2">
        <f>I2200*J2200</f>
        <v/>
      </c>
      <c r="L2200" t="inlineStr">
        <is>
          <t>Cơ cấu liên động bánh răng van</t>
        </is>
      </c>
    </row>
    <row r="2201">
      <c r="A2201" t="inlineStr">
        <is>
          <t>SW-DAMPER-537-ACTUATOR</t>
        </is>
      </c>
      <c r="B2201" t="inlineStr">
        <is>
          <t>SW-DAMPER-537</t>
        </is>
      </c>
      <c r="C2201" t="inlineStr">
        <is>
          <t>Model: NACA 2-05 (5Nm, 220VAC)</t>
        </is>
      </c>
      <c r="D2201" t="inlineStr">
        <is>
          <t>ĐỘNG_CƠ_VÀ_CẢM_BIẾN</t>
        </is>
      </c>
      <c r="E2201" t="inlineStr">
        <is>
          <t>MAT-ACTUATOR-NACA-2-05</t>
        </is>
      </c>
      <c r="F2201" t="inlineStr">
        <is>
          <t>Cái</t>
        </is>
      </c>
      <c r="G2201" s="4" t="n">
        <v>1</v>
      </c>
      <c r="H2201" s="2">
        <f>XLOOKUP(B2201, '00_TONG_HOP_BAO_GIA'!B:B, '00_TONG_HOP_BAO_GIA'!G:G, 1)</f>
        <v/>
      </c>
      <c r="I2201" s="5">
        <f>G2201*H2201</f>
        <v/>
      </c>
      <c r="J2201" s="2">
        <f>XLOOKUP(E2201, '06_BANG_GIA_VAT_TU_AP_DUNG'!B:B, '06_BANG_GIA_VAT_TU_AP_DUNG'!C:C, "LỖI_MÃ_VT")</f>
        <v/>
      </c>
      <c r="K2201" s="2">
        <f>I2201*J2201</f>
        <v/>
      </c>
      <c r="L2201" t="inlineStr">
        <is>
          <t>Tiết diện van 0.49m2</t>
        </is>
      </c>
    </row>
    <row r="2202">
      <c r="A2202" t="inlineStr">
        <is>
          <t>SW-DAMPER-538-BODY</t>
        </is>
      </c>
      <c r="B2202" t="inlineStr">
        <is>
          <t>SW-DAMPER-538</t>
        </is>
      </c>
      <c r="C2202" t="inlineStr">
        <is>
          <t>Thân vỏ van MD bích TDF (0.75mm)</t>
        </is>
      </c>
      <c r="D2202" t="inlineStr">
        <is>
          <t>TÔN_CUỘN_MẠ_KẼM</t>
        </is>
      </c>
      <c r="E2202" t="inlineStr">
        <is>
          <t>MAT-STEEL-PN-0.75</t>
        </is>
      </c>
      <c r="F2202" t="inlineStr">
        <is>
          <t>kg</t>
        </is>
      </c>
      <c r="G2202" s="4" t="n">
        <v>5.608197000000001</v>
      </c>
      <c r="H2202" s="2">
        <f>XLOOKUP(B2202, '00_TONG_HOP_BAO_GIA'!B:B, '00_TONG_HOP_BAO_GIA'!G:G, 1)</f>
        <v/>
      </c>
      <c r="I2202" s="5">
        <f>G2202*H2202</f>
        <v/>
      </c>
      <c r="J2202" s="2">
        <f>XLOOKUP(E2202, '06_BANG_GIA_VAT_TU_AP_DUNG'!B:B, '06_BANG_GIA_VAT_TU_AP_DUNG'!C:C, "LỖI_MÃ_VT")</f>
        <v/>
      </c>
      <c r="K2202" s="2">
        <f>I2202*J2202</f>
        <v/>
      </c>
      <c r="L2202" t="inlineStr">
        <is>
          <t>Kích thước vỏ 800.0x800.0x210mm</t>
        </is>
      </c>
    </row>
    <row r="2203">
      <c r="A2203" t="inlineStr">
        <is>
          <t>SW-DAMPER-538-BLADE</t>
        </is>
      </c>
      <c r="B2203" t="inlineStr">
        <is>
          <t>SW-DAMPER-538</t>
        </is>
      </c>
      <c r="C2203" t="inlineStr">
        <is>
          <t>Lá cánh van (5 cánh overlap)</t>
        </is>
      </c>
      <c r="D2203" t="inlineStr">
        <is>
          <t>TÔN_CUỘN_MẠ_KẼM</t>
        </is>
      </c>
      <c r="E2203" t="inlineStr">
        <is>
          <t>MAT-STEEL-PN-0.75</t>
        </is>
      </c>
      <c r="F2203" t="inlineStr">
        <is>
          <t>kg</t>
        </is>
      </c>
      <c r="G2203" s="4" t="n">
        <v>4.57812</v>
      </c>
      <c r="H2203" s="2">
        <f>XLOOKUP(B2203, '00_TONG_HOP_BAO_GIA'!B:B, '00_TONG_HOP_BAO_GIA'!G:G, 1)</f>
        <v/>
      </c>
      <c r="I2203" s="5">
        <f>G2203*H2203</f>
        <v/>
      </c>
      <c r="J2203" s="2">
        <f>XLOOKUP(E2203, '06_BANG_GIA_VAT_TU_AP_DUNG'!B:B, '06_BANG_GIA_VAT_TU_AP_DUNG'!C:C, "LỖI_MÃ_VT")</f>
        <v/>
      </c>
      <c r="K2203" s="2">
        <f>I2203*J2203</f>
        <v/>
      </c>
      <c r="L2203" t="inlineStr">
        <is>
          <t>5 cánh cao 180mm</t>
        </is>
      </c>
    </row>
    <row r="2204">
      <c r="A2204" t="inlineStr">
        <is>
          <t>SW-DAMPER-538-AXLE</t>
        </is>
      </c>
      <c r="B2204" t="inlineStr">
        <is>
          <t>SW-DAMPER-538</t>
        </is>
      </c>
      <c r="C2204" t="inlineStr">
        <is>
          <t>Trục Sus 201 D10</t>
        </is>
      </c>
      <c r="D2204" t="inlineStr">
        <is>
          <t>PHỤ_KIỆN_VAN</t>
        </is>
      </c>
      <c r="E2204" t="inlineStr">
        <is>
          <t>MAT-DAMPER-TRUC-SUS-201-D10</t>
        </is>
      </c>
      <c r="F2204" t="inlineStr">
        <is>
          <t>m</t>
        </is>
      </c>
      <c r="G2204" s="4" t="n">
        <v>4.3</v>
      </c>
      <c r="H2204" s="2">
        <f>XLOOKUP(B2204, '00_TONG_HOP_BAO_GIA'!B:B, '00_TONG_HOP_BAO_GIA'!G:G, 1)</f>
        <v/>
      </c>
      <c r="I2204" s="5">
        <f>G2204*H2204</f>
        <v/>
      </c>
      <c r="J2204" s="2">
        <f>XLOOKUP(E2204, '06_BANG_GIA_VAT_TU_AP_DUNG'!B:B, '06_BANG_GIA_VAT_TU_AP_DUNG'!C:C, "LỖI_MÃ_VT")</f>
        <v/>
      </c>
      <c r="K2204" s="2">
        <f>I2204*J2204</f>
        <v/>
      </c>
      <c r="L2204" t="inlineStr">
        <is>
          <t>5 trục dài 860mm</t>
        </is>
      </c>
    </row>
    <row r="2205">
      <c r="A2205" t="inlineStr">
        <is>
          <t>SW-DAMPER-538-BEARING</t>
        </is>
      </c>
      <c r="B2205" t="inlineStr">
        <is>
          <t>SW-DAMPER-538</t>
        </is>
      </c>
      <c r="C2205" t="inlineStr">
        <is>
          <t>Bạc đồng D10</t>
        </is>
      </c>
      <c r="D2205" t="inlineStr">
        <is>
          <t>PHỤ_KIỆN_VAN</t>
        </is>
      </c>
      <c r="E2205" t="inlineStr">
        <is>
          <t>MAT-DAMPER-BAC-DONG-D10</t>
        </is>
      </c>
      <c r="F2205" t="inlineStr">
        <is>
          <t>Đôi</t>
        </is>
      </c>
      <c r="G2205" s="4" t="n">
        <v>5</v>
      </c>
      <c r="H2205" s="2">
        <f>XLOOKUP(B2205, '00_TONG_HOP_BAO_GIA'!B:B, '00_TONG_HOP_BAO_GIA'!G:G, 1)</f>
        <v/>
      </c>
      <c r="I2205" s="5">
        <f>G2205*H2205</f>
        <v/>
      </c>
      <c r="J2205" s="2">
        <f>XLOOKUP(E2205, '06_BANG_GIA_VAT_TU_AP_DUNG'!B:B, '06_BANG_GIA_VAT_TU_AP_DUNG'!C:C, "LỖI_MÃ_VT")</f>
        <v/>
      </c>
      <c r="K2205" s="2">
        <f>I2205*J2205</f>
        <v/>
      </c>
      <c r="L2205" t="inlineStr">
        <is>
          <t>5 đôi bạc đỡ 2 bên thân</t>
        </is>
      </c>
    </row>
    <row r="2206">
      <c r="A2206" t="inlineStr">
        <is>
          <t>SW-DAMPER-538-GEAR</t>
        </is>
      </c>
      <c r="B2206" t="inlineStr">
        <is>
          <t>SW-DAMPER-538</t>
        </is>
      </c>
      <c r="C2206" t="inlineStr">
        <is>
          <t>Bánh răng van nhôm</t>
        </is>
      </c>
      <c r="D2206" t="inlineStr">
        <is>
          <t>PHỤ_KIỆN_VAN</t>
        </is>
      </c>
      <c r="E2206" t="inlineStr">
        <is>
          <t>MAT-DAMPER-BANH-RANG-VAN-NHOM</t>
        </is>
      </c>
      <c r="F2206" t="inlineStr">
        <is>
          <t>Bộ</t>
        </is>
      </c>
      <c r="G2206" s="4" t="n">
        <v>1</v>
      </c>
      <c r="H2206" s="2">
        <f>XLOOKUP(B2206, '00_TONG_HOP_BAO_GIA'!B:B, '00_TONG_HOP_BAO_GIA'!G:G, 1)</f>
        <v/>
      </c>
      <c r="I2206" s="5">
        <f>G2206*H2206</f>
        <v/>
      </c>
      <c r="J2206" s="2">
        <f>XLOOKUP(E2206, '06_BANG_GIA_VAT_TU_AP_DUNG'!B:B, '06_BANG_GIA_VAT_TU_AP_DUNG'!C:C, "LỖI_MÃ_VT")</f>
        <v/>
      </c>
      <c r="K2206" s="2">
        <f>I2206*J2206</f>
        <v/>
      </c>
      <c r="L2206" t="inlineStr">
        <is>
          <t>Cơ cấu liên động bánh răng van</t>
        </is>
      </c>
    </row>
    <row r="2207">
      <c r="A2207" t="inlineStr">
        <is>
          <t>SW-DAMPER-538-ACTUATOR</t>
        </is>
      </c>
      <c r="B2207" t="inlineStr">
        <is>
          <t>SW-DAMPER-538</t>
        </is>
      </c>
      <c r="C2207" t="inlineStr">
        <is>
          <t>Model: NACA 2-10 (10Nm, 220VAC)</t>
        </is>
      </c>
      <c r="D2207" t="inlineStr">
        <is>
          <t>ĐỘNG_CƠ_VÀ_CẢM_BIẾN</t>
        </is>
      </c>
      <c r="E2207" t="inlineStr">
        <is>
          <t>MAT-ACTUATOR-NACA-2-10</t>
        </is>
      </c>
      <c r="F2207" t="inlineStr">
        <is>
          <t>Cái</t>
        </is>
      </c>
      <c r="G2207" s="4" t="n">
        <v>1</v>
      </c>
      <c r="H2207" s="2">
        <f>XLOOKUP(B2207, '00_TONG_HOP_BAO_GIA'!B:B, '00_TONG_HOP_BAO_GIA'!G:G, 1)</f>
        <v/>
      </c>
      <c r="I2207" s="5">
        <f>G2207*H2207</f>
        <v/>
      </c>
      <c r="J2207" s="2">
        <f>XLOOKUP(E2207, '06_BANG_GIA_VAT_TU_AP_DUNG'!B:B, '06_BANG_GIA_VAT_TU_AP_DUNG'!C:C, "LỖI_MÃ_VT")</f>
        <v/>
      </c>
      <c r="K2207" s="2">
        <f>I2207*J2207</f>
        <v/>
      </c>
      <c r="L2207" t="inlineStr">
        <is>
          <t>Tiết diện van 0.64m2</t>
        </is>
      </c>
    </row>
    <row r="2208">
      <c r="A2208" t="inlineStr">
        <is>
          <t>SW-DAMPER-539-BODY</t>
        </is>
      </c>
      <c r="B2208" t="inlineStr">
        <is>
          <t>SW-DAMPER-539</t>
        </is>
      </c>
      <c r="C2208" t="inlineStr">
        <is>
          <t>Thân vỏ van FD bích TDF (0.75mm)</t>
        </is>
      </c>
      <c r="D2208" t="inlineStr">
        <is>
          <t>TÔN_CUỘN_MẠ_KẼM</t>
        </is>
      </c>
      <c r="E2208" t="inlineStr">
        <is>
          <t>MAT-STEEL-PN-0.75</t>
        </is>
      </c>
      <c r="F2208" t="inlineStr">
        <is>
          <t>kg</t>
        </is>
      </c>
      <c r="G2208" s="4" t="n">
        <v>1.266048</v>
      </c>
      <c r="H2208" s="2">
        <f>XLOOKUP(B2208, '00_TONG_HOP_BAO_GIA'!B:B, '00_TONG_HOP_BAO_GIA'!G:G, 1)</f>
        <v/>
      </c>
      <c r="I2208" s="5">
        <f>G2208*H2208</f>
        <v/>
      </c>
      <c r="J2208" s="2">
        <f>XLOOKUP(E2208, '06_BANG_GIA_VAT_TU_AP_DUNG'!B:B, '06_BANG_GIA_VAT_TU_AP_DUNG'!C:C, "LỖI_MÃ_VT")</f>
        <v/>
      </c>
      <c r="K2208" s="2">
        <f>I2208*J2208</f>
        <v/>
      </c>
      <c r="L2208" t="inlineStr">
        <is>
          <t>Kích thước vỏ 150.0x150.0x250mm</t>
        </is>
      </c>
    </row>
    <row r="2209">
      <c r="A2209" t="inlineStr">
        <is>
          <t>SW-DAMPER-539-BLADE</t>
        </is>
      </c>
      <c r="B2209" t="inlineStr">
        <is>
          <t>SW-DAMPER-539</t>
        </is>
      </c>
      <c r="C2209" t="inlineStr">
        <is>
          <t>Lá cánh van (1 cánh overlap)</t>
        </is>
      </c>
      <c r="D2209" t="inlineStr">
        <is>
          <t>TÔN_CUỘN_MẠ_KẼM</t>
        </is>
      </c>
      <c r="E2209" t="inlineStr">
        <is>
          <t>MAT-STEEL-PN-0.75</t>
        </is>
      </c>
      <c r="F2209" t="inlineStr">
        <is>
          <t>kg</t>
        </is>
      </c>
      <c r="G2209" s="4" t="n">
        <v>0.16214175</v>
      </c>
      <c r="H2209" s="2">
        <f>XLOOKUP(B2209, '00_TONG_HOP_BAO_GIA'!B:B, '00_TONG_HOP_BAO_GIA'!G:G, 1)</f>
        <v/>
      </c>
      <c r="I2209" s="5">
        <f>G2209*H2209</f>
        <v/>
      </c>
      <c r="J2209" s="2">
        <f>XLOOKUP(E2209, '06_BANG_GIA_VAT_TU_AP_DUNG'!B:B, '06_BANG_GIA_VAT_TU_AP_DUNG'!C:C, "LỖI_MÃ_VT")</f>
        <v/>
      </c>
      <c r="K2209" s="2">
        <f>I2209*J2209</f>
        <v/>
      </c>
      <c r="L2209" t="inlineStr">
        <is>
          <t>1 cánh cao 170mm</t>
        </is>
      </c>
    </row>
    <row r="2210">
      <c r="A2210" t="inlineStr">
        <is>
          <t>SW-DAMPER-539-AXLE</t>
        </is>
      </c>
      <c r="B2210" t="inlineStr">
        <is>
          <t>SW-DAMPER-539</t>
        </is>
      </c>
      <c r="C2210" t="inlineStr">
        <is>
          <t>Trục Sus 201 D10</t>
        </is>
      </c>
      <c r="D2210" t="inlineStr">
        <is>
          <t>PHỤ_KIỆN_VAN</t>
        </is>
      </c>
      <c r="E2210" t="inlineStr">
        <is>
          <t>MAT-DAMPER-TRUC-SUS-201-D10</t>
        </is>
      </c>
      <c r="F2210" t="inlineStr">
        <is>
          <t>m</t>
        </is>
      </c>
      <c r="G2210" s="4" t="n">
        <v>0.21</v>
      </c>
      <c r="H2210" s="2">
        <f>XLOOKUP(B2210, '00_TONG_HOP_BAO_GIA'!B:B, '00_TONG_HOP_BAO_GIA'!G:G, 1)</f>
        <v/>
      </c>
      <c r="I2210" s="5">
        <f>G2210*H2210</f>
        <v/>
      </c>
      <c r="J2210" s="2">
        <f>XLOOKUP(E2210, '06_BANG_GIA_VAT_TU_AP_DUNG'!B:B, '06_BANG_GIA_VAT_TU_AP_DUNG'!C:C, "LỖI_MÃ_VT")</f>
        <v/>
      </c>
      <c r="K2210" s="2">
        <f>I2210*J2210</f>
        <v/>
      </c>
      <c r="L2210" t="inlineStr">
        <is>
          <t>1 trục dài 210mm</t>
        </is>
      </c>
    </row>
    <row r="2211">
      <c r="A2211" t="inlineStr">
        <is>
          <t>SW-DAMPER-539-BEARING</t>
        </is>
      </c>
      <c r="B2211" t="inlineStr">
        <is>
          <t>SW-DAMPER-539</t>
        </is>
      </c>
      <c r="C2211" t="inlineStr">
        <is>
          <t>Bạc đồng D10</t>
        </is>
      </c>
      <c r="D2211" t="inlineStr">
        <is>
          <t>PHỤ_KIỆN_VAN</t>
        </is>
      </c>
      <c r="E2211" t="inlineStr">
        <is>
          <t>MAT-DAMPER-BAC-DONG-D10</t>
        </is>
      </c>
      <c r="F2211" t="inlineStr">
        <is>
          <t>Đôi</t>
        </is>
      </c>
      <c r="G2211" s="4" t="n">
        <v>1</v>
      </c>
      <c r="H2211" s="2">
        <f>XLOOKUP(B2211, '00_TONG_HOP_BAO_GIA'!B:B, '00_TONG_HOP_BAO_GIA'!G:G, 1)</f>
        <v/>
      </c>
      <c r="I2211" s="5">
        <f>G2211*H2211</f>
        <v/>
      </c>
      <c r="J2211" s="2">
        <f>XLOOKUP(E2211, '06_BANG_GIA_VAT_TU_AP_DUNG'!B:B, '06_BANG_GIA_VAT_TU_AP_DUNG'!C:C, "LỖI_MÃ_VT")</f>
        <v/>
      </c>
      <c r="K2211" s="2">
        <f>I2211*J2211</f>
        <v/>
      </c>
      <c r="L2211" t="inlineStr">
        <is>
          <t>1 đôi bạc đỡ 2 bên thân</t>
        </is>
      </c>
    </row>
    <row r="2212">
      <c r="A2212" t="inlineStr">
        <is>
          <t>SW-DAMPER-539-FUSE</t>
        </is>
      </c>
      <c r="B2212" t="inlineStr">
        <is>
          <t>SW-DAMPER-539</t>
        </is>
      </c>
      <c r="C2212" t="inlineStr">
        <is>
          <t>Cầu chì nhiệt nóng chảy 70°C (Elsie/USA)</t>
        </is>
      </c>
      <c r="D2212" t="inlineStr">
        <is>
          <t>PHỤ_KIỆN_VAN</t>
        </is>
      </c>
      <c r="E2212" t="inlineStr">
        <is>
          <t>MAT-DAMPER-CAU-CHI-USA-1-400X400</t>
        </is>
      </c>
      <c r="F2212" t="inlineStr">
        <is>
          <t>Cái</t>
        </is>
      </c>
      <c r="G2212" s="4" t="n">
        <v>1</v>
      </c>
      <c r="H2212" s="2">
        <f>XLOOKUP(B2212, '00_TONG_HOP_BAO_GIA'!B:B, '00_TONG_HOP_BAO_GIA'!G:G, 1)</f>
        <v/>
      </c>
      <c r="I2212" s="5">
        <f>G2212*H2212</f>
        <v/>
      </c>
      <c r="J2212" s="2">
        <f>XLOOKUP(E2212, '06_BANG_GIA_VAT_TU_AP_DUNG'!B:B, '06_BANG_GIA_VAT_TU_AP_DUNG'!C:C, "LỖI_MÃ_VT")</f>
        <v/>
      </c>
      <c r="K2212" s="2">
        <f>I2212*J2212</f>
        <v/>
      </c>
      <c r="L2212" t="inlineStr">
        <is>
          <t>Cầu chì kiểm định PCCC</t>
        </is>
      </c>
    </row>
    <row r="2213">
      <c r="A2213" t="inlineStr">
        <is>
          <t>SW-DAMPER-540-BODY</t>
        </is>
      </c>
      <c r="B2213" t="inlineStr">
        <is>
          <t>SW-DAMPER-540</t>
        </is>
      </c>
      <c r="C2213" t="inlineStr">
        <is>
          <t>Thân vỏ van FD bích TDF (0.75mm)</t>
        </is>
      </c>
      <c r="D2213" t="inlineStr">
        <is>
          <t>TÔN_CUỘN_MẠ_KẼM</t>
        </is>
      </c>
      <c r="E2213" t="inlineStr">
        <is>
          <t>MAT-STEEL-PN-0.75</t>
        </is>
      </c>
      <c r="F2213" t="inlineStr">
        <is>
          <t>kg</t>
        </is>
      </c>
      <c r="G2213" s="4" t="n">
        <v>1.463868</v>
      </c>
      <c r="H2213" s="2">
        <f>XLOOKUP(B2213, '00_TONG_HOP_BAO_GIA'!B:B, '00_TONG_HOP_BAO_GIA'!G:G, 1)</f>
        <v/>
      </c>
      <c r="I2213" s="5">
        <f>G2213*H2213</f>
        <v/>
      </c>
      <c r="J2213" s="2">
        <f>XLOOKUP(E2213, '06_BANG_GIA_VAT_TU_AP_DUNG'!B:B, '06_BANG_GIA_VAT_TU_AP_DUNG'!C:C, "LỖI_MÃ_VT")</f>
        <v/>
      </c>
      <c r="K2213" s="2">
        <f>I2213*J2213</f>
        <v/>
      </c>
      <c r="L2213" t="inlineStr">
        <is>
          <t>Kích thước vỏ 200.0x150.0x250mm</t>
        </is>
      </c>
    </row>
    <row r="2214">
      <c r="A2214" t="inlineStr">
        <is>
          <t>SW-DAMPER-540-BLADE</t>
        </is>
      </c>
      <c r="B2214" t="inlineStr">
        <is>
          <t>SW-DAMPER-540</t>
        </is>
      </c>
      <c r="C2214" t="inlineStr">
        <is>
          <t>Lá cánh van (1 cánh overlap)</t>
        </is>
      </c>
      <c r="D2214" t="inlineStr">
        <is>
          <t>TÔN_CUỘN_MẠ_KẼM</t>
        </is>
      </c>
      <c r="E2214" t="inlineStr">
        <is>
          <t>MAT-STEEL-PN-0.75</t>
        </is>
      </c>
      <c r="F2214" t="inlineStr">
        <is>
          <t>kg</t>
        </is>
      </c>
      <c r="G2214" s="4" t="n">
        <v>0.216189</v>
      </c>
      <c r="H2214" s="2">
        <f>XLOOKUP(B2214, '00_TONG_HOP_BAO_GIA'!B:B, '00_TONG_HOP_BAO_GIA'!G:G, 1)</f>
        <v/>
      </c>
      <c r="I2214" s="5">
        <f>G2214*H2214</f>
        <v/>
      </c>
      <c r="J2214" s="2">
        <f>XLOOKUP(E2214, '06_BANG_GIA_VAT_TU_AP_DUNG'!B:B, '06_BANG_GIA_VAT_TU_AP_DUNG'!C:C, "LỖI_MÃ_VT")</f>
        <v/>
      </c>
      <c r="K2214" s="2">
        <f>I2214*J2214</f>
        <v/>
      </c>
      <c r="L2214" t="inlineStr">
        <is>
          <t>1 cánh cao 170mm</t>
        </is>
      </c>
    </row>
    <row r="2215">
      <c r="A2215" t="inlineStr">
        <is>
          <t>SW-DAMPER-540-AXLE</t>
        </is>
      </c>
      <c r="B2215" t="inlineStr">
        <is>
          <t>SW-DAMPER-540</t>
        </is>
      </c>
      <c r="C2215" t="inlineStr">
        <is>
          <t>Trục Sus 201 D10</t>
        </is>
      </c>
      <c r="D2215" t="inlineStr">
        <is>
          <t>PHỤ_KIỆN_VAN</t>
        </is>
      </c>
      <c r="E2215" t="inlineStr">
        <is>
          <t>MAT-DAMPER-TRUC-SUS-201-D10</t>
        </is>
      </c>
      <c r="F2215" t="inlineStr">
        <is>
          <t>m</t>
        </is>
      </c>
      <c r="G2215" s="4" t="n">
        <v>0.26</v>
      </c>
      <c r="H2215" s="2">
        <f>XLOOKUP(B2215, '00_TONG_HOP_BAO_GIA'!B:B, '00_TONG_HOP_BAO_GIA'!G:G, 1)</f>
        <v/>
      </c>
      <c r="I2215" s="5">
        <f>G2215*H2215</f>
        <v/>
      </c>
      <c r="J2215" s="2">
        <f>XLOOKUP(E2215, '06_BANG_GIA_VAT_TU_AP_DUNG'!B:B, '06_BANG_GIA_VAT_TU_AP_DUNG'!C:C, "LỖI_MÃ_VT")</f>
        <v/>
      </c>
      <c r="K2215" s="2">
        <f>I2215*J2215</f>
        <v/>
      </c>
      <c r="L2215" t="inlineStr">
        <is>
          <t>1 trục dài 260mm</t>
        </is>
      </c>
    </row>
    <row r="2216">
      <c r="A2216" t="inlineStr">
        <is>
          <t>SW-DAMPER-540-BEARING</t>
        </is>
      </c>
      <c r="B2216" t="inlineStr">
        <is>
          <t>SW-DAMPER-540</t>
        </is>
      </c>
      <c r="C2216" t="inlineStr">
        <is>
          <t>Bạc đồng D10</t>
        </is>
      </c>
      <c r="D2216" t="inlineStr">
        <is>
          <t>PHỤ_KIỆN_VAN</t>
        </is>
      </c>
      <c r="E2216" t="inlineStr">
        <is>
          <t>MAT-DAMPER-BAC-DONG-D10</t>
        </is>
      </c>
      <c r="F2216" t="inlineStr">
        <is>
          <t>Đôi</t>
        </is>
      </c>
      <c r="G2216" s="4" t="n">
        <v>1</v>
      </c>
      <c r="H2216" s="2">
        <f>XLOOKUP(B2216, '00_TONG_HOP_BAO_GIA'!B:B, '00_TONG_HOP_BAO_GIA'!G:G, 1)</f>
        <v/>
      </c>
      <c r="I2216" s="5">
        <f>G2216*H2216</f>
        <v/>
      </c>
      <c r="J2216" s="2">
        <f>XLOOKUP(E2216, '06_BANG_GIA_VAT_TU_AP_DUNG'!B:B, '06_BANG_GIA_VAT_TU_AP_DUNG'!C:C, "LỖI_MÃ_VT")</f>
        <v/>
      </c>
      <c r="K2216" s="2">
        <f>I2216*J2216</f>
        <v/>
      </c>
      <c r="L2216" t="inlineStr">
        <is>
          <t>1 đôi bạc đỡ 2 bên thân</t>
        </is>
      </c>
    </row>
    <row r="2217">
      <c r="A2217" t="inlineStr">
        <is>
          <t>SW-DAMPER-540-FUSE</t>
        </is>
      </c>
      <c r="B2217" t="inlineStr">
        <is>
          <t>SW-DAMPER-540</t>
        </is>
      </c>
      <c r="C2217" t="inlineStr">
        <is>
          <t>Cầu chì nhiệt nóng chảy 70°C (Elsie/USA)</t>
        </is>
      </c>
      <c r="D2217" t="inlineStr">
        <is>
          <t>PHỤ_KIỆN_VAN</t>
        </is>
      </c>
      <c r="E2217" t="inlineStr">
        <is>
          <t>MAT-DAMPER-CAU-CHI-USA-1-400X400</t>
        </is>
      </c>
      <c r="F2217" t="inlineStr">
        <is>
          <t>Cái</t>
        </is>
      </c>
      <c r="G2217" s="4" t="n">
        <v>1</v>
      </c>
      <c r="H2217" s="2">
        <f>XLOOKUP(B2217, '00_TONG_HOP_BAO_GIA'!B:B, '00_TONG_HOP_BAO_GIA'!G:G, 1)</f>
        <v/>
      </c>
      <c r="I2217" s="5">
        <f>G2217*H2217</f>
        <v/>
      </c>
      <c r="J2217" s="2">
        <f>XLOOKUP(E2217, '06_BANG_GIA_VAT_TU_AP_DUNG'!B:B, '06_BANG_GIA_VAT_TU_AP_DUNG'!C:C, "LỖI_MÃ_VT")</f>
        <v/>
      </c>
      <c r="K2217" s="2">
        <f>I2217*J2217</f>
        <v/>
      </c>
      <c r="L2217" t="inlineStr">
        <is>
          <t>Cầu chì kiểm định PCCC</t>
        </is>
      </c>
    </row>
    <row r="2218">
      <c r="A2218" t="inlineStr">
        <is>
          <t>SW-DAMPER-541-BODY</t>
        </is>
      </c>
      <c r="B2218" t="inlineStr">
        <is>
          <t>SW-DAMPER-541</t>
        </is>
      </c>
      <c r="C2218" t="inlineStr">
        <is>
          <t>Thân vỏ van FD bích TDF (0.75mm)</t>
        </is>
      </c>
      <c r="D2218" t="inlineStr">
        <is>
          <t>TÔN_CUỘN_MẠ_KẼM</t>
        </is>
      </c>
      <c r="E2218" t="inlineStr">
        <is>
          <t>MAT-STEEL-PN-0.75</t>
        </is>
      </c>
      <c r="F2218" t="inlineStr">
        <is>
          <t>kg</t>
        </is>
      </c>
      <c r="G2218" s="4" t="n">
        <v>1.463868</v>
      </c>
      <c r="H2218" s="2">
        <f>XLOOKUP(B2218, '00_TONG_HOP_BAO_GIA'!B:B, '00_TONG_HOP_BAO_GIA'!G:G, 1)</f>
        <v/>
      </c>
      <c r="I2218" s="5">
        <f>G2218*H2218</f>
        <v/>
      </c>
      <c r="J2218" s="2">
        <f>XLOOKUP(E2218, '06_BANG_GIA_VAT_TU_AP_DUNG'!B:B, '06_BANG_GIA_VAT_TU_AP_DUNG'!C:C, "LỖI_MÃ_VT")</f>
        <v/>
      </c>
      <c r="K2218" s="2">
        <f>I2218*J2218</f>
        <v/>
      </c>
      <c r="L2218" t="inlineStr">
        <is>
          <t>Kích thước vỏ 200.0x150.0x250mm</t>
        </is>
      </c>
    </row>
    <row r="2219">
      <c r="A2219" t="inlineStr">
        <is>
          <t>SW-DAMPER-541-BLADE</t>
        </is>
      </c>
      <c r="B2219" t="inlineStr">
        <is>
          <t>SW-DAMPER-541</t>
        </is>
      </c>
      <c r="C2219" t="inlineStr">
        <is>
          <t>Lá cánh van (1 cánh overlap)</t>
        </is>
      </c>
      <c r="D2219" t="inlineStr">
        <is>
          <t>TÔN_CUỘN_MẠ_KẼM</t>
        </is>
      </c>
      <c r="E2219" t="inlineStr">
        <is>
          <t>MAT-STEEL-PN-0.75</t>
        </is>
      </c>
      <c r="F2219" t="inlineStr">
        <is>
          <t>kg</t>
        </is>
      </c>
      <c r="G2219" s="4" t="n">
        <v>0.216189</v>
      </c>
      <c r="H2219" s="2">
        <f>XLOOKUP(B2219, '00_TONG_HOP_BAO_GIA'!B:B, '00_TONG_HOP_BAO_GIA'!G:G, 1)</f>
        <v/>
      </c>
      <c r="I2219" s="5">
        <f>G2219*H2219</f>
        <v/>
      </c>
      <c r="J2219" s="2">
        <f>XLOOKUP(E2219, '06_BANG_GIA_VAT_TU_AP_DUNG'!B:B, '06_BANG_GIA_VAT_TU_AP_DUNG'!C:C, "LỖI_MÃ_VT")</f>
        <v/>
      </c>
      <c r="K2219" s="2">
        <f>I2219*J2219</f>
        <v/>
      </c>
      <c r="L2219" t="inlineStr">
        <is>
          <t>1 cánh cao 170mm</t>
        </is>
      </c>
    </row>
    <row r="2220">
      <c r="A2220" t="inlineStr">
        <is>
          <t>SW-DAMPER-541-AXLE</t>
        </is>
      </c>
      <c r="B2220" t="inlineStr">
        <is>
          <t>SW-DAMPER-541</t>
        </is>
      </c>
      <c r="C2220" t="inlineStr">
        <is>
          <t>Trục Sus 201 D10</t>
        </is>
      </c>
      <c r="D2220" t="inlineStr">
        <is>
          <t>PHỤ_KIỆN_VAN</t>
        </is>
      </c>
      <c r="E2220" t="inlineStr">
        <is>
          <t>MAT-DAMPER-TRUC-SUS-201-D10</t>
        </is>
      </c>
      <c r="F2220" t="inlineStr">
        <is>
          <t>m</t>
        </is>
      </c>
      <c r="G2220" s="4" t="n">
        <v>0.26</v>
      </c>
      <c r="H2220" s="2">
        <f>XLOOKUP(B2220, '00_TONG_HOP_BAO_GIA'!B:B, '00_TONG_HOP_BAO_GIA'!G:G, 1)</f>
        <v/>
      </c>
      <c r="I2220" s="5">
        <f>G2220*H2220</f>
        <v/>
      </c>
      <c r="J2220" s="2">
        <f>XLOOKUP(E2220, '06_BANG_GIA_VAT_TU_AP_DUNG'!B:B, '06_BANG_GIA_VAT_TU_AP_DUNG'!C:C, "LỖI_MÃ_VT")</f>
        <v/>
      </c>
      <c r="K2220" s="2">
        <f>I2220*J2220</f>
        <v/>
      </c>
      <c r="L2220" t="inlineStr">
        <is>
          <t>1 trục dài 260mm</t>
        </is>
      </c>
    </row>
    <row r="2221">
      <c r="A2221" t="inlineStr">
        <is>
          <t>SW-DAMPER-541-BEARING</t>
        </is>
      </c>
      <c r="B2221" t="inlineStr">
        <is>
          <t>SW-DAMPER-541</t>
        </is>
      </c>
      <c r="C2221" t="inlineStr">
        <is>
          <t>Bạc đồng D10</t>
        </is>
      </c>
      <c r="D2221" t="inlineStr">
        <is>
          <t>PHỤ_KIỆN_VAN</t>
        </is>
      </c>
      <c r="E2221" t="inlineStr">
        <is>
          <t>MAT-DAMPER-BAC-DONG-D10</t>
        </is>
      </c>
      <c r="F2221" t="inlineStr">
        <is>
          <t>Đôi</t>
        </is>
      </c>
      <c r="G2221" s="4" t="n">
        <v>1</v>
      </c>
      <c r="H2221" s="2">
        <f>XLOOKUP(B2221, '00_TONG_HOP_BAO_GIA'!B:B, '00_TONG_HOP_BAO_GIA'!G:G, 1)</f>
        <v/>
      </c>
      <c r="I2221" s="5">
        <f>G2221*H2221</f>
        <v/>
      </c>
      <c r="J2221" s="2">
        <f>XLOOKUP(E2221, '06_BANG_GIA_VAT_TU_AP_DUNG'!B:B, '06_BANG_GIA_VAT_TU_AP_DUNG'!C:C, "LỖI_MÃ_VT")</f>
        <v/>
      </c>
      <c r="K2221" s="2">
        <f>I2221*J2221</f>
        <v/>
      </c>
      <c r="L2221" t="inlineStr">
        <is>
          <t>1 đôi bạc đỡ 2 bên thân</t>
        </is>
      </c>
    </row>
    <row r="2222">
      <c r="A2222" t="inlineStr">
        <is>
          <t>SW-DAMPER-541-FUSE</t>
        </is>
      </c>
      <c r="B2222" t="inlineStr">
        <is>
          <t>SW-DAMPER-541</t>
        </is>
      </c>
      <c r="C2222" t="inlineStr">
        <is>
          <t>Cầu chì nhiệt nóng chảy 70°C (Elsie/USA)</t>
        </is>
      </c>
      <c r="D2222" t="inlineStr">
        <is>
          <t>PHỤ_KIỆN_VAN</t>
        </is>
      </c>
      <c r="E2222" t="inlineStr">
        <is>
          <t>MAT-DAMPER-CAU-CHI-USA-1-400X400</t>
        </is>
      </c>
      <c r="F2222" t="inlineStr">
        <is>
          <t>Cái</t>
        </is>
      </c>
      <c r="G2222" s="4" t="n">
        <v>1</v>
      </c>
      <c r="H2222" s="2">
        <f>XLOOKUP(B2222, '00_TONG_HOP_BAO_GIA'!B:B, '00_TONG_HOP_BAO_GIA'!G:G, 1)</f>
        <v/>
      </c>
      <c r="I2222" s="5">
        <f>G2222*H2222</f>
        <v/>
      </c>
      <c r="J2222" s="2">
        <f>XLOOKUP(E2222, '06_BANG_GIA_VAT_TU_AP_DUNG'!B:B, '06_BANG_GIA_VAT_TU_AP_DUNG'!C:C, "LỖI_MÃ_VT")</f>
        <v/>
      </c>
      <c r="K2222" s="2">
        <f>I2222*J2222</f>
        <v/>
      </c>
      <c r="L2222" t="inlineStr">
        <is>
          <t>Cầu chì kiểm định PCCC</t>
        </is>
      </c>
    </row>
    <row r="2223">
      <c r="A2223" t="inlineStr">
        <is>
          <t>SW-DAMPER-542-BODY</t>
        </is>
      </c>
      <c r="B2223" t="inlineStr">
        <is>
          <t>SW-DAMPER-542</t>
        </is>
      </c>
      <c r="C2223" t="inlineStr">
        <is>
          <t>Thân vỏ van FD bích TDF (0.75mm)</t>
        </is>
      </c>
      <c r="D2223" t="inlineStr">
        <is>
          <t>TÔN_CUỘN_MẠ_KẼM</t>
        </is>
      </c>
      <c r="E2223" t="inlineStr">
        <is>
          <t>MAT-STEEL-PN-0.75</t>
        </is>
      </c>
      <c r="F2223" t="inlineStr">
        <is>
          <t>kg</t>
        </is>
      </c>
      <c r="G2223" s="4" t="n">
        <v>1.463868</v>
      </c>
      <c r="H2223" s="2">
        <f>XLOOKUP(B2223, '00_TONG_HOP_BAO_GIA'!B:B, '00_TONG_HOP_BAO_GIA'!G:G, 1)</f>
        <v/>
      </c>
      <c r="I2223" s="5">
        <f>G2223*H2223</f>
        <v/>
      </c>
      <c r="J2223" s="2">
        <f>XLOOKUP(E2223, '06_BANG_GIA_VAT_TU_AP_DUNG'!B:B, '06_BANG_GIA_VAT_TU_AP_DUNG'!C:C, "LỖI_MÃ_VT")</f>
        <v/>
      </c>
      <c r="K2223" s="2">
        <f>I2223*J2223</f>
        <v/>
      </c>
      <c r="L2223" t="inlineStr">
        <is>
          <t>Kích thước vỏ 200.0x150.0x250mm</t>
        </is>
      </c>
    </row>
    <row r="2224">
      <c r="A2224" t="inlineStr">
        <is>
          <t>SW-DAMPER-542-BLADE</t>
        </is>
      </c>
      <c r="B2224" t="inlineStr">
        <is>
          <t>SW-DAMPER-542</t>
        </is>
      </c>
      <c r="C2224" t="inlineStr">
        <is>
          <t>Lá cánh van (1 cánh overlap)</t>
        </is>
      </c>
      <c r="D2224" t="inlineStr">
        <is>
          <t>TÔN_CUỘN_MẠ_KẼM</t>
        </is>
      </c>
      <c r="E2224" t="inlineStr">
        <is>
          <t>MAT-STEEL-PN-0.75</t>
        </is>
      </c>
      <c r="F2224" t="inlineStr">
        <is>
          <t>kg</t>
        </is>
      </c>
      <c r="G2224" s="4" t="n">
        <v>0.216189</v>
      </c>
      <c r="H2224" s="2">
        <f>XLOOKUP(B2224, '00_TONG_HOP_BAO_GIA'!B:B, '00_TONG_HOP_BAO_GIA'!G:G, 1)</f>
        <v/>
      </c>
      <c r="I2224" s="5">
        <f>G2224*H2224</f>
        <v/>
      </c>
      <c r="J2224" s="2">
        <f>XLOOKUP(E2224, '06_BANG_GIA_VAT_TU_AP_DUNG'!B:B, '06_BANG_GIA_VAT_TU_AP_DUNG'!C:C, "LỖI_MÃ_VT")</f>
        <v/>
      </c>
      <c r="K2224" s="2">
        <f>I2224*J2224</f>
        <v/>
      </c>
      <c r="L2224" t="inlineStr">
        <is>
          <t>1 cánh cao 170mm</t>
        </is>
      </c>
    </row>
    <row r="2225">
      <c r="A2225" t="inlineStr">
        <is>
          <t>SW-DAMPER-542-AXLE</t>
        </is>
      </c>
      <c r="B2225" t="inlineStr">
        <is>
          <t>SW-DAMPER-542</t>
        </is>
      </c>
      <c r="C2225" t="inlineStr">
        <is>
          <t>Trục Sus 201 D10</t>
        </is>
      </c>
      <c r="D2225" t="inlineStr">
        <is>
          <t>PHỤ_KIỆN_VAN</t>
        </is>
      </c>
      <c r="E2225" t="inlineStr">
        <is>
          <t>MAT-DAMPER-TRUC-SUS-201-D10</t>
        </is>
      </c>
      <c r="F2225" t="inlineStr">
        <is>
          <t>m</t>
        </is>
      </c>
      <c r="G2225" s="4" t="n">
        <v>0.26</v>
      </c>
      <c r="H2225" s="2">
        <f>XLOOKUP(B2225, '00_TONG_HOP_BAO_GIA'!B:B, '00_TONG_HOP_BAO_GIA'!G:G, 1)</f>
        <v/>
      </c>
      <c r="I2225" s="5">
        <f>G2225*H2225</f>
        <v/>
      </c>
      <c r="J2225" s="2">
        <f>XLOOKUP(E2225, '06_BANG_GIA_VAT_TU_AP_DUNG'!B:B, '06_BANG_GIA_VAT_TU_AP_DUNG'!C:C, "LỖI_MÃ_VT")</f>
        <v/>
      </c>
      <c r="K2225" s="2">
        <f>I2225*J2225</f>
        <v/>
      </c>
      <c r="L2225" t="inlineStr">
        <is>
          <t>1 trục dài 260mm</t>
        </is>
      </c>
    </row>
    <row r="2226">
      <c r="A2226" t="inlineStr">
        <is>
          <t>SW-DAMPER-542-BEARING</t>
        </is>
      </c>
      <c r="B2226" t="inlineStr">
        <is>
          <t>SW-DAMPER-542</t>
        </is>
      </c>
      <c r="C2226" t="inlineStr">
        <is>
          <t>Bạc đồng D10</t>
        </is>
      </c>
      <c r="D2226" t="inlineStr">
        <is>
          <t>PHỤ_KIỆN_VAN</t>
        </is>
      </c>
      <c r="E2226" t="inlineStr">
        <is>
          <t>MAT-DAMPER-BAC-DONG-D10</t>
        </is>
      </c>
      <c r="F2226" t="inlineStr">
        <is>
          <t>Đôi</t>
        </is>
      </c>
      <c r="G2226" s="4" t="n">
        <v>1</v>
      </c>
      <c r="H2226" s="2">
        <f>XLOOKUP(B2226, '00_TONG_HOP_BAO_GIA'!B:B, '00_TONG_HOP_BAO_GIA'!G:G, 1)</f>
        <v/>
      </c>
      <c r="I2226" s="5">
        <f>G2226*H2226</f>
        <v/>
      </c>
      <c r="J2226" s="2">
        <f>XLOOKUP(E2226, '06_BANG_GIA_VAT_TU_AP_DUNG'!B:B, '06_BANG_GIA_VAT_TU_AP_DUNG'!C:C, "LỖI_MÃ_VT")</f>
        <v/>
      </c>
      <c r="K2226" s="2">
        <f>I2226*J2226</f>
        <v/>
      </c>
      <c r="L2226" t="inlineStr">
        <is>
          <t>1 đôi bạc đỡ 2 bên thân</t>
        </is>
      </c>
    </row>
    <row r="2227">
      <c r="A2227" t="inlineStr">
        <is>
          <t>SW-DAMPER-542-FUSE</t>
        </is>
      </c>
      <c r="B2227" t="inlineStr">
        <is>
          <t>SW-DAMPER-542</t>
        </is>
      </c>
      <c r="C2227" t="inlineStr">
        <is>
          <t>Cầu chì nhiệt nóng chảy 70°C (Elsie/USA)</t>
        </is>
      </c>
      <c r="D2227" t="inlineStr">
        <is>
          <t>PHỤ_KIỆN_VAN</t>
        </is>
      </c>
      <c r="E2227" t="inlineStr">
        <is>
          <t>MAT-DAMPER-CAU-CHI-USA-1-400X400</t>
        </is>
      </c>
      <c r="F2227" t="inlineStr">
        <is>
          <t>Cái</t>
        </is>
      </c>
      <c r="G2227" s="4" t="n">
        <v>1</v>
      </c>
      <c r="H2227" s="2">
        <f>XLOOKUP(B2227, '00_TONG_HOP_BAO_GIA'!B:B, '00_TONG_HOP_BAO_GIA'!G:G, 1)</f>
        <v/>
      </c>
      <c r="I2227" s="5">
        <f>G2227*H2227</f>
        <v/>
      </c>
      <c r="J2227" s="2">
        <f>XLOOKUP(E2227, '06_BANG_GIA_VAT_TU_AP_DUNG'!B:B, '06_BANG_GIA_VAT_TU_AP_DUNG'!C:C, "LỖI_MÃ_VT")</f>
        <v/>
      </c>
      <c r="K2227" s="2">
        <f>I2227*J2227</f>
        <v/>
      </c>
      <c r="L2227" t="inlineStr">
        <is>
          <t>Cầu chì kiểm định PCCC</t>
        </is>
      </c>
    </row>
    <row r="2228">
      <c r="A2228" t="inlineStr">
        <is>
          <t>SW-DAMPER-543-BODY</t>
        </is>
      </c>
      <c r="B2228" t="inlineStr">
        <is>
          <t>SW-DAMPER-543</t>
        </is>
      </c>
      <c r="C2228" t="inlineStr">
        <is>
          <t>Thân vỏ van FD bích TDF (0.75mm)</t>
        </is>
      </c>
      <c r="D2228" t="inlineStr">
        <is>
          <t>TÔN_CUỘN_MẠ_KẼM</t>
        </is>
      </c>
      <c r="E2228" t="inlineStr">
        <is>
          <t>MAT-STEEL-PN-0.75</t>
        </is>
      </c>
      <c r="F2228" t="inlineStr">
        <is>
          <t>kg</t>
        </is>
      </c>
      <c r="G2228" s="4" t="n">
        <v>1.661688</v>
      </c>
      <c r="H2228" s="2">
        <f>XLOOKUP(B2228, '00_TONG_HOP_BAO_GIA'!B:B, '00_TONG_HOP_BAO_GIA'!G:G, 1)</f>
        <v/>
      </c>
      <c r="I2228" s="5">
        <f>G2228*H2228</f>
        <v/>
      </c>
      <c r="J2228" s="2">
        <f>XLOOKUP(E2228, '06_BANG_GIA_VAT_TU_AP_DUNG'!B:B, '06_BANG_GIA_VAT_TU_AP_DUNG'!C:C, "LỖI_MÃ_VT")</f>
        <v/>
      </c>
      <c r="K2228" s="2">
        <f>I2228*J2228</f>
        <v/>
      </c>
      <c r="L2228" t="inlineStr">
        <is>
          <t>Kích thước vỏ 200.0x200.0x250mm</t>
        </is>
      </c>
    </row>
    <row r="2229">
      <c r="A2229" t="inlineStr">
        <is>
          <t>SW-DAMPER-543-BLADE</t>
        </is>
      </c>
      <c r="B2229" t="inlineStr">
        <is>
          <t>SW-DAMPER-543</t>
        </is>
      </c>
      <c r="C2229" t="inlineStr">
        <is>
          <t>Lá cánh van (2 cánh overlap)</t>
        </is>
      </c>
      <c r="D2229" t="inlineStr">
        <is>
          <t>TÔN_CUỘN_MẠ_KẼM</t>
        </is>
      </c>
      <c r="E2229" t="inlineStr">
        <is>
          <t>MAT-STEEL-PN-0.75</t>
        </is>
      </c>
      <c r="F2229" t="inlineStr">
        <is>
          <t>kg</t>
        </is>
      </c>
      <c r="G2229" s="4" t="n">
        <v>0.305208</v>
      </c>
      <c r="H2229" s="2">
        <f>XLOOKUP(B2229, '00_TONG_HOP_BAO_GIA'!B:B, '00_TONG_HOP_BAO_GIA'!G:G, 1)</f>
        <v/>
      </c>
      <c r="I2229" s="5">
        <f>G2229*H2229</f>
        <v/>
      </c>
      <c r="J2229" s="2">
        <f>XLOOKUP(E2229, '06_BANG_GIA_VAT_TU_AP_DUNG'!B:B, '06_BANG_GIA_VAT_TU_AP_DUNG'!C:C, "LỖI_MÃ_VT")</f>
        <v/>
      </c>
      <c r="K2229" s="2">
        <f>I2229*J2229</f>
        <v/>
      </c>
      <c r="L2229" t="inlineStr">
        <is>
          <t>2 cánh cao 120mm</t>
        </is>
      </c>
    </row>
    <row r="2230">
      <c r="A2230" t="inlineStr">
        <is>
          <t>SW-DAMPER-543-AXLE</t>
        </is>
      </c>
      <c r="B2230" t="inlineStr">
        <is>
          <t>SW-DAMPER-543</t>
        </is>
      </c>
      <c r="C2230" t="inlineStr">
        <is>
          <t>Trục Sus 201 D10</t>
        </is>
      </c>
      <c r="D2230" t="inlineStr">
        <is>
          <t>PHỤ_KIỆN_VAN</t>
        </is>
      </c>
      <c r="E2230" t="inlineStr">
        <is>
          <t>MAT-DAMPER-TRUC-SUS-201-D10</t>
        </is>
      </c>
      <c r="F2230" t="inlineStr">
        <is>
          <t>m</t>
        </is>
      </c>
      <c r="G2230" s="4" t="n">
        <v>0.52</v>
      </c>
      <c r="H2230" s="2">
        <f>XLOOKUP(B2230, '00_TONG_HOP_BAO_GIA'!B:B, '00_TONG_HOP_BAO_GIA'!G:G, 1)</f>
        <v/>
      </c>
      <c r="I2230" s="5">
        <f>G2230*H2230</f>
        <v/>
      </c>
      <c r="J2230" s="2">
        <f>XLOOKUP(E2230, '06_BANG_GIA_VAT_TU_AP_DUNG'!B:B, '06_BANG_GIA_VAT_TU_AP_DUNG'!C:C, "LỖI_MÃ_VT")</f>
        <v/>
      </c>
      <c r="K2230" s="2">
        <f>I2230*J2230</f>
        <v/>
      </c>
      <c r="L2230" t="inlineStr">
        <is>
          <t>2 trục dài 260mm</t>
        </is>
      </c>
    </row>
    <row r="2231">
      <c r="A2231" t="inlineStr">
        <is>
          <t>SW-DAMPER-543-BEARING</t>
        </is>
      </c>
      <c r="B2231" t="inlineStr">
        <is>
          <t>SW-DAMPER-543</t>
        </is>
      </c>
      <c r="C2231" t="inlineStr">
        <is>
          <t>Bạc đồng D10</t>
        </is>
      </c>
      <c r="D2231" t="inlineStr">
        <is>
          <t>PHỤ_KIỆN_VAN</t>
        </is>
      </c>
      <c r="E2231" t="inlineStr">
        <is>
          <t>MAT-DAMPER-BAC-DONG-D10</t>
        </is>
      </c>
      <c r="F2231" t="inlineStr">
        <is>
          <t>Đôi</t>
        </is>
      </c>
      <c r="G2231" s="4" t="n">
        <v>2</v>
      </c>
      <c r="H2231" s="2">
        <f>XLOOKUP(B2231, '00_TONG_HOP_BAO_GIA'!B:B, '00_TONG_HOP_BAO_GIA'!G:G, 1)</f>
        <v/>
      </c>
      <c r="I2231" s="5">
        <f>G2231*H2231</f>
        <v/>
      </c>
      <c r="J2231" s="2">
        <f>XLOOKUP(E2231, '06_BANG_GIA_VAT_TU_AP_DUNG'!B:B, '06_BANG_GIA_VAT_TU_AP_DUNG'!C:C, "LỖI_MÃ_VT")</f>
        <v/>
      </c>
      <c r="K2231" s="2">
        <f>I2231*J2231</f>
        <v/>
      </c>
      <c r="L2231" t="inlineStr">
        <is>
          <t>2 đôi bạc đỡ 2 bên thân</t>
        </is>
      </c>
    </row>
    <row r="2232">
      <c r="A2232" t="inlineStr">
        <is>
          <t>SW-DAMPER-543-GEAR</t>
        </is>
      </c>
      <c r="B2232" t="inlineStr">
        <is>
          <t>SW-DAMPER-543</t>
        </is>
      </c>
      <c r="C2232" t="inlineStr">
        <is>
          <t>Bánh răng van nhôm</t>
        </is>
      </c>
      <c r="D2232" t="inlineStr">
        <is>
          <t>PHỤ_KIỆN_VAN</t>
        </is>
      </c>
      <c r="E2232" t="inlineStr">
        <is>
          <t>MAT-DAMPER-BANH-RANG-VAN-NHOM</t>
        </is>
      </c>
      <c r="F2232" t="inlineStr">
        <is>
          <t>Bộ</t>
        </is>
      </c>
      <c r="G2232" s="4" t="n">
        <v>1</v>
      </c>
      <c r="H2232" s="2">
        <f>XLOOKUP(B2232, '00_TONG_HOP_BAO_GIA'!B:B, '00_TONG_HOP_BAO_GIA'!G:G, 1)</f>
        <v/>
      </c>
      <c r="I2232" s="5">
        <f>G2232*H2232</f>
        <v/>
      </c>
      <c r="J2232" s="2">
        <f>XLOOKUP(E2232, '06_BANG_GIA_VAT_TU_AP_DUNG'!B:B, '06_BANG_GIA_VAT_TU_AP_DUNG'!C:C, "LỖI_MÃ_VT")</f>
        <v/>
      </c>
      <c r="K2232" s="2">
        <f>I2232*J2232</f>
        <v/>
      </c>
      <c r="L2232" t="inlineStr">
        <is>
          <t>Cơ cấu liên động bánh răng van</t>
        </is>
      </c>
    </row>
    <row r="2233">
      <c r="A2233" t="inlineStr">
        <is>
          <t>SW-DAMPER-543-FUSE</t>
        </is>
      </c>
      <c r="B2233" t="inlineStr">
        <is>
          <t>SW-DAMPER-543</t>
        </is>
      </c>
      <c r="C2233" t="inlineStr">
        <is>
          <t>Cầu chì nhiệt nóng chảy 70°C (Elsie/USA)</t>
        </is>
      </c>
      <c r="D2233" t="inlineStr">
        <is>
          <t>PHỤ_KIỆN_VAN</t>
        </is>
      </c>
      <c r="E2233" t="inlineStr">
        <is>
          <t>MAT-DAMPER-CAU-CHI-USA-1-400X400</t>
        </is>
      </c>
      <c r="F2233" t="inlineStr">
        <is>
          <t>Cái</t>
        </is>
      </c>
      <c r="G2233" s="4" t="n">
        <v>1</v>
      </c>
      <c r="H2233" s="2">
        <f>XLOOKUP(B2233, '00_TONG_HOP_BAO_GIA'!B:B, '00_TONG_HOP_BAO_GIA'!G:G, 1)</f>
        <v/>
      </c>
      <c r="I2233" s="5">
        <f>G2233*H2233</f>
        <v/>
      </c>
      <c r="J2233" s="2">
        <f>XLOOKUP(E2233, '06_BANG_GIA_VAT_TU_AP_DUNG'!B:B, '06_BANG_GIA_VAT_TU_AP_DUNG'!C:C, "LỖI_MÃ_VT")</f>
        <v/>
      </c>
      <c r="K2233" s="2">
        <f>I2233*J2233</f>
        <v/>
      </c>
      <c r="L2233" t="inlineStr">
        <is>
          <t>Cầu chì kiểm định PCCC</t>
        </is>
      </c>
    </row>
    <row r="2234">
      <c r="A2234" t="inlineStr">
        <is>
          <t>SW-DAMPER-544-BODY</t>
        </is>
      </c>
      <c r="B2234" t="inlineStr">
        <is>
          <t>SW-DAMPER-544</t>
        </is>
      </c>
      <c r="C2234" t="inlineStr">
        <is>
          <t>Thân vỏ van FD bích TDF (0.75mm)</t>
        </is>
      </c>
      <c r="D2234" t="inlineStr">
        <is>
          <t>TÔN_CUỘN_MẠ_KẼM</t>
        </is>
      </c>
      <c r="E2234" t="inlineStr">
        <is>
          <t>MAT-STEEL-PN-0.75</t>
        </is>
      </c>
      <c r="F2234" t="inlineStr">
        <is>
          <t>kg</t>
        </is>
      </c>
      <c r="G2234" s="4" t="n">
        <v>2.452968</v>
      </c>
      <c r="H2234" s="2">
        <f>XLOOKUP(B2234, '00_TONG_HOP_BAO_GIA'!B:B, '00_TONG_HOP_BAO_GIA'!G:G, 1)</f>
        <v/>
      </c>
      <c r="I2234" s="5">
        <f>G2234*H2234</f>
        <v/>
      </c>
      <c r="J2234" s="2">
        <f>XLOOKUP(E2234, '06_BANG_GIA_VAT_TU_AP_DUNG'!B:B, '06_BANG_GIA_VAT_TU_AP_DUNG'!C:C, "LỖI_MÃ_VT")</f>
        <v/>
      </c>
      <c r="K2234" s="2">
        <f>I2234*J2234</f>
        <v/>
      </c>
      <c r="L2234" t="inlineStr">
        <is>
          <t>Kích thước vỏ 300.0x300.0x250mm</t>
        </is>
      </c>
    </row>
    <row r="2235">
      <c r="A2235" t="inlineStr">
        <is>
          <t>SW-DAMPER-544-BLADE</t>
        </is>
      </c>
      <c r="B2235" t="inlineStr">
        <is>
          <t>SW-DAMPER-544</t>
        </is>
      </c>
      <c r="C2235" t="inlineStr">
        <is>
          <t>Lá cánh van (2 cánh overlap)</t>
        </is>
      </c>
      <c r="D2235" t="inlineStr">
        <is>
          <t>TÔN_CUỘN_MẠ_KẼM</t>
        </is>
      </c>
      <c r="E2235" t="inlineStr">
        <is>
          <t>MAT-STEEL-PN-0.75</t>
        </is>
      </c>
      <c r="F2235" t="inlineStr">
        <is>
          <t>kg</t>
        </is>
      </c>
      <c r="G2235" s="4" t="n">
        <v>0.648567</v>
      </c>
      <c r="H2235" s="2">
        <f>XLOOKUP(B2235, '00_TONG_HOP_BAO_GIA'!B:B, '00_TONG_HOP_BAO_GIA'!G:G, 1)</f>
        <v/>
      </c>
      <c r="I2235" s="5">
        <f>G2235*H2235</f>
        <v/>
      </c>
      <c r="J2235" s="2">
        <f>XLOOKUP(E2235, '06_BANG_GIA_VAT_TU_AP_DUNG'!B:B, '06_BANG_GIA_VAT_TU_AP_DUNG'!C:C, "LỖI_MÃ_VT")</f>
        <v/>
      </c>
      <c r="K2235" s="2">
        <f>I2235*J2235</f>
        <v/>
      </c>
      <c r="L2235" t="inlineStr">
        <is>
          <t>2 cánh cao 170mm</t>
        </is>
      </c>
    </row>
    <row r="2236">
      <c r="A2236" t="inlineStr">
        <is>
          <t>SW-DAMPER-544-AXLE</t>
        </is>
      </c>
      <c r="B2236" t="inlineStr">
        <is>
          <t>SW-DAMPER-544</t>
        </is>
      </c>
      <c r="C2236" t="inlineStr">
        <is>
          <t>Trục Sus 201 D10</t>
        </is>
      </c>
      <c r="D2236" t="inlineStr">
        <is>
          <t>PHỤ_KIỆN_VAN</t>
        </is>
      </c>
      <c r="E2236" t="inlineStr">
        <is>
          <t>MAT-DAMPER-TRUC-SUS-201-D10</t>
        </is>
      </c>
      <c r="F2236" t="inlineStr">
        <is>
          <t>m</t>
        </is>
      </c>
      <c r="G2236" s="4" t="n">
        <v>0.72</v>
      </c>
      <c r="H2236" s="2">
        <f>XLOOKUP(B2236, '00_TONG_HOP_BAO_GIA'!B:B, '00_TONG_HOP_BAO_GIA'!G:G, 1)</f>
        <v/>
      </c>
      <c r="I2236" s="5">
        <f>G2236*H2236</f>
        <v/>
      </c>
      <c r="J2236" s="2">
        <f>XLOOKUP(E2236, '06_BANG_GIA_VAT_TU_AP_DUNG'!B:B, '06_BANG_GIA_VAT_TU_AP_DUNG'!C:C, "LỖI_MÃ_VT")</f>
        <v/>
      </c>
      <c r="K2236" s="2">
        <f>I2236*J2236</f>
        <v/>
      </c>
      <c r="L2236" t="inlineStr">
        <is>
          <t>2 trục dài 360mm</t>
        </is>
      </c>
    </row>
    <row r="2237">
      <c r="A2237" t="inlineStr">
        <is>
          <t>SW-DAMPER-544-BEARING</t>
        </is>
      </c>
      <c r="B2237" t="inlineStr">
        <is>
          <t>SW-DAMPER-544</t>
        </is>
      </c>
      <c r="C2237" t="inlineStr">
        <is>
          <t>Bạc đồng D10</t>
        </is>
      </c>
      <c r="D2237" t="inlineStr">
        <is>
          <t>PHỤ_KIỆN_VAN</t>
        </is>
      </c>
      <c r="E2237" t="inlineStr">
        <is>
          <t>MAT-DAMPER-BAC-DONG-D10</t>
        </is>
      </c>
      <c r="F2237" t="inlineStr">
        <is>
          <t>Đôi</t>
        </is>
      </c>
      <c r="G2237" s="4" t="n">
        <v>2</v>
      </c>
      <c r="H2237" s="2">
        <f>XLOOKUP(B2237, '00_TONG_HOP_BAO_GIA'!B:B, '00_TONG_HOP_BAO_GIA'!G:G, 1)</f>
        <v/>
      </c>
      <c r="I2237" s="5">
        <f>G2237*H2237</f>
        <v/>
      </c>
      <c r="J2237" s="2">
        <f>XLOOKUP(E2237, '06_BANG_GIA_VAT_TU_AP_DUNG'!B:B, '06_BANG_GIA_VAT_TU_AP_DUNG'!C:C, "LỖI_MÃ_VT")</f>
        <v/>
      </c>
      <c r="K2237" s="2">
        <f>I2237*J2237</f>
        <v/>
      </c>
      <c r="L2237" t="inlineStr">
        <is>
          <t>2 đôi bạc đỡ 2 bên thân</t>
        </is>
      </c>
    </row>
    <row r="2238">
      <c r="A2238" t="inlineStr">
        <is>
          <t>SW-DAMPER-544-GEAR</t>
        </is>
      </c>
      <c r="B2238" t="inlineStr">
        <is>
          <t>SW-DAMPER-544</t>
        </is>
      </c>
      <c r="C2238" t="inlineStr">
        <is>
          <t>Bánh răng van nhôm</t>
        </is>
      </c>
      <c r="D2238" t="inlineStr">
        <is>
          <t>PHỤ_KIỆN_VAN</t>
        </is>
      </c>
      <c r="E2238" t="inlineStr">
        <is>
          <t>MAT-DAMPER-BANH-RANG-VAN-NHOM</t>
        </is>
      </c>
      <c r="F2238" t="inlineStr">
        <is>
          <t>Bộ</t>
        </is>
      </c>
      <c r="G2238" s="4" t="n">
        <v>1</v>
      </c>
      <c r="H2238" s="2">
        <f>XLOOKUP(B2238, '00_TONG_HOP_BAO_GIA'!B:B, '00_TONG_HOP_BAO_GIA'!G:G, 1)</f>
        <v/>
      </c>
      <c r="I2238" s="5">
        <f>G2238*H2238</f>
        <v/>
      </c>
      <c r="J2238" s="2">
        <f>XLOOKUP(E2238, '06_BANG_GIA_VAT_TU_AP_DUNG'!B:B, '06_BANG_GIA_VAT_TU_AP_DUNG'!C:C, "LỖI_MÃ_VT")</f>
        <v/>
      </c>
      <c r="K2238" s="2">
        <f>I2238*J2238</f>
        <v/>
      </c>
      <c r="L2238" t="inlineStr">
        <is>
          <t>Cơ cấu liên động bánh răng van</t>
        </is>
      </c>
    </row>
    <row r="2239">
      <c r="A2239" t="inlineStr">
        <is>
          <t>SW-DAMPER-544-FUSE</t>
        </is>
      </c>
      <c r="B2239" t="inlineStr">
        <is>
          <t>SW-DAMPER-544</t>
        </is>
      </c>
      <c r="C2239" t="inlineStr">
        <is>
          <t>Cầu chì nhiệt nóng chảy 70°C (Elsie/USA)</t>
        </is>
      </c>
      <c r="D2239" t="inlineStr">
        <is>
          <t>PHỤ_KIỆN_VAN</t>
        </is>
      </c>
      <c r="E2239" t="inlineStr">
        <is>
          <t>MAT-DAMPER-CAU-CHI-USA-1-400X400</t>
        </is>
      </c>
      <c r="F2239" t="inlineStr">
        <is>
          <t>Cái</t>
        </is>
      </c>
      <c r="G2239" s="4" t="n">
        <v>1</v>
      </c>
      <c r="H2239" s="2">
        <f>XLOOKUP(B2239, '00_TONG_HOP_BAO_GIA'!B:B, '00_TONG_HOP_BAO_GIA'!G:G, 1)</f>
        <v/>
      </c>
      <c r="I2239" s="5">
        <f>G2239*H2239</f>
        <v/>
      </c>
      <c r="J2239" s="2">
        <f>XLOOKUP(E2239, '06_BANG_GIA_VAT_TU_AP_DUNG'!B:B, '06_BANG_GIA_VAT_TU_AP_DUNG'!C:C, "LỖI_MÃ_VT")</f>
        <v/>
      </c>
      <c r="K2239" s="2">
        <f>I2239*J2239</f>
        <v/>
      </c>
      <c r="L2239" t="inlineStr">
        <is>
          <t>Cầu chì kiểm định PCCC</t>
        </is>
      </c>
    </row>
    <row r="2240">
      <c r="A2240" t="inlineStr">
        <is>
          <t>SW-DAMPER-545-BODY</t>
        </is>
      </c>
      <c r="B2240" t="inlineStr">
        <is>
          <t>SW-DAMPER-545</t>
        </is>
      </c>
      <c r="C2240" t="inlineStr">
        <is>
          <t>Thân vỏ van FD bích TDF (0.75mm)</t>
        </is>
      </c>
      <c r="D2240" t="inlineStr">
        <is>
          <t>TÔN_CUỘN_MẠ_KẼM</t>
        </is>
      </c>
      <c r="E2240" t="inlineStr">
        <is>
          <t>MAT-STEEL-PN-0.75</t>
        </is>
      </c>
      <c r="F2240" t="inlineStr">
        <is>
          <t>kg</t>
        </is>
      </c>
      <c r="G2240" s="4" t="n">
        <v>3.639888</v>
      </c>
      <c r="H2240" s="2">
        <f>XLOOKUP(B2240, '00_TONG_HOP_BAO_GIA'!B:B, '00_TONG_HOP_BAO_GIA'!G:G, 1)</f>
        <v/>
      </c>
      <c r="I2240" s="5">
        <f>G2240*H2240</f>
        <v/>
      </c>
      <c r="J2240" s="2">
        <f>XLOOKUP(E2240, '06_BANG_GIA_VAT_TU_AP_DUNG'!B:B, '06_BANG_GIA_VAT_TU_AP_DUNG'!C:C, "LỖI_MÃ_VT")</f>
        <v/>
      </c>
      <c r="K2240" s="2">
        <f>I2240*J2240</f>
        <v/>
      </c>
      <c r="L2240" t="inlineStr">
        <is>
          <t>Kích thước vỏ 500.0x400.0x250mm</t>
        </is>
      </c>
    </row>
    <row r="2241">
      <c r="A2241" t="inlineStr">
        <is>
          <t>SW-DAMPER-545-BLADE</t>
        </is>
      </c>
      <c r="B2241" t="inlineStr">
        <is>
          <t>SW-DAMPER-545</t>
        </is>
      </c>
      <c r="C2241" t="inlineStr">
        <is>
          <t>Lá cánh van (3 cánh overlap)</t>
        </is>
      </c>
      <c r="D2241" t="inlineStr">
        <is>
          <t>TÔN_CUỘN_MẠ_KẼM</t>
        </is>
      </c>
      <c r="E2241" t="inlineStr">
        <is>
          <t>MAT-STEEL-PN-0.75</t>
        </is>
      </c>
      <c r="F2241" t="inlineStr">
        <is>
          <t>kg</t>
        </is>
      </c>
      <c r="G2241" s="4" t="n">
        <v>1.462455</v>
      </c>
      <c r="H2241" s="2">
        <f>XLOOKUP(B2241, '00_TONG_HOP_BAO_GIA'!B:B, '00_TONG_HOP_BAO_GIA'!G:G, 1)</f>
        <v/>
      </c>
      <c r="I2241" s="5">
        <f>G2241*H2241</f>
        <v/>
      </c>
      <c r="J2241" s="2">
        <f>XLOOKUP(E2241, '06_BANG_GIA_VAT_TU_AP_DUNG'!B:B, '06_BANG_GIA_VAT_TU_AP_DUNG'!C:C, "LỖI_MÃ_VT")</f>
        <v/>
      </c>
      <c r="K2241" s="2">
        <f>I2241*J2241</f>
        <v/>
      </c>
      <c r="L2241" t="inlineStr">
        <is>
          <t>3 cánh cao 153mm</t>
        </is>
      </c>
    </row>
    <row r="2242">
      <c r="A2242" t="inlineStr">
        <is>
          <t>SW-DAMPER-545-AXLE</t>
        </is>
      </c>
      <c r="B2242" t="inlineStr">
        <is>
          <t>SW-DAMPER-545</t>
        </is>
      </c>
      <c r="C2242" t="inlineStr">
        <is>
          <t>Trục Sus 201 D10</t>
        </is>
      </c>
      <c r="D2242" t="inlineStr">
        <is>
          <t>PHỤ_KIỆN_VAN</t>
        </is>
      </c>
      <c r="E2242" t="inlineStr">
        <is>
          <t>MAT-DAMPER-TRUC-SUS-201-D10</t>
        </is>
      </c>
      <c r="F2242" t="inlineStr">
        <is>
          <t>m</t>
        </is>
      </c>
      <c r="G2242" s="4" t="n">
        <v>1.68</v>
      </c>
      <c r="H2242" s="2">
        <f>XLOOKUP(B2242, '00_TONG_HOP_BAO_GIA'!B:B, '00_TONG_HOP_BAO_GIA'!G:G, 1)</f>
        <v/>
      </c>
      <c r="I2242" s="5">
        <f>G2242*H2242</f>
        <v/>
      </c>
      <c r="J2242" s="2">
        <f>XLOOKUP(E2242, '06_BANG_GIA_VAT_TU_AP_DUNG'!B:B, '06_BANG_GIA_VAT_TU_AP_DUNG'!C:C, "LỖI_MÃ_VT")</f>
        <v/>
      </c>
      <c r="K2242" s="2">
        <f>I2242*J2242</f>
        <v/>
      </c>
      <c r="L2242" t="inlineStr">
        <is>
          <t>3 trục dài 560mm</t>
        </is>
      </c>
    </row>
    <row r="2243">
      <c r="A2243" t="inlineStr">
        <is>
          <t>SW-DAMPER-545-BEARING</t>
        </is>
      </c>
      <c r="B2243" t="inlineStr">
        <is>
          <t>SW-DAMPER-545</t>
        </is>
      </c>
      <c r="C2243" t="inlineStr">
        <is>
          <t>Bạc đồng D10</t>
        </is>
      </c>
      <c r="D2243" t="inlineStr">
        <is>
          <t>PHỤ_KIỆN_VAN</t>
        </is>
      </c>
      <c r="E2243" t="inlineStr">
        <is>
          <t>MAT-DAMPER-BAC-DONG-D10</t>
        </is>
      </c>
      <c r="F2243" t="inlineStr">
        <is>
          <t>Đôi</t>
        </is>
      </c>
      <c r="G2243" s="4" t="n">
        <v>3</v>
      </c>
      <c r="H2243" s="2">
        <f>XLOOKUP(B2243, '00_TONG_HOP_BAO_GIA'!B:B, '00_TONG_HOP_BAO_GIA'!G:G, 1)</f>
        <v/>
      </c>
      <c r="I2243" s="5">
        <f>G2243*H2243</f>
        <v/>
      </c>
      <c r="J2243" s="2">
        <f>XLOOKUP(E2243, '06_BANG_GIA_VAT_TU_AP_DUNG'!B:B, '06_BANG_GIA_VAT_TU_AP_DUNG'!C:C, "LỖI_MÃ_VT")</f>
        <v/>
      </c>
      <c r="K2243" s="2">
        <f>I2243*J2243</f>
        <v/>
      </c>
      <c r="L2243" t="inlineStr">
        <is>
          <t>3 đôi bạc đỡ 2 bên thân</t>
        </is>
      </c>
    </row>
    <row r="2244">
      <c r="A2244" t="inlineStr">
        <is>
          <t>SW-DAMPER-545-GEAR</t>
        </is>
      </c>
      <c r="B2244" t="inlineStr">
        <is>
          <t>SW-DAMPER-545</t>
        </is>
      </c>
      <c r="C2244" t="inlineStr">
        <is>
          <t>Bánh răng van nhôm</t>
        </is>
      </c>
      <c r="D2244" t="inlineStr">
        <is>
          <t>PHỤ_KIỆN_VAN</t>
        </is>
      </c>
      <c r="E2244" t="inlineStr">
        <is>
          <t>MAT-DAMPER-BANH-RANG-VAN-NHOM</t>
        </is>
      </c>
      <c r="F2244" t="inlineStr">
        <is>
          <t>Bộ</t>
        </is>
      </c>
      <c r="G2244" s="4" t="n">
        <v>1</v>
      </c>
      <c r="H2244" s="2">
        <f>XLOOKUP(B2244, '00_TONG_HOP_BAO_GIA'!B:B, '00_TONG_HOP_BAO_GIA'!G:G, 1)</f>
        <v/>
      </c>
      <c r="I2244" s="5">
        <f>G2244*H2244</f>
        <v/>
      </c>
      <c r="J2244" s="2">
        <f>XLOOKUP(E2244, '06_BANG_GIA_VAT_TU_AP_DUNG'!B:B, '06_BANG_GIA_VAT_TU_AP_DUNG'!C:C, "LỖI_MÃ_VT")</f>
        <v/>
      </c>
      <c r="K2244" s="2">
        <f>I2244*J2244</f>
        <v/>
      </c>
      <c r="L2244" t="inlineStr">
        <is>
          <t>Cơ cấu liên động bánh răng van</t>
        </is>
      </c>
    </row>
    <row r="2245">
      <c r="A2245" t="inlineStr">
        <is>
          <t>SW-DAMPER-545-FUSE</t>
        </is>
      </c>
      <c r="B2245" t="inlineStr">
        <is>
          <t>SW-DAMPER-545</t>
        </is>
      </c>
      <c r="C2245" t="inlineStr">
        <is>
          <t>Cầu chì nhiệt nóng chảy 70°C (Elsie/USA)</t>
        </is>
      </c>
      <c r="D2245" t="inlineStr">
        <is>
          <t>PHỤ_KIỆN_VAN</t>
        </is>
      </c>
      <c r="E2245" t="inlineStr">
        <is>
          <t>MAT-DAMPER-CAU-CHI-USA-2-400X400</t>
        </is>
      </c>
      <c r="F2245" t="inlineStr">
        <is>
          <t>Cái</t>
        </is>
      </c>
      <c r="G2245" s="4" t="n">
        <v>1</v>
      </c>
      <c r="H2245" s="2">
        <f>XLOOKUP(B2245, '00_TONG_HOP_BAO_GIA'!B:B, '00_TONG_HOP_BAO_GIA'!G:G, 1)</f>
        <v/>
      </c>
      <c r="I2245" s="5">
        <f>G2245*H2245</f>
        <v/>
      </c>
      <c r="J2245" s="2">
        <f>XLOOKUP(E2245, '06_BANG_GIA_VAT_TU_AP_DUNG'!B:B, '06_BANG_GIA_VAT_TU_AP_DUNG'!C:C, "LỖI_MÃ_VT")</f>
        <v/>
      </c>
      <c r="K2245" s="2">
        <f>I2245*J2245</f>
        <v/>
      </c>
      <c r="L2245" t="inlineStr">
        <is>
          <t>Cầu chì kiểm định PCCC</t>
        </is>
      </c>
    </row>
    <row r="2246">
      <c r="A2246" t="inlineStr">
        <is>
          <t>SW-DAMPER-546-BODY</t>
        </is>
      </c>
      <c r="B2246" t="inlineStr">
        <is>
          <t>SW-DAMPER-546</t>
        </is>
      </c>
      <c r="C2246" t="inlineStr">
        <is>
          <t>Thân vỏ van FD bích TDF (0.75mm)</t>
        </is>
      </c>
      <c r="D2246" t="inlineStr">
        <is>
          <t>TÔN_CUỘN_MẠ_KẼM</t>
        </is>
      </c>
      <c r="E2246" t="inlineStr">
        <is>
          <t>MAT-STEEL-PN-0.75</t>
        </is>
      </c>
      <c r="F2246" t="inlineStr">
        <is>
          <t>kg</t>
        </is>
      </c>
      <c r="G2246" s="4" t="n">
        <v>4.035528</v>
      </c>
      <c r="H2246" s="2">
        <f>XLOOKUP(B2246, '00_TONG_HOP_BAO_GIA'!B:B, '00_TONG_HOP_BAO_GIA'!G:G, 1)</f>
        <v/>
      </c>
      <c r="I2246" s="5">
        <f>G2246*H2246</f>
        <v/>
      </c>
      <c r="J2246" s="2">
        <f>XLOOKUP(E2246, '06_BANG_GIA_VAT_TU_AP_DUNG'!B:B, '06_BANG_GIA_VAT_TU_AP_DUNG'!C:C, "LỖI_MÃ_VT")</f>
        <v/>
      </c>
      <c r="K2246" s="2">
        <f>I2246*J2246</f>
        <v/>
      </c>
      <c r="L2246" t="inlineStr">
        <is>
          <t>Kích thước vỏ 550.0x450.0x250mm</t>
        </is>
      </c>
    </row>
    <row r="2247">
      <c r="A2247" t="inlineStr">
        <is>
          <t>SW-DAMPER-546-BLADE</t>
        </is>
      </c>
      <c r="B2247" t="inlineStr">
        <is>
          <t>SW-DAMPER-546</t>
        </is>
      </c>
      <c r="C2247" t="inlineStr">
        <is>
          <t>Lá cánh van (3 cánh overlap)</t>
        </is>
      </c>
      <c r="D2247" t="inlineStr">
        <is>
          <t>TÔN_CUỘN_MẠ_KẼM</t>
        </is>
      </c>
      <c r="E2247" t="inlineStr">
        <is>
          <t>MAT-STEEL-PN-0.75</t>
        </is>
      </c>
      <c r="F2247" t="inlineStr">
        <is>
          <t>kg</t>
        </is>
      </c>
      <c r="G2247" s="4" t="n">
        <v>1.78355925</v>
      </c>
      <c r="H2247" s="2">
        <f>XLOOKUP(B2247, '00_TONG_HOP_BAO_GIA'!B:B, '00_TONG_HOP_BAO_GIA'!G:G, 1)</f>
        <v/>
      </c>
      <c r="I2247" s="5">
        <f>G2247*H2247</f>
        <v/>
      </c>
      <c r="J2247" s="2">
        <f>XLOOKUP(E2247, '06_BANG_GIA_VAT_TU_AP_DUNG'!B:B, '06_BANG_GIA_VAT_TU_AP_DUNG'!C:C, "LỖI_MÃ_VT")</f>
        <v/>
      </c>
      <c r="K2247" s="2">
        <f>I2247*J2247</f>
        <v/>
      </c>
      <c r="L2247" t="inlineStr">
        <is>
          <t>3 cánh cao 170mm</t>
        </is>
      </c>
    </row>
    <row r="2248">
      <c r="A2248" t="inlineStr">
        <is>
          <t>SW-DAMPER-546-AXLE</t>
        </is>
      </c>
      <c r="B2248" t="inlineStr">
        <is>
          <t>SW-DAMPER-546</t>
        </is>
      </c>
      <c r="C2248" t="inlineStr">
        <is>
          <t>Trục Sus 201 D10</t>
        </is>
      </c>
      <c r="D2248" t="inlineStr">
        <is>
          <t>PHỤ_KIỆN_VAN</t>
        </is>
      </c>
      <c r="E2248" t="inlineStr">
        <is>
          <t>MAT-DAMPER-TRUC-SUS-201-D10</t>
        </is>
      </c>
      <c r="F2248" t="inlineStr">
        <is>
          <t>m</t>
        </is>
      </c>
      <c r="G2248" s="4" t="n">
        <v>1.83</v>
      </c>
      <c r="H2248" s="2">
        <f>XLOOKUP(B2248, '00_TONG_HOP_BAO_GIA'!B:B, '00_TONG_HOP_BAO_GIA'!G:G, 1)</f>
        <v/>
      </c>
      <c r="I2248" s="5">
        <f>G2248*H2248</f>
        <v/>
      </c>
      <c r="J2248" s="2">
        <f>XLOOKUP(E2248, '06_BANG_GIA_VAT_TU_AP_DUNG'!B:B, '06_BANG_GIA_VAT_TU_AP_DUNG'!C:C, "LỖI_MÃ_VT")</f>
        <v/>
      </c>
      <c r="K2248" s="2">
        <f>I2248*J2248</f>
        <v/>
      </c>
      <c r="L2248" t="inlineStr">
        <is>
          <t>3 trục dài 610mm</t>
        </is>
      </c>
    </row>
    <row r="2249">
      <c r="A2249" t="inlineStr">
        <is>
          <t>SW-DAMPER-546-BEARING</t>
        </is>
      </c>
      <c r="B2249" t="inlineStr">
        <is>
          <t>SW-DAMPER-546</t>
        </is>
      </c>
      <c r="C2249" t="inlineStr">
        <is>
          <t>Bạc đồng D10</t>
        </is>
      </c>
      <c r="D2249" t="inlineStr">
        <is>
          <t>PHỤ_KIỆN_VAN</t>
        </is>
      </c>
      <c r="E2249" t="inlineStr">
        <is>
          <t>MAT-DAMPER-BAC-DONG-D10</t>
        </is>
      </c>
      <c r="F2249" t="inlineStr">
        <is>
          <t>Đôi</t>
        </is>
      </c>
      <c r="G2249" s="4" t="n">
        <v>3</v>
      </c>
      <c r="H2249" s="2">
        <f>XLOOKUP(B2249, '00_TONG_HOP_BAO_GIA'!B:B, '00_TONG_HOP_BAO_GIA'!G:G, 1)</f>
        <v/>
      </c>
      <c r="I2249" s="5">
        <f>G2249*H2249</f>
        <v/>
      </c>
      <c r="J2249" s="2">
        <f>XLOOKUP(E2249, '06_BANG_GIA_VAT_TU_AP_DUNG'!B:B, '06_BANG_GIA_VAT_TU_AP_DUNG'!C:C, "LỖI_MÃ_VT")</f>
        <v/>
      </c>
      <c r="K2249" s="2">
        <f>I2249*J2249</f>
        <v/>
      </c>
      <c r="L2249" t="inlineStr">
        <is>
          <t>3 đôi bạc đỡ 2 bên thân</t>
        </is>
      </c>
    </row>
    <row r="2250">
      <c r="A2250" t="inlineStr">
        <is>
          <t>SW-DAMPER-546-GEAR</t>
        </is>
      </c>
      <c r="B2250" t="inlineStr">
        <is>
          <t>SW-DAMPER-546</t>
        </is>
      </c>
      <c r="C2250" t="inlineStr">
        <is>
          <t>Bánh răng van nhôm</t>
        </is>
      </c>
      <c r="D2250" t="inlineStr">
        <is>
          <t>PHỤ_KIỆN_VAN</t>
        </is>
      </c>
      <c r="E2250" t="inlineStr">
        <is>
          <t>MAT-DAMPER-BANH-RANG-VAN-NHOM</t>
        </is>
      </c>
      <c r="F2250" t="inlineStr">
        <is>
          <t>Bộ</t>
        </is>
      </c>
      <c r="G2250" s="4" t="n">
        <v>1</v>
      </c>
      <c r="H2250" s="2">
        <f>XLOOKUP(B2250, '00_TONG_HOP_BAO_GIA'!B:B, '00_TONG_HOP_BAO_GIA'!G:G, 1)</f>
        <v/>
      </c>
      <c r="I2250" s="5">
        <f>G2250*H2250</f>
        <v/>
      </c>
      <c r="J2250" s="2">
        <f>XLOOKUP(E2250, '06_BANG_GIA_VAT_TU_AP_DUNG'!B:B, '06_BANG_GIA_VAT_TU_AP_DUNG'!C:C, "LỖI_MÃ_VT")</f>
        <v/>
      </c>
      <c r="K2250" s="2">
        <f>I2250*J2250</f>
        <v/>
      </c>
      <c r="L2250" t="inlineStr">
        <is>
          <t>Cơ cấu liên động bánh răng van</t>
        </is>
      </c>
    </row>
    <row r="2251">
      <c r="A2251" t="inlineStr">
        <is>
          <t>SW-DAMPER-546-FUSE</t>
        </is>
      </c>
      <c r="B2251" t="inlineStr">
        <is>
          <t>SW-DAMPER-546</t>
        </is>
      </c>
      <c r="C2251" t="inlineStr">
        <is>
          <t>Cầu chì nhiệt nóng chảy 70°C (Elsie/USA)</t>
        </is>
      </c>
      <c r="D2251" t="inlineStr">
        <is>
          <t>PHỤ_KIỆN_VAN</t>
        </is>
      </c>
      <c r="E2251" t="inlineStr">
        <is>
          <t>MAT-DAMPER-CAU-CHI-USA-2-400X400</t>
        </is>
      </c>
      <c r="F2251" t="inlineStr">
        <is>
          <t>Cái</t>
        </is>
      </c>
      <c r="G2251" s="4" t="n">
        <v>1</v>
      </c>
      <c r="H2251" s="2">
        <f>XLOOKUP(B2251, '00_TONG_HOP_BAO_GIA'!B:B, '00_TONG_HOP_BAO_GIA'!G:G, 1)</f>
        <v/>
      </c>
      <c r="I2251" s="5">
        <f>G2251*H2251</f>
        <v/>
      </c>
      <c r="J2251" s="2">
        <f>XLOOKUP(E2251, '06_BANG_GIA_VAT_TU_AP_DUNG'!B:B, '06_BANG_GIA_VAT_TU_AP_DUNG'!C:C, "LỖI_MÃ_VT")</f>
        <v/>
      </c>
      <c r="K2251" s="2">
        <f>I2251*J2251</f>
        <v/>
      </c>
      <c r="L2251" t="inlineStr">
        <is>
          <t>Cầu chì kiểm định PCCC</t>
        </is>
      </c>
    </row>
    <row r="2252">
      <c r="A2252" t="inlineStr">
        <is>
          <t>SW-DAMPER-547-BODY</t>
        </is>
      </c>
      <c r="B2252" t="inlineStr">
        <is>
          <t>SW-DAMPER-547</t>
        </is>
      </c>
      <c r="C2252" t="inlineStr">
        <is>
          <t>Thân vỏ van FD bích TDF (0.75mm)</t>
        </is>
      </c>
      <c r="D2252" t="inlineStr">
        <is>
          <t>TÔN_CUỘN_MẠ_KẼM</t>
        </is>
      </c>
      <c r="E2252" t="inlineStr">
        <is>
          <t>MAT-STEEL-PN-0.75</t>
        </is>
      </c>
      <c r="F2252" t="inlineStr">
        <is>
          <t>kg</t>
        </is>
      </c>
      <c r="G2252" s="4" t="n">
        <v>3.244247999999999</v>
      </c>
      <c r="H2252" s="2">
        <f>XLOOKUP(B2252, '00_TONG_HOP_BAO_GIA'!B:B, '00_TONG_HOP_BAO_GIA'!G:G, 1)</f>
        <v/>
      </c>
      <c r="I2252" s="5">
        <f>G2252*H2252</f>
        <v/>
      </c>
      <c r="J2252" s="2">
        <f>XLOOKUP(E2252, '06_BANG_GIA_VAT_TU_AP_DUNG'!B:B, '06_BANG_GIA_VAT_TU_AP_DUNG'!C:C, "LỖI_MÃ_VT")</f>
        <v/>
      </c>
      <c r="K2252" s="2">
        <f>I2252*J2252</f>
        <v/>
      </c>
      <c r="L2252" t="inlineStr">
        <is>
          <t>Kích thước vỏ 600.0x200.0x250mm</t>
        </is>
      </c>
    </row>
    <row r="2253">
      <c r="A2253" t="inlineStr">
        <is>
          <t>SW-DAMPER-547-BLADE</t>
        </is>
      </c>
      <c r="B2253" t="inlineStr">
        <is>
          <t>SW-DAMPER-547</t>
        </is>
      </c>
      <c r="C2253" t="inlineStr">
        <is>
          <t>Lá cánh van (2 cánh overlap)</t>
        </is>
      </c>
      <c r="D2253" t="inlineStr">
        <is>
          <t>TÔN_CUỘN_MẠ_KẼM</t>
        </is>
      </c>
      <c r="E2253" t="inlineStr">
        <is>
          <t>MAT-STEEL-PN-0.75</t>
        </is>
      </c>
      <c r="F2253" t="inlineStr">
        <is>
          <t>kg</t>
        </is>
      </c>
      <c r="G2253" s="4" t="n">
        <v>0.9156239999999999</v>
      </c>
      <c r="H2253" s="2">
        <f>XLOOKUP(B2253, '00_TONG_HOP_BAO_GIA'!B:B, '00_TONG_HOP_BAO_GIA'!G:G, 1)</f>
        <v/>
      </c>
      <c r="I2253" s="5">
        <f>G2253*H2253</f>
        <v/>
      </c>
      <c r="J2253" s="2">
        <f>XLOOKUP(E2253, '06_BANG_GIA_VAT_TU_AP_DUNG'!B:B, '06_BANG_GIA_VAT_TU_AP_DUNG'!C:C, "LỖI_MÃ_VT")</f>
        <v/>
      </c>
      <c r="K2253" s="2">
        <f>I2253*J2253</f>
        <v/>
      </c>
      <c r="L2253" t="inlineStr">
        <is>
          <t>2 cánh cao 120mm</t>
        </is>
      </c>
    </row>
    <row r="2254">
      <c r="A2254" t="inlineStr">
        <is>
          <t>SW-DAMPER-547-AXLE</t>
        </is>
      </c>
      <c r="B2254" t="inlineStr">
        <is>
          <t>SW-DAMPER-547</t>
        </is>
      </c>
      <c r="C2254" t="inlineStr">
        <is>
          <t>Trục Sus 201 D10</t>
        </is>
      </c>
      <c r="D2254" t="inlineStr">
        <is>
          <t>PHỤ_KIỆN_VAN</t>
        </is>
      </c>
      <c r="E2254" t="inlineStr">
        <is>
          <t>MAT-DAMPER-TRUC-SUS-201-D10</t>
        </is>
      </c>
      <c r="F2254" t="inlineStr">
        <is>
          <t>m</t>
        </is>
      </c>
      <c r="G2254" s="4" t="n">
        <v>1.32</v>
      </c>
      <c r="H2254" s="2">
        <f>XLOOKUP(B2254, '00_TONG_HOP_BAO_GIA'!B:B, '00_TONG_HOP_BAO_GIA'!G:G, 1)</f>
        <v/>
      </c>
      <c r="I2254" s="5">
        <f>G2254*H2254</f>
        <v/>
      </c>
      <c r="J2254" s="2">
        <f>XLOOKUP(E2254, '06_BANG_GIA_VAT_TU_AP_DUNG'!B:B, '06_BANG_GIA_VAT_TU_AP_DUNG'!C:C, "LỖI_MÃ_VT")</f>
        <v/>
      </c>
      <c r="K2254" s="2">
        <f>I2254*J2254</f>
        <v/>
      </c>
      <c r="L2254" t="inlineStr">
        <is>
          <t>2 trục dài 660mm</t>
        </is>
      </c>
    </row>
    <row r="2255">
      <c r="A2255" t="inlineStr">
        <is>
          <t>SW-DAMPER-547-BEARING</t>
        </is>
      </c>
      <c r="B2255" t="inlineStr">
        <is>
          <t>SW-DAMPER-547</t>
        </is>
      </c>
      <c r="C2255" t="inlineStr">
        <is>
          <t>Bạc đồng D10</t>
        </is>
      </c>
      <c r="D2255" t="inlineStr">
        <is>
          <t>PHỤ_KIỆN_VAN</t>
        </is>
      </c>
      <c r="E2255" t="inlineStr">
        <is>
          <t>MAT-DAMPER-BAC-DONG-D10</t>
        </is>
      </c>
      <c r="F2255" t="inlineStr">
        <is>
          <t>Đôi</t>
        </is>
      </c>
      <c r="G2255" s="4" t="n">
        <v>2</v>
      </c>
      <c r="H2255" s="2">
        <f>XLOOKUP(B2255, '00_TONG_HOP_BAO_GIA'!B:B, '00_TONG_HOP_BAO_GIA'!G:G, 1)</f>
        <v/>
      </c>
      <c r="I2255" s="5">
        <f>G2255*H2255</f>
        <v/>
      </c>
      <c r="J2255" s="2">
        <f>XLOOKUP(E2255, '06_BANG_GIA_VAT_TU_AP_DUNG'!B:B, '06_BANG_GIA_VAT_TU_AP_DUNG'!C:C, "LỖI_MÃ_VT")</f>
        <v/>
      </c>
      <c r="K2255" s="2">
        <f>I2255*J2255</f>
        <v/>
      </c>
      <c r="L2255" t="inlineStr">
        <is>
          <t>2 đôi bạc đỡ 2 bên thân</t>
        </is>
      </c>
    </row>
    <row r="2256">
      <c r="A2256" t="inlineStr">
        <is>
          <t>SW-DAMPER-547-GEAR</t>
        </is>
      </c>
      <c r="B2256" t="inlineStr">
        <is>
          <t>SW-DAMPER-547</t>
        </is>
      </c>
      <c r="C2256" t="inlineStr">
        <is>
          <t>Bánh răng van nhôm</t>
        </is>
      </c>
      <c r="D2256" t="inlineStr">
        <is>
          <t>PHỤ_KIỆN_VAN</t>
        </is>
      </c>
      <c r="E2256" t="inlineStr">
        <is>
          <t>MAT-DAMPER-BANH-RANG-VAN-NHOM</t>
        </is>
      </c>
      <c r="F2256" t="inlineStr">
        <is>
          <t>Bộ</t>
        </is>
      </c>
      <c r="G2256" s="4" t="n">
        <v>1</v>
      </c>
      <c r="H2256" s="2">
        <f>XLOOKUP(B2256, '00_TONG_HOP_BAO_GIA'!B:B, '00_TONG_HOP_BAO_GIA'!G:G, 1)</f>
        <v/>
      </c>
      <c r="I2256" s="5">
        <f>G2256*H2256</f>
        <v/>
      </c>
      <c r="J2256" s="2">
        <f>XLOOKUP(E2256, '06_BANG_GIA_VAT_TU_AP_DUNG'!B:B, '06_BANG_GIA_VAT_TU_AP_DUNG'!C:C, "LỖI_MÃ_VT")</f>
        <v/>
      </c>
      <c r="K2256" s="2">
        <f>I2256*J2256</f>
        <v/>
      </c>
      <c r="L2256" t="inlineStr">
        <is>
          <t>Cơ cấu liên động bánh răng van</t>
        </is>
      </c>
    </row>
    <row r="2257">
      <c r="A2257" t="inlineStr">
        <is>
          <t>SW-DAMPER-547-FUSE</t>
        </is>
      </c>
      <c r="B2257" t="inlineStr">
        <is>
          <t>SW-DAMPER-547</t>
        </is>
      </c>
      <c r="C2257" t="inlineStr">
        <is>
          <t>Cầu chì nhiệt nóng chảy 70°C (Elsie/USA)</t>
        </is>
      </c>
      <c r="D2257" t="inlineStr">
        <is>
          <t>PHỤ_KIỆN_VAN</t>
        </is>
      </c>
      <c r="E2257" t="inlineStr">
        <is>
          <t>MAT-DAMPER-CAU-CHI-USA-2-400X400</t>
        </is>
      </c>
      <c r="F2257" t="inlineStr">
        <is>
          <t>Cái</t>
        </is>
      </c>
      <c r="G2257" s="4" t="n">
        <v>1</v>
      </c>
      <c r="H2257" s="2">
        <f>XLOOKUP(B2257, '00_TONG_HOP_BAO_GIA'!B:B, '00_TONG_HOP_BAO_GIA'!G:G, 1)</f>
        <v/>
      </c>
      <c r="I2257" s="5">
        <f>G2257*H2257</f>
        <v/>
      </c>
      <c r="J2257" s="2">
        <f>XLOOKUP(E2257, '06_BANG_GIA_VAT_TU_AP_DUNG'!B:B, '06_BANG_GIA_VAT_TU_AP_DUNG'!C:C, "LỖI_MÃ_VT")</f>
        <v/>
      </c>
      <c r="K2257" s="2">
        <f>I2257*J2257</f>
        <v/>
      </c>
      <c r="L2257" t="inlineStr">
        <is>
          <t>Cầu chì kiểm định PCCC</t>
        </is>
      </c>
    </row>
    <row r="2258">
      <c r="A2258" t="inlineStr">
        <is>
          <t>SW-DAMPER-548-BODY</t>
        </is>
      </c>
      <c r="B2258" t="inlineStr">
        <is>
          <t>SW-DAMPER-548</t>
        </is>
      </c>
      <c r="C2258" t="inlineStr">
        <is>
          <t>Thân vỏ van FD bích TDF (0.75mm)</t>
        </is>
      </c>
      <c r="D2258" t="inlineStr">
        <is>
          <t>TÔN_CUỘN_MẠ_KẼM</t>
        </is>
      </c>
      <c r="E2258" t="inlineStr">
        <is>
          <t>MAT-STEEL-PN-0.75</t>
        </is>
      </c>
      <c r="F2258" t="inlineStr">
        <is>
          <t>kg</t>
        </is>
      </c>
      <c r="G2258" s="4" t="n">
        <v>4.233348</v>
      </c>
      <c r="H2258" s="2">
        <f>XLOOKUP(B2258, '00_TONG_HOP_BAO_GIA'!B:B, '00_TONG_HOP_BAO_GIA'!G:G, 1)</f>
        <v/>
      </c>
      <c r="I2258" s="5">
        <f>G2258*H2258</f>
        <v/>
      </c>
      <c r="J2258" s="2">
        <f>XLOOKUP(E2258, '06_BANG_GIA_VAT_TU_AP_DUNG'!B:B, '06_BANG_GIA_VAT_TU_AP_DUNG'!C:C, "LỖI_MÃ_VT")</f>
        <v/>
      </c>
      <c r="K2258" s="2">
        <f>I2258*J2258</f>
        <v/>
      </c>
      <c r="L2258" t="inlineStr">
        <is>
          <t>Kích thước vỏ 600.0x450.0x250mm</t>
        </is>
      </c>
    </row>
    <row r="2259">
      <c r="A2259" t="inlineStr">
        <is>
          <t>SW-DAMPER-548-BLADE</t>
        </is>
      </c>
      <c r="B2259" t="inlineStr">
        <is>
          <t>SW-DAMPER-548</t>
        </is>
      </c>
      <c r="C2259" t="inlineStr">
        <is>
          <t>Lá cánh van (3 cánh overlap)</t>
        </is>
      </c>
      <c r="D2259" t="inlineStr">
        <is>
          <t>TÔN_CUỘN_MẠ_KẼM</t>
        </is>
      </c>
      <c r="E2259" t="inlineStr">
        <is>
          <t>MAT-STEEL-PN-0.75</t>
        </is>
      </c>
      <c r="F2259" t="inlineStr">
        <is>
          <t>kg</t>
        </is>
      </c>
      <c r="G2259" s="4" t="n">
        <v>1.945701</v>
      </c>
      <c r="H2259" s="2">
        <f>XLOOKUP(B2259, '00_TONG_HOP_BAO_GIA'!B:B, '00_TONG_HOP_BAO_GIA'!G:G, 1)</f>
        <v/>
      </c>
      <c r="I2259" s="5">
        <f>G2259*H2259</f>
        <v/>
      </c>
      <c r="J2259" s="2">
        <f>XLOOKUP(E2259, '06_BANG_GIA_VAT_TU_AP_DUNG'!B:B, '06_BANG_GIA_VAT_TU_AP_DUNG'!C:C, "LỖI_MÃ_VT")</f>
        <v/>
      </c>
      <c r="K2259" s="2">
        <f>I2259*J2259</f>
        <v/>
      </c>
      <c r="L2259" t="inlineStr">
        <is>
          <t>3 cánh cao 170mm</t>
        </is>
      </c>
    </row>
    <row r="2260">
      <c r="A2260" t="inlineStr">
        <is>
          <t>SW-DAMPER-548-AXLE</t>
        </is>
      </c>
      <c r="B2260" t="inlineStr">
        <is>
          <t>SW-DAMPER-548</t>
        </is>
      </c>
      <c r="C2260" t="inlineStr">
        <is>
          <t>Trục Sus 201 D10</t>
        </is>
      </c>
      <c r="D2260" t="inlineStr">
        <is>
          <t>PHỤ_KIỆN_VAN</t>
        </is>
      </c>
      <c r="E2260" t="inlineStr">
        <is>
          <t>MAT-DAMPER-TRUC-SUS-201-D10</t>
        </is>
      </c>
      <c r="F2260" t="inlineStr">
        <is>
          <t>m</t>
        </is>
      </c>
      <c r="G2260" s="4" t="n">
        <v>1.98</v>
      </c>
      <c r="H2260" s="2">
        <f>XLOOKUP(B2260, '00_TONG_HOP_BAO_GIA'!B:B, '00_TONG_HOP_BAO_GIA'!G:G, 1)</f>
        <v/>
      </c>
      <c r="I2260" s="5">
        <f>G2260*H2260</f>
        <v/>
      </c>
      <c r="J2260" s="2">
        <f>XLOOKUP(E2260, '06_BANG_GIA_VAT_TU_AP_DUNG'!B:B, '06_BANG_GIA_VAT_TU_AP_DUNG'!C:C, "LỖI_MÃ_VT")</f>
        <v/>
      </c>
      <c r="K2260" s="2">
        <f>I2260*J2260</f>
        <v/>
      </c>
      <c r="L2260" t="inlineStr">
        <is>
          <t>3 trục dài 660mm</t>
        </is>
      </c>
    </row>
    <row r="2261">
      <c r="A2261" t="inlineStr">
        <is>
          <t>SW-DAMPER-548-BEARING</t>
        </is>
      </c>
      <c r="B2261" t="inlineStr">
        <is>
          <t>SW-DAMPER-548</t>
        </is>
      </c>
      <c r="C2261" t="inlineStr">
        <is>
          <t>Bạc đồng D10</t>
        </is>
      </c>
      <c r="D2261" t="inlineStr">
        <is>
          <t>PHỤ_KIỆN_VAN</t>
        </is>
      </c>
      <c r="E2261" t="inlineStr">
        <is>
          <t>MAT-DAMPER-BAC-DONG-D10</t>
        </is>
      </c>
      <c r="F2261" t="inlineStr">
        <is>
          <t>Đôi</t>
        </is>
      </c>
      <c r="G2261" s="4" t="n">
        <v>3</v>
      </c>
      <c r="H2261" s="2">
        <f>XLOOKUP(B2261, '00_TONG_HOP_BAO_GIA'!B:B, '00_TONG_HOP_BAO_GIA'!G:G, 1)</f>
        <v/>
      </c>
      <c r="I2261" s="5">
        <f>G2261*H2261</f>
        <v/>
      </c>
      <c r="J2261" s="2">
        <f>XLOOKUP(E2261, '06_BANG_GIA_VAT_TU_AP_DUNG'!B:B, '06_BANG_GIA_VAT_TU_AP_DUNG'!C:C, "LỖI_MÃ_VT")</f>
        <v/>
      </c>
      <c r="K2261" s="2">
        <f>I2261*J2261</f>
        <v/>
      </c>
      <c r="L2261" t="inlineStr">
        <is>
          <t>3 đôi bạc đỡ 2 bên thân</t>
        </is>
      </c>
    </row>
    <row r="2262">
      <c r="A2262" t="inlineStr">
        <is>
          <t>SW-DAMPER-548-GEAR</t>
        </is>
      </c>
      <c r="B2262" t="inlineStr">
        <is>
          <t>SW-DAMPER-548</t>
        </is>
      </c>
      <c r="C2262" t="inlineStr">
        <is>
          <t>Bánh răng van nhôm</t>
        </is>
      </c>
      <c r="D2262" t="inlineStr">
        <is>
          <t>PHỤ_KIỆN_VAN</t>
        </is>
      </c>
      <c r="E2262" t="inlineStr">
        <is>
          <t>MAT-DAMPER-BANH-RANG-VAN-NHOM</t>
        </is>
      </c>
      <c r="F2262" t="inlineStr">
        <is>
          <t>Bộ</t>
        </is>
      </c>
      <c r="G2262" s="4" t="n">
        <v>1</v>
      </c>
      <c r="H2262" s="2">
        <f>XLOOKUP(B2262, '00_TONG_HOP_BAO_GIA'!B:B, '00_TONG_HOP_BAO_GIA'!G:G, 1)</f>
        <v/>
      </c>
      <c r="I2262" s="5">
        <f>G2262*H2262</f>
        <v/>
      </c>
      <c r="J2262" s="2">
        <f>XLOOKUP(E2262, '06_BANG_GIA_VAT_TU_AP_DUNG'!B:B, '06_BANG_GIA_VAT_TU_AP_DUNG'!C:C, "LỖI_MÃ_VT")</f>
        <v/>
      </c>
      <c r="K2262" s="2">
        <f>I2262*J2262</f>
        <v/>
      </c>
      <c r="L2262" t="inlineStr">
        <is>
          <t>Cơ cấu liên động bánh răng van</t>
        </is>
      </c>
    </row>
    <row r="2263">
      <c r="A2263" t="inlineStr">
        <is>
          <t>SW-DAMPER-548-FUSE</t>
        </is>
      </c>
      <c r="B2263" t="inlineStr">
        <is>
          <t>SW-DAMPER-548</t>
        </is>
      </c>
      <c r="C2263" t="inlineStr">
        <is>
          <t>Cầu chì nhiệt nóng chảy 70°C (Elsie/USA)</t>
        </is>
      </c>
      <c r="D2263" t="inlineStr">
        <is>
          <t>PHỤ_KIỆN_VAN</t>
        </is>
      </c>
      <c r="E2263" t="inlineStr">
        <is>
          <t>MAT-DAMPER-CAU-CHI-USA-2-400X400</t>
        </is>
      </c>
      <c r="F2263" t="inlineStr">
        <is>
          <t>Cái</t>
        </is>
      </c>
      <c r="G2263" s="4" t="n">
        <v>1</v>
      </c>
      <c r="H2263" s="2">
        <f>XLOOKUP(B2263, '00_TONG_HOP_BAO_GIA'!B:B, '00_TONG_HOP_BAO_GIA'!G:G, 1)</f>
        <v/>
      </c>
      <c r="I2263" s="5">
        <f>G2263*H2263</f>
        <v/>
      </c>
      <c r="J2263" s="2">
        <f>XLOOKUP(E2263, '06_BANG_GIA_VAT_TU_AP_DUNG'!B:B, '06_BANG_GIA_VAT_TU_AP_DUNG'!C:C, "LỖI_MÃ_VT")</f>
        <v/>
      </c>
      <c r="K2263" s="2">
        <f>I2263*J2263</f>
        <v/>
      </c>
      <c r="L2263" t="inlineStr">
        <is>
          <t>Cầu chì kiểm định PCCC</t>
        </is>
      </c>
    </row>
    <row r="2264">
      <c r="A2264" t="inlineStr">
        <is>
          <t>SW-DAMPER-549-BODY</t>
        </is>
      </c>
      <c r="B2264" t="inlineStr">
        <is>
          <t>SW-DAMPER-549</t>
        </is>
      </c>
      <c r="C2264" t="inlineStr">
        <is>
          <t>Thân vỏ van FD bích TDF (0.75mm)</t>
        </is>
      </c>
      <c r="D2264" t="inlineStr">
        <is>
          <t>TÔN_CUỘN_MẠ_KẼM</t>
        </is>
      </c>
      <c r="E2264" t="inlineStr">
        <is>
          <t>MAT-STEEL-PN-0.75</t>
        </is>
      </c>
      <c r="F2264" t="inlineStr">
        <is>
          <t>kg</t>
        </is>
      </c>
      <c r="G2264" s="4" t="n">
        <v>4.826808</v>
      </c>
      <c r="H2264" s="2">
        <f>XLOOKUP(B2264, '00_TONG_HOP_BAO_GIA'!B:B, '00_TONG_HOP_BAO_GIA'!G:G, 1)</f>
        <v/>
      </c>
      <c r="I2264" s="5">
        <f>G2264*H2264</f>
        <v/>
      </c>
      <c r="J2264" s="2">
        <f>XLOOKUP(E2264, '06_BANG_GIA_VAT_TU_AP_DUNG'!B:B, '06_BANG_GIA_VAT_TU_AP_DUNG'!C:C, "LỖI_MÃ_VT")</f>
        <v/>
      </c>
      <c r="K2264" s="2">
        <f>I2264*J2264</f>
        <v/>
      </c>
      <c r="L2264" t="inlineStr">
        <is>
          <t>Kích thước vỏ 600.0x600.0x250mm</t>
        </is>
      </c>
    </row>
    <row r="2265">
      <c r="A2265" t="inlineStr">
        <is>
          <t>SW-DAMPER-549-BLADE</t>
        </is>
      </c>
      <c r="B2265" t="inlineStr">
        <is>
          <t>SW-DAMPER-549</t>
        </is>
      </c>
      <c r="C2265" t="inlineStr">
        <is>
          <t>Lá cánh van (4 cánh overlap)</t>
        </is>
      </c>
      <c r="D2265" t="inlineStr">
        <is>
          <t>TÔN_CUỘN_MẠ_KẼM</t>
        </is>
      </c>
      <c r="E2265" t="inlineStr">
        <is>
          <t>MAT-STEEL-PN-0.75</t>
        </is>
      </c>
      <c r="F2265" t="inlineStr">
        <is>
          <t>kg</t>
        </is>
      </c>
      <c r="G2265" s="4" t="n">
        <v>2.594268</v>
      </c>
      <c r="H2265" s="2">
        <f>XLOOKUP(B2265, '00_TONG_HOP_BAO_GIA'!B:B, '00_TONG_HOP_BAO_GIA'!G:G, 1)</f>
        <v/>
      </c>
      <c r="I2265" s="5">
        <f>G2265*H2265</f>
        <v/>
      </c>
      <c r="J2265" s="2">
        <f>XLOOKUP(E2265, '06_BANG_GIA_VAT_TU_AP_DUNG'!B:B, '06_BANG_GIA_VAT_TU_AP_DUNG'!C:C, "LỖI_MÃ_VT")</f>
        <v/>
      </c>
      <c r="K2265" s="2">
        <f>I2265*J2265</f>
        <v/>
      </c>
      <c r="L2265" t="inlineStr">
        <is>
          <t>4 cánh cao 170mm</t>
        </is>
      </c>
    </row>
    <row r="2266">
      <c r="A2266" t="inlineStr">
        <is>
          <t>SW-DAMPER-549-AXLE</t>
        </is>
      </c>
      <c r="B2266" t="inlineStr">
        <is>
          <t>SW-DAMPER-549</t>
        </is>
      </c>
      <c r="C2266" t="inlineStr">
        <is>
          <t>Trục Sus 201 D10</t>
        </is>
      </c>
      <c r="D2266" t="inlineStr">
        <is>
          <t>PHỤ_KIỆN_VAN</t>
        </is>
      </c>
      <c r="E2266" t="inlineStr">
        <is>
          <t>MAT-DAMPER-TRUC-SUS-201-D10</t>
        </is>
      </c>
      <c r="F2266" t="inlineStr">
        <is>
          <t>m</t>
        </is>
      </c>
      <c r="G2266" s="4" t="n">
        <v>2.64</v>
      </c>
      <c r="H2266" s="2">
        <f>XLOOKUP(B2266, '00_TONG_HOP_BAO_GIA'!B:B, '00_TONG_HOP_BAO_GIA'!G:G, 1)</f>
        <v/>
      </c>
      <c r="I2266" s="5">
        <f>G2266*H2266</f>
        <v/>
      </c>
      <c r="J2266" s="2">
        <f>XLOOKUP(E2266, '06_BANG_GIA_VAT_TU_AP_DUNG'!B:B, '06_BANG_GIA_VAT_TU_AP_DUNG'!C:C, "LỖI_MÃ_VT")</f>
        <v/>
      </c>
      <c r="K2266" s="2">
        <f>I2266*J2266</f>
        <v/>
      </c>
      <c r="L2266" t="inlineStr">
        <is>
          <t>4 trục dài 660mm</t>
        </is>
      </c>
    </row>
    <row r="2267">
      <c r="A2267" t="inlineStr">
        <is>
          <t>SW-DAMPER-549-BEARING</t>
        </is>
      </c>
      <c r="B2267" t="inlineStr">
        <is>
          <t>SW-DAMPER-549</t>
        </is>
      </c>
      <c r="C2267" t="inlineStr">
        <is>
          <t>Bạc đồng D10</t>
        </is>
      </c>
      <c r="D2267" t="inlineStr">
        <is>
          <t>PHỤ_KIỆN_VAN</t>
        </is>
      </c>
      <c r="E2267" t="inlineStr">
        <is>
          <t>MAT-DAMPER-BAC-DONG-D10</t>
        </is>
      </c>
      <c r="F2267" t="inlineStr">
        <is>
          <t>Đôi</t>
        </is>
      </c>
      <c r="G2267" s="4" t="n">
        <v>4</v>
      </c>
      <c r="H2267" s="2">
        <f>XLOOKUP(B2267, '00_TONG_HOP_BAO_GIA'!B:B, '00_TONG_HOP_BAO_GIA'!G:G, 1)</f>
        <v/>
      </c>
      <c r="I2267" s="5">
        <f>G2267*H2267</f>
        <v/>
      </c>
      <c r="J2267" s="2">
        <f>XLOOKUP(E2267, '06_BANG_GIA_VAT_TU_AP_DUNG'!B:B, '06_BANG_GIA_VAT_TU_AP_DUNG'!C:C, "LỖI_MÃ_VT")</f>
        <v/>
      </c>
      <c r="K2267" s="2">
        <f>I2267*J2267</f>
        <v/>
      </c>
      <c r="L2267" t="inlineStr">
        <is>
          <t>4 đôi bạc đỡ 2 bên thân</t>
        </is>
      </c>
    </row>
    <row r="2268">
      <c r="A2268" t="inlineStr">
        <is>
          <t>SW-DAMPER-549-GEAR</t>
        </is>
      </c>
      <c r="B2268" t="inlineStr">
        <is>
          <t>SW-DAMPER-549</t>
        </is>
      </c>
      <c r="C2268" t="inlineStr">
        <is>
          <t>Bánh răng van nhôm</t>
        </is>
      </c>
      <c r="D2268" t="inlineStr">
        <is>
          <t>PHỤ_KIỆN_VAN</t>
        </is>
      </c>
      <c r="E2268" t="inlineStr">
        <is>
          <t>MAT-DAMPER-BANH-RANG-VAN-NHOM</t>
        </is>
      </c>
      <c r="F2268" t="inlineStr">
        <is>
          <t>Bộ</t>
        </is>
      </c>
      <c r="G2268" s="4" t="n">
        <v>1</v>
      </c>
      <c r="H2268" s="2">
        <f>XLOOKUP(B2268, '00_TONG_HOP_BAO_GIA'!B:B, '00_TONG_HOP_BAO_GIA'!G:G, 1)</f>
        <v/>
      </c>
      <c r="I2268" s="5">
        <f>G2268*H2268</f>
        <v/>
      </c>
      <c r="J2268" s="2">
        <f>XLOOKUP(E2268, '06_BANG_GIA_VAT_TU_AP_DUNG'!B:B, '06_BANG_GIA_VAT_TU_AP_DUNG'!C:C, "LỖI_MÃ_VT")</f>
        <v/>
      </c>
      <c r="K2268" s="2">
        <f>I2268*J2268</f>
        <v/>
      </c>
      <c r="L2268" t="inlineStr">
        <is>
          <t>Cơ cấu liên động bánh răng van</t>
        </is>
      </c>
    </row>
    <row r="2269">
      <c r="A2269" t="inlineStr">
        <is>
          <t>SW-DAMPER-549-FUSE</t>
        </is>
      </c>
      <c r="B2269" t="inlineStr">
        <is>
          <t>SW-DAMPER-549</t>
        </is>
      </c>
      <c r="C2269" t="inlineStr">
        <is>
          <t>Cầu chì nhiệt nóng chảy 70°C (Elsie/USA)</t>
        </is>
      </c>
      <c r="D2269" t="inlineStr">
        <is>
          <t>PHỤ_KIỆN_VAN</t>
        </is>
      </c>
      <c r="E2269" t="inlineStr">
        <is>
          <t>MAT-DAMPER-CAU-CHI-USA-2-400X400</t>
        </is>
      </c>
      <c r="F2269" t="inlineStr">
        <is>
          <t>Cái</t>
        </is>
      </c>
      <c r="G2269" s="4" t="n">
        <v>1</v>
      </c>
      <c r="H2269" s="2">
        <f>XLOOKUP(B2269, '00_TONG_HOP_BAO_GIA'!B:B, '00_TONG_HOP_BAO_GIA'!G:G, 1)</f>
        <v/>
      </c>
      <c r="I2269" s="5">
        <f>G2269*H2269</f>
        <v/>
      </c>
      <c r="J2269" s="2">
        <f>XLOOKUP(E2269, '06_BANG_GIA_VAT_TU_AP_DUNG'!B:B, '06_BANG_GIA_VAT_TU_AP_DUNG'!C:C, "LỖI_MÃ_VT")</f>
        <v/>
      </c>
      <c r="K2269" s="2">
        <f>I2269*J2269</f>
        <v/>
      </c>
      <c r="L2269" t="inlineStr">
        <is>
          <t>Cầu chì kiểm định PCCC</t>
        </is>
      </c>
    </row>
    <row r="2270">
      <c r="A2270" t="inlineStr">
        <is>
          <t>SW-DAMPER-550-BODY</t>
        </is>
      </c>
      <c r="B2270" t="inlineStr">
        <is>
          <t>SW-DAMPER-550</t>
        </is>
      </c>
      <c r="C2270" t="inlineStr">
        <is>
          <t>Thân vỏ van FD bích TDF (0.75mm)</t>
        </is>
      </c>
      <c r="D2270" t="inlineStr">
        <is>
          <t>TÔN_CUỘN_MẠ_KẼM</t>
        </is>
      </c>
      <c r="E2270" t="inlineStr">
        <is>
          <t>MAT-STEEL-PN-0.75</t>
        </is>
      </c>
      <c r="F2270" t="inlineStr">
        <is>
          <t>kg</t>
        </is>
      </c>
      <c r="G2270" s="4" t="n">
        <v>5.420268000000001</v>
      </c>
      <c r="H2270" s="2">
        <f>XLOOKUP(B2270, '00_TONG_HOP_BAO_GIA'!B:B, '00_TONG_HOP_BAO_GIA'!G:G, 1)</f>
        <v/>
      </c>
      <c r="I2270" s="5">
        <f>G2270*H2270</f>
        <v/>
      </c>
      <c r="J2270" s="2">
        <f>XLOOKUP(E2270, '06_BANG_GIA_VAT_TU_AP_DUNG'!B:B, '06_BANG_GIA_VAT_TU_AP_DUNG'!C:C, "LỖI_MÃ_VT")</f>
        <v/>
      </c>
      <c r="K2270" s="2">
        <f>I2270*J2270</f>
        <v/>
      </c>
      <c r="L2270" t="inlineStr">
        <is>
          <t>Kích thước vỏ 750.0x600.0x250mm</t>
        </is>
      </c>
    </row>
    <row r="2271">
      <c r="A2271" t="inlineStr">
        <is>
          <t>SW-DAMPER-550-BLADE</t>
        </is>
      </c>
      <c r="B2271" t="inlineStr">
        <is>
          <t>SW-DAMPER-550</t>
        </is>
      </c>
      <c r="C2271" t="inlineStr">
        <is>
          <t>Lá cánh van (4 cánh overlap)</t>
        </is>
      </c>
      <c r="D2271" t="inlineStr">
        <is>
          <t>TÔN_CUỘN_MẠ_KẼM</t>
        </is>
      </c>
      <c r="E2271" t="inlineStr">
        <is>
          <t>MAT-STEEL-PN-0.75</t>
        </is>
      </c>
      <c r="F2271" t="inlineStr">
        <is>
          <t>kg</t>
        </is>
      </c>
      <c r="G2271" s="4" t="n">
        <v>3.242835</v>
      </c>
      <c r="H2271" s="2">
        <f>XLOOKUP(B2271, '00_TONG_HOP_BAO_GIA'!B:B, '00_TONG_HOP_BAO_GIA'!G:G, 1)</f>
        <v/>
      </c>
      <c r="I2271" s="5">
        <f>G2271*H2271</f>
        <v/>
      </c>
      <c r="J2271" s="2">
        <f>XLOOKUP(E2271, '06_BANG_GIA_VAT_TU_AP_DUNG'!B:B, '06_BANG_GIA_VAT_TU_AP_DUNG'!C:C, "LỖI_MÃ_VT")</f>
        <v/>
      </c>
      <c r="K2271" s="2">
        <f>I2271*J2271</f>
        <v/>
      </c>
      <c r="L2271" t="inlineStr">
        <is>
          <t>4 cánh cao 170mm</t>
        </is>
      </c>
    </row>
    <row r="2272">
      <c r="A2272" t="inlineStr">
        <is>
          <t>SW-DAMPER-550-AXLE</t>
        </is>
      </c>
      <c r="B2272" t="inlineStr">
        <is>
          <t>SW-DAMPER-550</t>
        </is>
      </c>
      <c r="C2272" t="inlineStr">
        <is>
          <t>Trục Sus 201 D10</t>
        </is>
      </c>
      <c r="D2272" t="inlineStr">
        <is>
          <t>PHỤ_KIỆN_VAN</t>
        </is>
      </c>
      <c r="E2272" t="inlineStr">
        <is>
          <t>MAT-DAMPER-TRUC-SUS-201-D10</t>
        </is>
      </c>
      <c r="F2272" t="inlineStr">
        <is>
          <t>m</t>
        </is>
      </c>
      <c r="G2272" s="4" t="n">
        <v>3.24</v>
      </c>
      <c r="H2272" s="2">
        <f>XLOOKUP(B2272, '00_TONG_HOP_BAO_GIA'!B:B, '00_TONG_HOP_BAO_GIA'!G:G, 1)</f>
        <v/>
      </c>
      <c r="I2272" s="5">
        <f>G2272*H2272</f>
        <v/>
      </c>
      <c r="J2272" s="2">
        <f>XLOOKUP(E2272, '06_BANG_GIA_VAT_TU_AP_DUNG'!B:B, '06_BANG_GIA_VAT_TU_AP_DUNG'!C:C, "LỖI_MÃ_VT")</f>
        <v/>
      </c>
      <c r="K2272" s="2">
        <f>I2272*J2272</f>
        <v/>
      </c>
      <c r="L2272" t="inlineStr">
        <is>
          <t>4 trục dài 810mm</t>
        </is>
      </c>
    </row>
    <row r="2273">
      <c r="A2273" t="inlineStr">
        <is>
          <t>SW-DAMPER-550-BEARING</t>
        </is>
      </c>
      <c r="B2273" t="inlineStr">
        <is>
          <t>SW-DAMPER-550</t>
        </is>
      </c>
      <c r="C2273" t="inlineStr">
        <is>
          <t>Bạc đồng D10</t>
        </is>
      </c>
      <c r="D2273" t="inlineStr">
        <is>
          <t>PHỤ_KIỆN_VAN</t>
        </is>
      </c>
      <c r="E2273" t="inlineStr">
        <is>
          <t>MAT-DAMPER-BAC-DONG-D10</t>
        </is>
      </c>
      <c r="F2273" t="inlineStr">
        <is>
          <t>Đôi</t>
        </is>
      </c>
      <c r="G2273" s="4" t="n">
        <v>4</v>
      </c>
      <c r="H2273" s="2">
        <f>XLOOKUP(B2273, '00_TONG_HOP_BAO_GIA'!B:B, '00_TONG_HOP_BAO_GIA'!G:G, 1)</f>
        <v/>
      </c>
      <c r="I2273" s="5">
        <f>G2273*H2273</f>
        <v/>
      </c>
      <c r="J2273" s="2">
        <f>XLOOKUP(E2273, '06_BANG_GIA_VAT_TU_AP_DUNG'!B:B, '06_BANG_GIA_VAT_TU_AP_DUNG'!C:C, "LỖI_MÃ_VT")</f>
        <v/>
      </c>
      <c r="K2273" s="2">
        <f>I2273*J2273</f>
        <v/>
      </c>
      <c r="L2273" t="inlineStr">
        <is>
          <t>4 đôi bạc đỡ 2 bên thân</t>
        </is>
      </c>
    </row>
    <row r="2274">
      <c r="A2274" t="inlineStr">
        <is>
          <t>SW-DAMPER-550-GEAR</t>
        </is>
      </c>
      <c r="B2274" t="inlineStr">
        <is>
          <t>SW-DAMPER-550</t>
        </is>
      </c>
      <c r="C2274" t="inlineStr">
        <is>
          <t>Bánh răng van nhôm</t>
        </is>
      </c>
      <c r="D2274" t="inlineStr">
        <is>
          <t>PHỤ_KIỆN_VAN</t>
        </is>
      </c>
      <c r="E2274" t="inlineStr">
        <is>
          <t>MAT-DAMPER-BANH-RANG-VAN-NHOM</t>
        </is>
      </c>
      <c r="F2274" t="inlineStr">
        <is>
          <t>Bộ</t>
        </is>
      </c>
      <c r="G2274" s="4" t="n">
        <v>1</v>
      </c>
      <c r="H2274" s="2">
        <f>XLOOKUP(B2274, '00_TONG_HOP_BAO_GIA'!B:B, '00_TONG_HOP_BAO_GIA'!G:G, 1)</f>
        <v/>
      </c>
      <c r="I2274" s="5">
        <f>G2274*H2274</f>
        <v/>
      </c>
      <c r="J2274" s="2">
        <f>XLOOKUP(E2274, '06_BANG_GIA_VAT_TU_AP_DUNG'!B:B, '06_BANG_GIA_VAT_TU_AP_DUNG'!C:C, "LỖI_MÃ_VT")</f>
        <v/>
      </c>
      <c r="K2274" s="2">
        <f>I2274*J2274</f>
        <v/>
      </c>
      <c r="L2274" t="inlineStr">
        <is>
          <t>Cơ cấu liên động bánh răng van</t>
        </is>
      </c>
    </row>
    <row r="2275">
      <c r="A2275" t="inlineStr">
        <is>
          <t>SW-DAMPER-550-FUSE</t>
        </is>
      </c>
      <c r="B2275" t="inlineStr">
        <is>
          <t>SW-DAMPER-550</t>
        </is>
      </c>
      <c r="C2275" t="inlineStr">
        <is>
          <t>Cầu chì nhiệt nóng chảy 70°C (Elsie/USA)</t>
        </is>
      </c>
      <c r="D2275" t="inlineStr">
        <is>
          <t>PHỤ_KIỆN_VAN</t>
        </is>
      </c>
      <c r="E2275" t="inlineStr">
        <is>
          <t>MAT-DAMPER-CAU-CHI-USA-2-400X400</t>
        </is>
      </c>
      <c r="F2275" t="inlineStr">
        <is>
          <t>Cái</t>
        </is>
      </c>
      <c r="G2275" s="4" t="n">
        <v>1</v>
      </c>
      <c r="H2275" s="2">
        <f>XLOOKUP(B2275, '00_TONG_HOP_BAO_GIA'!B:B, '00_TONG_HOP_BAO_GIA'!G:G, 1)</f>
        <v/>
      </c>
      <c r="I2275" s="5">
        <f>G2275*H2275</f>
        <v/>
      </c>
      <c r="J2275" s="2">
        <f>XLOOKUP(E2275, '06_BANG_GIA_VAT_TU_AP_DUNG'!B:B, '06_BANG_GIA_VAT_TU_AP_DUNG'!C:C, "LỖI_MÃ_VT")</f>
        <v/>
      </c>
      <c r="K2275" s="2">
        <f>I2275*J2275</f>
        <v/>
      </c>
      <c r="L2275" t="inlineStr">
        <is>
          <t>Cầu chì kiểm định PCCC</t>
        </is>
      </c>
    </row>
    <row r="2276">
      <c r="A2276" t="inlineStr">
        <is>
          <t>SW-DAMPER-551-BODY</t>
        </is>
      </c>
      <c r="B2276" t="inlineStr">
        <is>
          <t>SW-DAMPER-551</t>
        </is>
      </c>
      <c r="C2276" t="inlineStr">
        <is>
          <t>Thân vỏ van FD bích TDF (0.75mm)</t>
        </is>
      </c>
      <c r="D2276" t="inlineStr">
        <is>
          <t>TÔN_CUỘN_MẠ_KẼM</t>
        </is>
      </c>
      <c r="E2276" t="inlineStr">
        <is>
          <t>MAT-STEEL-PN-0.75</t>
        </is>
      </c>
      <c r="F2276" t="inlineStr">
        <is>
          <t>kg</t>
        </is>
      </c>
      <c r="G2276" s="4" t="n">
        <v>6.013728</v>
      </c>
      <c r="H2276" s="2">
        <f>XLOOKUP(B2276, '00_TONG_HOP_BAO_GIA'!B:B, '00_TONG_HOP_BAO_GIA'!G:G, 1)</f>
        <v/>
      </c>
      <c r="I2276" s="5">
        <f>G2276*H2276</f>
        <v/>
      </c>
      <c r="J2276" s="2">
        <f>XLOOKUP(E2276, '06_BANG_GIA_VAT_TU_AP_DUNG'!B:B, '06_BANG_GIA_VAT_TU_AP_DUNG'!C:C, "LỖI_MÃ_VT")</f>
        <v/>
      </c>
      <c r="K2276" s="2">
        <f>I2276*J2276</f>
        <v/>
      </c>
      <c r="L2276" t="inlineStr">
        <is>
          <t>Kích thước vỏ 800.0x700.0x250mm</t>
        </is>
      </c>
    </row>
    <row r="2277">
      <c r="A2277" t="inlineStr">
        <is>
          <t>SW-DAMPER-551-BLADE</t>
        </is>
      </c>
      <c r="B2277" t="inlineStr">
        <is>
          <t>SW-DAMPER-551</t>
        </is>
      </c>
      <c r="C2277" t="inlineStr">
        <is>
          <t>Lá cánh van (4 cánh overlap)</t>
        </is>
      </c>
      <c r="D2277" t="inlineStr">
        <is>
          <t>TÔN_CUỘN_MẠ_KẼM</t>
        </is>
      </c>
      <c r="E2277" t="inlineStr">
        <is>
          <t>MAT-STEEL-PN-0.75</t>
        </is>
      </c>
      <c r="F2277" t="inlineStr">
        <is>
          <t>kg</t>
        </is>
      </c>
      <c r="G2277" s="4" t="n">
        <v>3.967704000000001</v>
      </c>
      <c r="H2277" s="2">
        <f>XLOOKUP(B2277, '00_TONG_HOP_BAO_GIA'!B:B, '00_TONG_HOP_BAO_GIA'!G:G, 1)</f>
        <v/>
      </c>
      <c r="I2277" s="5">
        <f>G2277*H2277</f>
        <v/>
      </c>
      <c r="J2277" s="2">
        <f>XLOOKUP(E2277, '06_BANG_GIA_VAT_TU_AP_DUNG'!B:B, '06_BANG_GIA_VAT_TU_AP_DUNG'!C:C, "LỖI_MÃ_VT")</f>
        <v/>
      </c>
      <c r="K2277" s="2">
        <f>I2277*J2277</f>
        <v/>
      </c>
      <c r="L2277" t="inlineStr">
        <is>
          <t>4 cánh cao 195mm</t>
        </is>
      </c>
    </row>
    <row r="2278">
      <c r="A2278" t="inlineStr">
        <is>
          <t>SW-DAMPER-551-AXLE</t>
        </is>
      </c>
      <c r="B2278" t="inlineStr">
        <is>
          <t>SW-DAMPER-551</t>
        </is>
      </c>
      <c r="C2278" t="inlineStr">
        <is>
          <t>Trục Sus 201 D10</t>
        </is>
      </c>
      <c r="D2278" t="inlineStr">
        <is>
          <t>PHỤ_KIỆN_VAN</t>
        </is>
      </c>
      <c r="E2278" t="inlineStr">
        <is>
          <t>MAT-DAMPER-TRUC-SUS-201-D10</t>
        </is>
      </c>
      <c r="F2278" t="inlineStr">
        <is>
          <t>m</t>
        </is>
      </c>
      <c r="G2278" s="4" t="n">
        <v>3.44</v>
      </c>
      <c r="H2278" s="2">
        <f>XLOOKUP(B2278, '00_TONG_HOP_BAO_GIA'!B:B, '00_TONG_HOP_BAO_GIA'!G:G, 1)</f>
        <v/>
      </c>
      <c r="I2278" s="5">
        <f>G2278*H2278</f>
        <v/>
      </c>
      <c r="J2278" s="2">
        <f>XLOOKUP(E2278, '06_BANG_GIA_VAT_TU_AP_DUNG'!B:B, '06_BANG_GIA_VAT_TU_AP_DUNG'!C:C, "LỖI_MÃ_VT")</f>
        <v/>
      </c>
      <c r="K2278" s="2">
        <f>I2278*J2278</f>
        <v/>
      </c>
      <c r="L2278" t="inlineStr">
        <is>
          <t>4 trục dài 860mm</t>
        </is>
      </c>
    </row>
    <row r="2279">
      <c r="A2279" t="inlineStr">
        <is>
          <t>SW-DAMPER-551-BEARING</t>
        </is>
      </c>
      <c r="B2279" t="inlineStr">
        <is>
          <t>SW-DAMPER-551</t>
        </is>
      </c>
      <c r="C2279" t="inlineStr">
        <is>
          <t>Bạc đồng D10</t>
        </is>
      </c>
      <c r="D2279" t="inlineStr">
        <is>
          <t>PHỤ_KIỆN_VAN</t>
        </is>
      </c>
      <c r="E2279" t="inlineStr">
        <is>
          <t>MAT-DAMPER-BAC-DONG-D10</t>
        </is>
      </c>
      <c r="F2279" t="inlineStr">
        <is>
          <t>Đôi</t>
        </is>
      </c>
      <c r="G2279" s="4" t="n">
        <v>4</v>
      </c>
      <c r="H2279" s="2">
        <f>XLOOKUP(B2279, '00_TONG_HOP_BAO_GIA'!B:B, '00_TONG_HOP_BAO_GIA'!G:G, 1)</f>
        <v/>
      </c>
      <c r="I2279" s="5">
        <f>G2279*H2279</f>
        <v/>
      </c>
      <c r="J2279" s="2">
        <f>XLOOKUP(E2279, '06_BANG_GIA_VAT_TU_AP_DUNG'!B:B, '06_BANG_GIA_VAT_TU_AP_DUNG'!C:C, "LỖI_MÃ_VT")</f>
        <v/>
      </c>
      <c r="K2279" s="2">
        <f>I2279*J2279</f>
        <v/>
      </c>
      <c r="L2279" t="inlineStr">
        <is>
          <t>4 đôi bạc đỡ 2 bên thân</t>
        </is>
      </c>
    </row>
    <row r="2280">
      <c r="A2280" t="inlineStr">
        <is>
          <t>SW-DAMPER-551-GEAR</t>
        </is>
      </c>
      <c r="B2280" t="inlineStr">
        <is>
          <t>SW-DAMPER-551</t>
        </is>
      </c>
      <c r="C2280" t="inlineStr">
        <is>
          <t>Bánh răng van nhôm</t>
        </is>
      </c>
      <c r="D2280" t="inlineStr">
        <is>
          <t>PHỤ_KIỆN_VAN</t>
        </is>
      </c>
      <c r="E2280" t="inlineStr">
        <is>
          <t>MAT-DAMPER-BANH-RANG-VAN-NHOM</t>
        </is>
      </c>
      <c r="F2280" t="inlineStr">
        <is>
          <t>Bộ</t>
        </is>
      </c>
      <c r="G2280" s="4" t="n">
        <v>1</v>
      </c>
      <c r="H2280" s="2">
        <f>XLOOKUP(B2280, '00_TONG_HOP_BAO_GIA'!B:B, '00_TONG_HOP_BAO_GIA'!G:G, 1)</f>
        <v/>
      </c>
      <c r="I2280" s="5">
        <f>G2280*H2280</f>
        <v/>
      </c>
      <c r="J2280" s="2">
        <f>XLOOKUP(E2280, '06_BANG_GIA_VAT_TU_AP_DUNG'!B:B, '06_BANG_GIA_VAT_TU_AP_DUNG'!C:C, "LỖI_MÃ_VT")</f>
        <v/>
      </c>
      <c r="K2280" s="2">
        <f>I2280*J2280</f>
        <v/>
      </c>
      <c r="L2280" t="inlineStr">
        <is>
          <t>Cơ cấu liên động bánh răng van</t>
        </is>
      </c>
    </row>
    <row r="2281">
      <c r="A2281" t="inlineStr">
        <is>
          <t>SW-DAMPER-551-FUSE</t>
        </is>
      </c>
      <c r="B2281" t="inlineStr">
        <is>
          <t>SW-DAMPER-551</t>
        </is>
      </c>
      <c r="C2281" t="inlineStr">
        <is>
          <t>Cầu chì nhiệt nóng chảy 70°C (Elsie/USA)</t>
        </is>
      </c>
      <c r="D2281" t="inlineStr">
        <is>
          <t>PHỤ_KIỆN_VAN</t>
        </is>
      </c>
      <c r="E2281" t="inlineStr">
        <is>
          <t>MAT-DAMPER-CAU-CHI-USA-2-400X400</t>
        </is>
      </c>
      <c r="F2281" t="inlineStr">
        <is>
          <t>Cái</t>
        </is>
      </c>
      <c r="G2281" s="4" t="n">
        <v>1</v>
      </c>
      <c r="H2281" s="2">
        <f>XLOOKUP(B2281, '00_TONG_HOP_BAO_GIA'!B:B, '00_TONG_HOP_BAO_GIA'!G:G, 1)</f>
        <v/>
      </c>
      <c r="I2281" s="5">
        <f>G2281*H2281</f>
        <v/>
      </c>
      <c r="J2281" s="2">
        <f>XLOOKUP(E2281, '06_BANG_GIA_VAT_TU_AP_DUNG'!B:B, '06_BANG_GIA_VAT_TU_AP_DUNG'!C:C, "LỖI_MÃ_VT")</f>
        <v/>
      </c>
      <c r="K2281" s="2">
        <f>I2281*J2281</f>
        <v/>
      </c>
      <c r="L2281" t="inlineStr">
        <is>
          <t>Cầu chì kiểm định PCCC</t>
        </is>
      </c>
    </row>
    <row r="2282">
      <c r="A2282" t="inlineStr">
        <is>
          <t>SW-DAMPER-552-BODY</t>
        </is>
      </c>
      <c r="B2282" t="inlineStr">
        <is>
          <t>SW-DAMPER-552</t>
        </is>
      </c>
      <c r="C2282" t="inlineStr">
        <is>
          <t>Thân vỏ van FD bích TDF (0.95mm)</t>
        </is>
      </c>
      <c r="D2282" t="inlineStr">
        <is>
          <t>TÔN_CUỘN_MẠ_KẼM</t>
        </is>
      </c>
      <c r="E2282" t="inlineStr">
        <is>
          <t>MAT-STEEL-PN-0.95</t>
        </is>
      </c>
      <c r="F2282" t="inlineStr">
        <is>
          <t>kg</t>
        </is>
      </c>
      <c r="G2282" s="4" t="n">
        <v>6.1139568</v>
      </c>
      <c r="H2282" s="2">
        <f>XLOOKUP(B2282, '00_TONG_HOP_BAO_GIA'!B:B, '00_TONG_HOP_BAO_GIA'!G:G, 1)</f>
        <v/>
      </c>
      <c r="I2282" s="5">
        <f>G2282*H2282</f>
        <v/>
      </c>
      <c r="J2282" s="2">
        <f>XLOOKUP(E2282, '06_BANG_GIA_VAT_TU_AP_DUNG'!B:B, '06_BANG_GIA_VAT_TU_AP_DUNG'!C:C, "LỖI_MÃ_VT")</f>
        <v/>
      </c>
      <c r="K2282" s="2">
        <f>I2282*J2282</f>
        <v/>
      </c>
      <c r="L2282" t="inlineStr">
        <is>
          <t>Kích thước vỏ 900.0x300.0x250mm</t>
        </is>
      </c>
    </row>
    <row r="2283">
      <c r="A2283" t="inlineStr">
        <is>
          <t>SW-DAMPER-552-BLADE</t>
        </is>
      </c>
      <c r="B2283" t="inlineStr">
        <is>
          <t>SW-DAMPER-552</t>
        </is>
      </c>
      <c r="C2283" t="inlineStr">
        <is>
          <t>Lá cánh van (2 cánh overlap)</t>
        </is>
      </c>
      <c r="D2283" t="inlineStr">
        <is>
          <t>TÔN_CUỘN_MẠ_KẼM</t>
        </is>
      </c>
      <c r="E2283" t="inlineStr">
        <is>
          <t>MAT-STEEL-PN-0.75</t>
        </is>
      </c>
      <c r="F2283" t="inlineStr">
        <is>
          <t>kg</t>
        </is>
      </c>
      <c r="G2283" s="4" t="n">
        <v>1.945701</v>
      </c>
      <c r="H2283" s="2">
        <f>XLOOKUP(B2283, '00_TONG_HOP_BAO_GIA'!B:B, '00_TONG_HOP_BAO_GIA'!G:G, 1)</f>
        <v/>
      </c>
      <c r="I2283" s="5">
        <f>G2283*H2283</f>
        <v/>
      </c>
      <c r="J2283" s="2">
        <f>XLOOKUP(E2283, '06_BANG_GIA_VAT_TU_AP_DUNG'!B:B, '06_BANG_GIA_VAT_TU_AP_DUNG'!C:C, "LỖI_MÃ_VT")</f>
        <v/>
      </c>
      <c r="K2283" s="2">
        <f>I2283*J2283</f>
        <v/>
      </c>
      <c r="L2283" t="inlineStr">
        <is>
          <t>2 cánh cao 170mm</t>
        </is>
      </c>
    </row>
    <row r="2284">
      <c r="A2284" t="inlineStr">
        <is>
          <t>SW-DAMPER-552-AXLE</t>
        </is>
      </c>
      <c r="B2284" t="inlineStr">
        <is>
          <t>SW-DAMPER-552</t>
        </is>
      </c>
      <c r="C2284" t="inlineStr">
        <is>
          <t>Trục Sus 201 D10</t>
        </is>
      </c>
      <c r="D2284" t="inlineStr">
        <is>
          <t>PHỤ_KIỆN_VAN</t>
        </is>
      </c>
      <c r="E2284" t="inlineStr">
        <is>
          <t>MAT-DAMPER-TRUC-SUS-201-D10</t>
        </is>
      </c>
      <c r="F2284" t="inlineStr">
        <is>
          <t>m</t>
        </is>
      </c>
      <c r="G2284" s="4" t="n">
        <v>1.92</v>
      </c>
      <c r="H2284" s="2">
        <f>XLOOKUP(B2284, '00_TONG_HOP_BAO_GIA'!B:B, '00_TONG_HOP_BAO_GIA'!G:G, 1)</f>
        <v/>
      </c>
      <c r="I2284" s="5">
        <f>G2284*H2284</f>
        <v/>
      </c>
      <c r="J2284" s="2">
        <f>XLOOKUP(E2284, '06_BANG_GIA_VAT_TU_AP_DUNG'!B:B, '06_BANG_GIA_VAT_TU_AP_DUNG'!C:C, "LỖI_MÃ_VT")</f>
        <v/>
      </c>
      <c r="K2284" s="2">
        <f>I2284*J2284</f>
        <v/>
      </c>
      <c r="L2284" t="inlineStr">
        <is>
          <t>2 trục dài 960mm</t>
        </is>
      </c>
    </row>
    <row r="2285">
      <c r="A2285" t="inlineStr">
        <is>
          <t>SW-DAMPER-552-BEARING</t>
        </is>
      </c>
      <c r="B2285" t="inlineStr">
        <is>
          <t>SW-DAMPER-552</t>
        </is>
      </c>
      <c r="C2285" t="inlineStr">
        <is>
          <t>Bạc đồng D10</t>
        </is>
      </c>
      <c r="D2285" t="inlineStr">
        <is>
          <t>PHỤ_KIỆN_VAN</t>
        </is>
      </c>
      <c r="E2285" t="inlineStr">
        <is>
          <t>MAT-DAMPER-BAC-DONG-D10</t>
        </is>
      </c>
      <c r="F2285" t="inlineStr">
        <is>
          <t>Đôi</t>
        </is>
      </c>
      <c r="G2285" s="4" t="n">
        <v>2</v>
      </c>
      <c r="H2285" s="2">
        <f>XLOOKUP(B2285, '00_TONG_HOP_BAO_GIA'!B:B, '00_TONG_HOP_BAO_GIA'!G:G, 1)</f>
        <v/>
      </c>
      <c r="I2285" s="5">
        <f>G2285*H2285</f>
        <v/>
      </c>
      <c r="J2285" s="2">
        <f>XLOOKUP(E2285, '06_BANG_GIA_VAT_TU_AP_DUNG'!B:B, '06_BANG_GIA_VAT_TU_AP_DUNG'!C:C, "LỖI_MÃ_VT")</f>
        <v/>
      </c>
      <c r="K2285" s="2">
        <f>I2285*J2285</f>
        <v/>
      </c>
      <c r="L2285" t="inlineStr">
        <is>
          <t>2 đôi bạc đỡ 2 bên thân</t>
        </is>
      </c>
    </row>
    <row r="2286">
      <c r="A2286" t="inlineStr">
        <is>
          <t>SW-DAMPER-552-GEAR</t>
        </is>
      </c>
      <c r="B2286" t="inlineStr">
        <is>
          <t>SW-DAMPER-552</t>
        </is>
      </c>
      <c r="C2286" t="inlineStr">
        <is>
          <t>Bánh răng van nhôm</t>
        </is>
      </c>
      <c r="D2286" t="inlineStr">
        <is>
          <t>PHỤ_KIỆN_VAN</t>
        </is>
      </c>
      <c r="E2286" t="inlineStr">
        <is>
          <t>MAT-DAMPER-BANH-RANG-VAN-NHOM</t>
        </is>
      </c>
      <c r="F2286" t="inlineStr">
        <is>
          <t>Bộ</t>
        </is>
      </c>
      <c r="G2286" s="4" t="n">
        <v>1</v>
      </c>
      <c r="H2286" s="2">
        <f>XLOOKUP(B2286, '00_TONG_HOP_BAO_GIA'!B:B, '00_TONG_HOP_BAO_GIA'!G:G, 1)</f>
        <v/>
      </c>
      <c r="I2286" s="5">
        <f>G2286*H2286</f>
        <v/>
      </c>
      <c r="J2286" s="2">
        <f>XLOOKUP(E2286, '06_BANG_GIA_VAT_TU_AP_DUNG'!B:B, '06_BANG_GIA_VAT_TU_AP_DUNG'!C:C, "LỖI_MÃ_VT")</f>
        <v/>
      </c>
      <c r="K2286" s="2">
        <f>I2286*J2286</f>
        <v/>
      </c>
      <c r="L2286" t="inlineStr">
        <is>
          <t>Cơ cấu liên động bánh răng van</t>
        </is>
      </c>
    </row>
    <row r="2287">
      <c r="A2287" t="inlineStr">
        <is>
          <t>SW-DAMPER-552-FUSE</t>
        </is>
      </c>
      <c r="B2287" t="inlineStr">
        <is>
          <t>SW-DAMPER-552</t>
        </is>
      </c>
      <c r="C2287" t="inlineStr">
        <is>
          <t>Cầu chì nhiệt nóng chảy 70°C (Elsie/USA)</t>
        </is>
      </c>
      <c r="D2287" t="inlineStr">
        <is>
          <t>PHỤ_KIỆN_VAN</t>
        </is>
      </c>
      <c r="E2287" t="inlineStr">
        <is>
          <t>MAT-DAMPER-CAU-CHI-USA-2-400X400</t>
        </is>
      </c>
      <c r="F2287" t="inlineStr">
        <is>
          <t>Cái</t>
        </is>
      </c>
      <c r="G2287" s="4" t="n">
        <v>1</v>
      </c>
      <c r="H2287" s="2">
        <f>XLOOKUP(B2287, '00_TONG_HOP_BAO_GIA'!B:B, '00_TONG_HOP_BAO_GIA'!G:G, 1)</f>
        <v/>
      </c>
      <c r="I2287" s="5">
        <f>G2287*H2287</f>
        <v/>
      </c>
      <c r="J2287" s="2">
        <f>XLOOKUP(E2287, '06_BANG_GIA_VAT_TU_AP_DUNG'!B:B, '06_BANG_GIA_VAT_TU_AP_DUNG'!C:C, "LỖI_MÃ_VT")</f>
        <v/>
      </c>
      <c r="K2287" s="2">
        <f>I2287*J2287</f>
        <v/>
      </c>
      <c r="L2287" t="inlineStr">
        <is>
          <t>Cầu chì kiểm định PCCC</t>
        </is>
      </c>
    </row>
    <row r="2288">
      <c r="A2288" t="inlineStr">
        <is>
          <t>SW-DAMPER-553-BODY</t>
        </is>
      </c>
      <c r="B2288" t="inlineStr">
        <is>
          <t>SW-DAMPER-553</t>
        </is>
      </c>
      <c r="C2288" t="inlineStr">
        <is>
          <t>Thân vỏ van FD bích TDF (0.95mm)</t>
        </is>
      </c>
      <c r="D2288" t="inlineStr">
        <is>
          <t>TÔN_CUỘN_MẠ_KẼM</t>
        </is>
      </c>
      <c r="E2288" t="inlineStr">
        <is>
          <t>MAT-STEEL-PN-0.95</t>
        </is>
      </c>
      <c r="F2288" t="inlineStr">
        <is>
          <t>kg</t>
        </is>
      </c>
      <c r="G2288" s="4" t="n">
        <v>5.6128128</v>
      </c>
      <c r="H2288" s="2">
        <f>XLOOKUP(B2288, '00_TONG_HOP_BAO_GIA'!B:B, '00_TONG_HOP_BAO_GIA'!G:G, 1)</f>
        <v/>
      </c>
      <c r="I2288" s="5">
        <f>G2288*H2288</f>
        <v/>
      </c>
      <c r="J2288" s="2">
        <f>XLOOKUP(E2288, '06_BANG_GIA_VAT_TU_AP_DUNG'!B:B, '06_BANG_GIA_VAT_TU_AP_DUNG'!C:C, "LỖI_MÃ_VT")</f>
        <v/>
      </c>
      <c r="K2288" s="2">
        <f>I2288*J2288</f>
        <v/>
      </c>
      <c r="L2288" t="inlineStr">
        <is>
          <t>Kích thước vỏ 900.0x200.0x250mm</t>
        </is>
      </c>
    </row>
    <row r="2289">
      <c r="A2289" t="inlineStr">
        <is>
          <t>SW-DAMPER-553-BLADE</t>
        </is>
      </c>
      <c r="B2289" t="inlineStr">
        <is>
          <t>SW-DAMPER-553</t>
        </is>
      </c>
      <c r="C2289" t="inlineStr">
        <is>
          <t>Lá cánh van (2 cánh overlap)</t>
        </is>
      </c>
      <c r="D2289" t="inlineStr">
        <is>
          <t>TÔN_CUỘN_MẠ_KẼM</t>
        </is>
      </c>
      <c r="E2289" t="inlineStr">
        <is>
          <t>MAT-STEEL-PN-0.75</t>
        </is>
      </c>
      <c r="F2289" t="inlineStr">
        <is>
          <t>kg</t>
        </is>
      </c>
      <c r="G2289" s="4" t="n">
        <v>1.373436</v>
      </c>
      <c r="H2289" s="2">
        <f>XLOOKUP(B2289, '00_TONG_HOP_BAO_GIA'!B:B, '00_TONG_HOP_BAO_GIA'!G:G, 1)</f>
        <v/>
      </c>
      <c r="I2289" s="5">
        <f>G2289*H2289</f>
        <v/>
      </c>
      <c r="J2289" s="2">
        <f>XLOOKUP(E2289, '06_BANG_GIA_VAT_TU_AP_DUNG'!B:B, '06_BANG_GIA_VAT_TU_AP_DUNG'!C:C, "LỖI_MÃ_VT")</f>
        <v/>
      </c>
      <c r="K2289" s="2">
        <f>I2289*J2289</f>
        <v/>
      </c>
      <c r="L2289" t="inlineStr">
        <is>
          <t>2 cánh cao 120mm</t>
        </is>
      </c>
    </row>
    <row r="2290">
      <c r="A2290" t="inlineStr">
        <is>
          <t>SW-DAMPER-553-AXLE</t>
        </is>
      </c>
      <c r="B2290" t="inlineStr">
        <is>
          <t>SW-DAMPER-553</t>
        </is>
      </c>
      <c r="C2290" t="inlineStr">
        <is>
          <t>Trục Sus 201 D10</t>
        </is>
      </c>
      <c r="D2290" t="inlineStr">
        <is>
          <t>PHỤ_KIỆN_VAN</t>
        </is>
      </c>
      <c r="E2290" t="inlineStr">
        <is>
          <t>MAT-DAMPER-TRUC-SUS-201-D10</t>
        </is>
      </c>
      <c r="F2290" t="inlineStr">
        <is>
          <t>m</t>
        </is>
      </c>
      <c r="G2290" s="4" t="n">
        <v>1.92</v>
      </c>
      <c r="H2290" s="2">
        <f>XLOOKUP(B2290, '00_TONG_HOP_BAO_GIA'!B:B, '00_TONG_HOP_BAO_GIA'!G:G, 1)</f>
        <v/>
      </c>
      <c r="I2290" s="5">
        <f>G2290*H2290</f>
        <v/>
      </c>
      <c r="J2290" s="2">
        <f>XLOOKUP(E2290, '06_BANG_GIA_VAT_TU_AP_DUNG'!B:B, '06_BANG_GIA_VAT_TU_AP_DUNG'!C:C, "LỖI_MÃ_VT")</f>
        <v/>
      </c>
      <c r="K2290" s="2">
        <f>I2290*J2290</f>
        <v/>
      </c>
      <c r="L2290" t="inlineStr">
        <is>
          <t>2 trục dài 960mm</t>
        </is>
      </c>
    </row>
    <row r="2291">
      <c r="A2291" t="inlineStr">
        <is>
          <t>SW-DAMPER-553-BEARING</t>
        </is>
      </c>
      <c r="B2291" t="inlineStr">
        <is>
          <t>SW-DAMPER-553</t>
        </is>
      </c>
      <c r="C2291" t="inlineStr">
        <is>
          <t>Bạc đồng D10</t>
        </is>
      </c>
      <c r="D2291" t="inlineStr">
        <is>
          <t>PHỤ_KIỆN_VAN</t>
        </is>
      </c>
      <c r="E2291" t="inlineStr">
        <is>
          <t>MAT-DAMPER-BAC-DONG-D10</t>
        </is>
      </c>
      <c r="F2291" t="inlineStr">
        <is>
          <t>Đôi</t>
        </is>
      </c>
      <c r="G2291" s="4" t="n">
        <v>2</v>
      </c>
      <c r="H2291" s="2">
        <f>XLOOKUP(B2291, '00_TONG_HOP_BAO_GIA'!B:B, '00_TONG_HOP_BAO_GIA'!G:G, 1)</f>
        <v/>
      </c>
      <c r="I2291" s="5">
        <f>G2291*H2291</f>
        <v/>
      </c>
      <c r="J2291" s="2">
        <f>XLOOKUP(E2291, '06_BANG_GIA_VAT_TU_AP_DUNG'!B:B, '06_BANG_GIA_VAT_TU_AP_DUNG'!C:C, "LỖI_MÃ_VT")</f>
        <v/>
      </c>
      <c r="K2291" s="2">
        <f>I2291*J2291</f>
        <v/>
      </c>
      <c r="L2291" t="inlineStr">
        <is>
          <t>2 đôi bạc đỡ 2 bên thân</t>
        </is>
      </c>
    </row>
    <row r="2292">
      <c r="A2292" t="inlineStr">
        <is>
          <t>SW-DAMPER-553-GEAR</t>
        </is>
      </c>
      <c r="B2292" t="inlineStr">
        <is>
          <t>SW-DAMPER-553</t>
        </is>
      </c>
      <c r="C2292" t="inlineStr">
        <is>
          <t>Bánh răng van nhôm</t>
        </is>
      </c>
      <c r="D2292" t="inlineStr">
        <is>
          <t>PHỤ_KIỆN_VAN</t>
        </is>
      </c>
      <c r="E2292" t="inlineStr">
        <is>
          <t>MAT-DAMPER-BANH-RANG-VAN-NHOM</t>
        </is>
      </c>
      <c r="F2292" t="inlineStr">
        <is>
          <t>Bộ</t>
        </is>
      </c>
      <c r="G2292" s="4" t="n">
        <v>1</v>
      </c>
      <c r="H2292" s="2">
        <f>XLOOKUP(B2292, '00_TONG_HOP_BAO_GIA'!B:B, '00_TONG_HOP_BAO_GIA'!G:G, 1)</f>
        <v/>
      </c>
      <c r="I2292" s="5">
        <f>G2292*H2292</f>
        <v/>
      </c>
      <c r="J2292" s="2">
        <f>XLOOKUP(E2292, '06_BANG_GIA_VAT_TU_AP_DUNG'!B:B, '06_BANG_GIA_VAT_TU_AP_DUNG'!C:C, "LỖI_MÃ_VT")</f>
        <v/>
      </c>
      <c r="K2292" s="2">
        <f>I2292*J2292</f>
        <v/>
      </c>
      <c r="L2292" t="inlineStr">
        <is>
          <t>Cơ cấu liên động bánh răng van</t>
        </is>
      </c>
    </row>
    <row r="2293">
      <c r="A2293" t="inlineStr">
        <is>
          <t>SW-DAMPER-553-FUSE</t>
        </is>
      </c>
      <c r="B2293" t="inlineStr">
        <is>
          <t>SW-DAMPER-553</t>
        </is>
      </c>
      <c r="C2293" t="inlineStr">
        <is>
          <t>Cầu chì nhiệt nóng chảy 70°C (Elsie/USA)</t>
        </is>
      </c>
      <c r="D2293" t="inlineStr">
        <is>
          <t>PHỤ_KIỆN_VAN</t>
        </is>
      </c>
      <c r="E2293" t="inlineStr">
        <is>
          <t>MAT-DAMPER-CAU-CHI-USA-2-400X400</t>
        </is>
      </c>
      <c r="F2293" t="inlineStr">
        <is>
          <t>Cái</t>
        </is>
      </c>
      <c r="G2293" s="4" t="n">
        <v>1</v>
      </c>
      <c r="H2293" s="2">
        <f>XLOOKUP(B2293, '00_TONG_HOP_BAO_GIA'!B:B, '00_TONG_HOP_BAO_GIA'!G:G, 1)</f>
        <v/>
      </c>
      <c r="I2293" s="5">
        <f>G2293*H2293</f>
        <v/>
      </c>
      <c r="J2293" s="2">
        <f>XLOOKUP(E2293, '06_BANG_GIA_VAT_TU_AP_DUNG'!B:B, '06_BANG_GIA_VAT_TU_AP_DUNG'!C:C, "LỖI_MÃ_VT")</f>
        <v/>
      </c>
      <c r="K2293" s="2">
        <f>I2293*J2293</f>
        <v/>
      </c>
      <c r="L2293" t="inlineStr">
        <is>
          <t>Cầu chì kiểm định PCCC</t>
        </is>
      </c>
    </row>
    <row r="2294">
      <c r="A2294" t="inlineStr">
        <is>
          <t>SW-DAMPER-554-BODY</t>
        </is>
      </c>
      <c r="B2294" t="inlineStr">
        <is>
          <t>SW-DAMPER-554</t>
        </is>
      </c>
      <c r="C2294" t="inlineStr">
        <is>
          <t>Thân vỏ van FD bích TDF (0.95mm)</t>
        </is>
      </c>
      <c r="D2294" t="inlineStr">
        <is>
          <t>TÔN_CUỘN_MẠ_KẼM</t>
        </is>
      </c>
      <c r="E2294" t="inlineStr">
        <is>
          <t>MAT-STEEL-PN-0.95</t>
        </is>
      </c>
      <c r="F2294" t="inlineStr">
        <is>
          <t>kg</t>
        </is>
      </c>
      <c r="G2294" s="4" t="n">
        <v>5.6128128</v>
      </c>
      <c r="H2294" s="2">
        <f>XLOOKUP(B2294, '00_TONG_HOP_BAO_GIA'!B:B, '00_TONG_HOP_BAO_GIA'!G:G, 1)</f>
        <v/>
      </c>
      <c r="I2294" s="5">
        <f>G2294*H2294</f>
        <v/>
      </c>
      <c r="J2294" s="2">
        <f>XLOOKUP(E2294, '06_BANG_GIA_VAT_TU_AP_DUNG'!B:B, '06_BANG_GIA_VAT_TU_AP_DUNG'!C:C, "LỖI_MÃ_VT")</f>
        <v/>
      </c>
      <c r="K2294" s="2">
        <f>I2294*J2294</f>
        <v/>
      </c>
      <c r="L2294" t="inlineStr">
        <is>
          <t>Kích thước vỏ 900.0x200.0x250mm</t>
        </is>
      </c>
    </row>
    <row r="2295">
      <c r="A2295" t="inlineStr">
        <is>
          <t>SW-DAMPER-554-BLADE</t>
        </is>
      </c>
      <c r="B2295" t="inlineStr">
        <is>
          <t>SW-DAMPER-554</t>
        </is>
      </c>
      <c r="C2295" t="inlineStr">
        <is>
          <t>Lá cánh van (2 cánh overlap)</t>
        </is>
      </c>
      <c r="D2295" t="inlineStr">
        <is>
          <t>TÔN_CUỘN_MẠ_KẼM</t>
        </is>
      </c>
      <c r="E2295" t="inlineStr">
        <is>
          <t>MAT-STEEL-PN-0.75</t>
        </is>
      </c>
      <c r="F2295" t="inlineStr">
        <is>
          <t>kg</t>
        </is>
      </c>
      <c r="G2295" s="4" t="n">
        <v>1.373436</v>
      </c>
      <c r="H2295" s="2">
        <f>XLOOKUP(B2295, '00_TONG_HOP_BAO_GIA'!B:B, '00_TONG_HOP_BAO_GIA'!G:G, 1)</f>
        <v/>
      </c>
      <c r="I2295" s="5">
        <f>G2295*H2295</f>
        <v/>
      </c>
      <c r="J2295" s="2">
        <f>XLOOKUP(E2295, '06_BANG_GIA_VAT_TU_AP_DUNG'!B:B, '06_BANG_GIA_VAT_TU_AP_DUNG'!C:C, "LỖI_MÃ_VT")</f>
        <v/>
      </c>
      <c r="K2295" s="2">
        <f>I2295*J2295</f>
        <v/>
      </c>
      <c r="L2295" t="inlineStr">
        <is>
          <t>2 cánh cao 120mm</t>
        </is>
      </c>
    </row>
    <row r="2296">
      <c r="A2296" t="inlineStr">
        <is>
          <t>SW-DAMPER-554-AXLE</t>
        </is>
      </c>
      <c r="B2296" t="inlineStr">
        <is>
          <t>SW-DAMPER-554</t>
        </is>
      </c>
      <c r="C2296" t="inlineStr">
        <is>
          <t>Trục Sus 201 D10</t>
        </is>
      </c>
      <c r="D2296" t="inlineStr">
        <is>
          <t>PHỤ_KIỆN_VAN</t>
        </is>
      </c>
      <c r="E2296" t="inlineStr">
        <is>
          <t>MAT-DAMPER-TRUC-SUS-201-D10</t>
        </is>
      </c>
      <c r="F2296" t="inlineStr">
        <is>
          <t>m</t>
        </is>
      </c>
      <c r="G2296" s="4" t="n">
        <v>1.92</v>
      </c>
      <c r="H2296" s="2">
        <f>XLOOKUP(B2296, '00_TONG_HOP_BAO_GIA'!B:B, '00_TONG_HOP_BAO_GIA'!G:G, 1)</f>
        <v/>
      </c>
      <c r="I2296" s="5">
        <f>G2296*H2296</f>
        <v/>
      </c>
      <c r="J2296" s="2">
        <f>XLOOKUP(E2296, '06_BANG_GIA_VAT_TU_AP_DUNG'!B:B, '06_BANG_GIA_VAT_TU_AP_DUNG'!C:C, "LỖI_MÃ_VT")</f>
        <v/>
      </c>
      <c r="K2296" s="2">
        <f>I2296*J2296</f>
        <v/>
      </c>
      <c r="L2296" t="inlineStr">
        <is>
          <t>2 trục dài 960mm</t>
        </is>
      </c>
    </row>
    <row r="2297">
      <c r="A2297" t="inlineStr">
        <is>
          <t>SW-DAMPER-554-BEARING</t>
        </is>
      </c>
      <c r="B2297" t="inlineStr">
        <is>
          <t>SW-DAMPER-554</t>
        </is>
      </c>
      <c r="C2297" t="inlineStr">
        <is>
          <t>Bạc đồng D10</t>
        </is>
      </c>
      <c r="D2297" t="inlineStr">
        <is>
          <t>PHỤ_KIỆN_VAN</t>
        </is>
      </c>
      <c r="E2297" t="inlineStr">
        <is>
          <t>MAT-DAMPER-BAC-DONG-D10</t>
        </is>
      </c>
      <c r="F2297" t="inlineStr">
        <is>
          <t>Đôi</t>
        </is>
      </c>
      <c r="G2297" s="4" t="n">
        <v>2</v>
      </c>
      <c r="H2297" s="2">
        <f>XLOOKUP(B2297, '00_TONG_HOP_BAO_GIA'!B:B, '00_TONG_HOP_BAO_GIA'!G:G, 1)</f>
        <v/>
      </c>
      <c r="I2297" s="5">
        <f>G2297*H2297</f>
        <v/>
      </c>
      <c r="J2297" s="2">
        <f>XLOOKUP(E2297, '06_BANG_GIA_VAT_TU_AP_DUNG'!B:B, '06_BANG_GIA_VAT_TU_AP_DUNG'!C:C, "LỖI_MÃ_VT")</f>
        <v/>
      </c>
      <c r="K2297" s="2">
        <f>I2297*J2297</f>
        <v/>
      </c>
      <c r="L2297" t="inlineStr">
        <is>
          <t>2 đôi bạc đỡ 2 bên thân</t>
        </is>
      </c>
    </row>
    <row r="2298">
      <c r="A2298" t="inlineStr">
        <is>
          <t>SW-DAMPER-554-GEAR</t>
        </is>
      </c>
      <c r="B2298" t="inlineStr">
        <is>
          <t>SW-DAMPER-554</t>
        </is>
      </c>
      <c r="C2298" t="inlineStr">
        <is>
          <t>Bánh răng van nhôm</t>
        </is>
      </c>
      <c r="D2298" t="inlineStr">
        <is>
          <t>PHỤ_KIỆN_VAN</t>
        </is>
      </c>
      <c r="E2298" t="inlineStr">
        <is>
          <t>MAT-DAMPER-BANH-RANG-VAN-NHOM</t>
        </is>
      </c>
      <c r="F2298" t="inlineStr">
        <is>
          <t>Bộ</t>
        </is>
      </c>
      <c r="G2298" s="4" t="n">
        <v>1</v>
      </c>
      <c r="H2298" s="2">
        <f>XLOOKUP(B2298, '00_TONG_HOP_BAO_GIA'!B:B, '00_TONG_HOP_BAO_GIA'!G:G, 1)</f>
        <v/>
      </c>
      <c r="I2298" s="5">
        <f>G2298*H2298</f>
        <v/>
      </c>
      <c r="J2298" s="2">
        <f>XLOOKUP(E2298, '06_BANG_GIA_VAT_TU_AP_DUNG'!B:B, '06_BANG_GIA_VAT_TU_AP_DUNG'!C:C, "LỖI_MÃ_VT")</f>
        <v/>
      </c>
      <c r="K2298" s="2">
        <f>I2298*J2298</f>
        <v/>
      </c>
      <c r="L2298" t="inlineStr">
        <is>
          <t>Cơ cấu liên động bánh răng van</t>
        </is>
      </c>
    </row>
    <row r="2299">
      <c r="A2299" t="inlineStr">
        <is>
          <t>SW-DAMPER-554-FUSE</t>
        </is>
      </c>
      <c r="B2299" t="inlineStr">
        <is>
          <t>SW-DAMPER-554</t>
        </is>
      </c>
      <c r="C2299" t="inlineStr">
        <is>
          <t>Cầu chì nhiệt nóng chảy 70°C (Elsie/USA)</t>
        </is>
      </c>
      <c r="D2299" t="inlineStr">
        <is>
          <t>PHỤ_KIỆN_VAN</t>
        </is>
      </c>
      <c r="E2299" t="inlineStr">
        <is>
          <t>MAT-DAMPER-CAU-CHI-USA-2-400X400</t>
        </is>
      </c>
      <c r="F2299" t="inlineStr">
        <is>
          <t>Cái</t>
        </is>
      </c>
      <c r="G2299" s="4" t="n">
        <v>1</v>
      </c>
      <c r="H2299" s="2">
        <f>XLOOKUP(B2299, '00_TONG_HOP_BAO_GIA'!B:B, '00_TONG_HOP_BAO_GIA'!G:G, 1)</f>
        <v/>
      </c>
      <c r="I2299" s="5">
        <f>G2299*H2299</f>
        <v/>
      </c>
      <c r="J2299" s="2">
        <f>XLOOKUP(E2299, '06_BANG_GIA_VAT_TU_AP_DUNG'!B:B, '06_BANG_GIA_VAT_TU_AP_DUNG'!C:C, "LỖI_MÃ_VT")</f>
        <v/>
      </c>
      <c r="K2299" s="2">
        <f>I2299*J2299</f>
        <v/>
      </c>
      <c r="L2299" t="inlineStr">
        <is>
          <t>Cầu chì kiểm định PCCC</t>
        </is>
      </c>
    </row>
    <row r="2300">
      <c r="A2300" t="inlineStr">
        <is>
          <t>SW-DAMPER-555-BODY</t>
        </is>
      </c>
      <c r="B2300" t="inlineStr">
        <is>
          <t>SW-DAMPER-555</t>
        </is>
      </c>
      <c r="C2300" t="inlineStr">
        <is>
          <t>Thân vỏ van FD bích TDF (0.95mm)</t>
        </is>
      </c>
      <c r="D2300" t="inlineStr">
        <is>
          <t>TÔN_CUỘN_MẠ_KẼM</t>
        </is>
      </c>
      <c r="E2300" t="inlineStr">
        <is>
          <t>MAT-STEEL-PN-0.95</t>
        </is>
      </c>
      <c r="F2300" t="inlineStr">
        <is>
          <t>kg</t>
        </is>
      </c>
      <c r="G2300" s="4" t="n">
        <v>8.118532800000002</v>
      </c>
      <c r="H2300" s="2">
        <f>XLOOKUP(B2300, '00_TONG_HOP_BAO_GIA'!B:B, '00_TONG_HOP_BAO_GIA'!G:G, 1)</f>
        <v/>
      </c>
      <c r="I2300" s="5">
        <f>G2300*H2300</f>
        <v/>
      </c>
      <c r="J2300" s="2">
        <f>XLOOKUP(E2300, '06_BANG_GIA_VAT_TU_AP_DUNG'!B:B, '06_BANG_GIA_VAT_TU_AP_DUNG'!C:C, "LỖI_MÃ_VT")</f>
        <v/>
      </c>
      <c r="K2300" s="2">
        <f>I2300*J2300</f>
        <v/>
      </c>
      <c r="L2300" t="inlineStr">
        <is>
          <t>Kích thước vỏ 1000.0x600.0x250mm</t>
        </is>
      </c>
    </row>
    <row r="2301">
      <c r="A2301" t="inlineStr">
        <is>
          <t>SW-DAMPER-555-BLADE</t>
        </is>
      </c>
      <c r="B2301" t="inlineStr">
        <is>
          <t>SW-DAMPER-555</t>
        </is>
      </c>
      <c r="C2301" t="inlineStr">
        <is>
          <t>Lá cánh van (4 cánh overlap)</t>
        </is>
      </c>
      <c r="D2301" t="inlineStr">
        <is>
          <t>TÔN_CUỘN_MẠ_KẼM</t>
        </is>
      </c>
      <c r="E2301" t="inlineStr">
        <is>
          <t>MAT-STEEL-PN-0.75</t>
        </is>
      </c>
      <c r="F2301" t="inlineStr">
        <is>
          <t>kg</t>
        </is>
      </c>
      <c r="G2301" s="4" t="n">
        <v>4.32378</v>
      </c>
      <c r="H2301" s="2">
        <f>XLOOKUP(B2301, '00_TONG_HOP_BAO_GIA'!B:B, '00_TONG_HOP_BAO_GIA'!G:G, 1)</f>
        <v/>
      </c>
      <c r="I2301" s="5">
        <f>G2301*H2301</f>
        <v/>
      </c>
      <c r="J2301" s="2">
        <f>XLOOKUP(E2301, '06_BANG_GIA_VAT_TU_AP_DUNG'!B:B, '06_BANG_GIA_VAT_TU_AP_DUNG'!C:C, "LỖI_MÃ_VT")</f>
        <v/>
      </c>
      <c r="K2301" s="2">
        <f>I2301*J2301</f>
        <v/>
      </c>
      <c r="L2301" t="inlineStr">
        <is>
          <t>4 cánh cao 170mm</t>
        </is>
      </c>
    </row>
    <row r="2302">
      <c r="A2302" t="inlineStr">
        <is>
          <t>SW-DAMPER-555-AXLE</t>
        </is>
      </c>
      <c r="B2302" t="inlineStr">
        <is>
          <t>SW-DAMPER-555</t>
        </is>
      </c>
      <c r="C2302" t="inlineStr">
        <is>
          <t>Trục Sus 201 D10</t>
        </is>
      </c>
      <c r="D2302" t="inlineStr">
        <is>
          <t>PHỤ_KIỆN_VAN</t>
        </is>
      </c>
      <c r="E2302" t="inlineStr">
        <is>
          <t>MAT-DAMPER-TRUC-SUS-201-D10</t>
        </is>
      </c>
      <c r="F2302" t="inlineStr">
        <is>
          <t>m</t>
        </is>
      </c>
      <c r="G2302" s="4" t="n">
        <v>4.24</v>
      </c>
      <c r="H2302" s="2">
        <f>XLOOKUP(B2302, '00_TONG_HOP_BAO_GIA'!B:B, '00_TONG_HOP_BAO_GIA'!G:G, 1)</f>
        <v/>
      </c>
      <c r="I2302" s="5">
        <f>G2302*H2302</f>
        <v/>
      </c>
      <c r="J2302" s="2">
        <f>XLOOKUP(E2302, '06_BANG_GIA_VAT_TU_AP_DUNG'!B:B, '06_BANG_GIA_VAT_TU_AP_DUNG'!C:C, "LỖI_MÃ_VT")</f>
        <v/>
      </c>
      <c r="K2302" s="2">
        <f>I2302*J2302</f>
        <v/>
      </c>
      <c r="L2302" t="inlineStr">
        <is>
          <t>4 trục dài 1060mm</t>
        </is>
      </c>
    </row>
    <row r="2303">
      <c r="A2303" t="inlineStr">
        <is>
          <t>SW-DAMPER-555-BEARING</t>
        </is>
      </c>
      <c r="B2303" t="inlineStr">
        <is>
          <t>SW-DAMPER-555</t>
        </is>
      </c>
      <c r="C2303" t="inlineStr">
        <is>
          <t>Bạc đồng D10</t>
        </is>
      </c>
      <c r="D2303" t="inlineStr">
        <is>
          <t>PHỤ_KIỆN_VAN</t>
        </is>
      </c>
      <c r="E2303" t="inlineStr">
        <is>
          <t>MAT-DAMPER-BAC-DONG-D10</t>
        </is>
      </c>
      <c r="F2303" t="inlineStr">
        <is>
          <t>Đôi</t>
        </is>
      </c>
      <c r="G2303" s="4" t="n">
        <v>4</v>
      </c>
      <c r="H2303" s="2">
        <f>XLOOKUP(B2303, '00_TONG_HOP_BAO_GIA'!B:B, '00_TONG_HOP_BAO_GIA'!G:G, 1)</f>
        <v/>
      </c>
      <c r="I2303" s="5">
        <f>G2303*H2303</f>
        <v/>
      </c>
      <c r="J2303" s="2">
        <f>XLOOKUP(E2303, '06_BANG_GIA_VAT_TU_AP_DUNG'!B:B, '06_BANG_GIA_VAT_TU_AP_DUNG'!C:C, "LỖI_MÃ_VT")</f>
        <v/>
      </c>
      <c r="K2303" s="2">
        <f>I2303*J2303</f>
        <v/>
      </c>
      <c r="L2303" t="inlineStr">
        <is>
          <t>4 đôi bạc đỡ 2 bên thân</t>
        </is>
      </c>
    </row>
    <row r="2304">
      <c r="A2304" t="inlineStr">
        <is>
          <t>SW-DAMPER-555-GEAR</t>
        </is>
      </c>
      <c r="B2304" t="inlineStr">
        <is>
          <t>SW-DAMPER-555</t>
        </is>
      </c>
      <c r="C2304" t="inlineStr">
        <is>
          <t>Bánh răng van nhôm</t>
        </is>
      </c>
      <c r="D2304" t="inlineStr">
        <is>
          <t>PHỤ_KIỆN_VAN</t>
        </is>
      </c>
      <c r="E2304" t="inlineStr">
        <is>
          <t>MAT-DAMPER-BANH-RANG-VAN-NHOM</t>
        </is>
      </c>
      <c r="F2304" t="inlineStr">
        <is>
          <t>Bộ</t>
        </is>
      </c>
      <c r="G2304" s="4" t="n">
        <v>1</v>
      </c>
      <c r="H2304" s="2">
        <f>XLOOKUP(B2304, '00_TONG_HOP_BAO_GIA'!B:B, '00_TONG_HOP_BAO_GIA'!G:G, 1)</f>
        <v/>
      </c>
      <c r="I2304" s="5">
        <f>G2304*H2304</f>
        <v/>
      </c>
      <c r="J2304" s="2">
        <f>XLOOKUP(E2304, '06_BANG_GIA_VAT_TU_AP_DUNG'!B:B, '06_BANG_GIA_VAT_TU_AP_DUNG'!C:C, "LỖI_MÃ_VT")</f>
        <v/>
      </c>
      <c r="K2304" s="2">
        <f>I2304*J2304</f>
        <v/>
      </c>
      <c r="L2304" t="inlineStr">
        <is>
          <t>Cơ cấu liên động bánh răng van</t>
        </is>
      </c>
    </row>
    <row r="2305">
      <c r="A2305" t="inlineStr">
        <is>
          <t>SW-DAMPER-555-FUSE</t>
        </is>
      </c>
      <c r="B2305" t="inlineStr">
        <is>
          <t>SW-DAMPER-555</t>
        </is>
      </c>
      <c r="C2305" t="inlineStr">
        <is>
          <t>Cầu chì nhiệt nóng chảy 70°C (Elsie/USA)</t>
        </is>
      </c>
      <c r="D2305" t="inlineStr">
        <is>
          <t>PHỤ_KIỆN_VAN</t>
        </is>
      </c>
      <c r="E2305" t="inlineStr">
        <is>
          <t>MAT-DAMPER-CAU-CHI-USA-2-400X400</t>
        </is>
      </c>
      <c r="F2305" t="inlineStr">
        <is>
          <t>Cái</t>
        </is>
      </c>
      <c r="G2305" s="4" t="n">
        <v>1</v>
      </c>
      <c r="H2305" s="2">
        <f>XLOOKUP(B2305, '00_TONG_HOP_BAO_GIA'!B:B, '00_TONG_HOP_BAO_GIA'!G:G, 1)</f>
        <v/>
      </c>
      <c r="I2305" s="5">
        <f>G2305*H2305</f>
        <v/>
      </c>
      <c r="J2305" s="2">
        <f>XLOOKUP(E2305, '06_BANG_GIA_VAT_TU_AP_DUNG'!B:B, '06_BANG_GIA_VAT_TU_AP_DUNG'!C:C, "LỖI_MÃ_VT")</f>
        <v/>
      </c>
      <c r="K2305" s="2">
        <f>I2305*J2305</f>
        <v/>
      </c>
      <c r="L2305" t="inlineStr">
        <is>
          <t>Cầu chì kiểm định PCCC</t>
        </is>
      </c>
    </row>
    <row r="2306">
      <c r="A2306" t="inlineStr">
        <is>
          <t>SW-DAMPER-556-BODY</t>
        </is>
      </c>
      <c r="B2306" t="inlineStr">
        <is>
          <t>SW-DAMPER-556</t>
        </is>
      </c>
      <c r="C2306" t="inlineStr">
        <is>
          <t>Thân vỏ van FD bích TDF (0.95mm)</t>
        </is>
      </c>
      <c r="D2306" t="inlineStr">
        <is>
          <t>TÔN_CUỘN_MẠ_KẼM</t>
        </is>
      </c>
      <c r="E2306" t="inlineStr">
        <is>
          <t>MAT-STEEL-PN-0.95</t>
        </is>
      </c>
      <c r="F2306" t="inlineStr">
        <is>
          <t>kg</t>
        </is>
      </c>
      <c r="G2306" s="4" t="n">
        <v>9.120820800000001</v>
      </c>
      <c r="H2306" s="2">
        <f>XLOOKUP(B2306, '00_TONG_HOP_BAO_GIA'!B:B, '00_TONG_HOP_BAO_GIA'!G:G, 1)</f>
        <v/>
      </c>
      <c r="I2306" s="5">
        <f>G2306*H2306</f>
        <v/>
      </c>
      <c r="J2306" s="2">
        <f>XLOOKUP(E2306, '06_BANG_GIA_VAT_TU_AP_DUNG'!B:B, '06_BANG_GIA_VAT_TU_AP_DUNG'!C:C, "LỖI_MÃ_VT")</f>
        <v/>
      </c>
      <c r="K2306" s="2">
        <f>I2306*J2306</f>
        <v/>
      </c>
      <c r="L2306" t="inlineStr">
        <is>
          <t>Kích thước vỏ 1000.0x800.0x250mm</t>
        </is>
      </c>
    </row>
    <row r="2307">
      <c r="A2307" t="inlineStr">
        <is>
          <t>SW-DAMPER-556-BLADE</t>
        </is>
      </c>
      <c r="B2307" t="inlineStr">
        <is>
          <t>SW-DAMPER-556</t>
        </is>
      </c>
      <c r="C2307" t="inlineStr">
        <is>
          <t>Lá cánh van (5 cánh overlap)</t>
        </is>
      </c>
      <c r="D2307" t="inlineStr">
        <is>
          <t>TÔN_CUỘN_MẠ_KẼM</t>
        </is>
      </c>
      <c r="E2307" t="inlineStr">
        <is>
          <t>MAT-STEEL-PN-0.75</t>
        </is>
      </c>
      <c r="F2307" t="inlineStr">
        <is>
          <t>kg</t>
        </is>
      </c>
      <c r="G2307" s="4" t="n">
        <v>5.722649999999999</v>
      </c>
      <c r="H2307" s="2">
        <f>XLOOKUP(B2307, '00_TONG_HOP_BAO_GIA'!B:B, '00_TONG_HOP_BAO_GIA'!G:G, 1)</f>
        <v/>
      </c>
      <c r="I2307" s="5">
        <f>G2307*H2307</f>
        <v/>
      </c>
      <c r="J2307" s="2">
        <f>XLOOKUP(E2307, '06_BANG_GIA_VAT_TU_AP_DUNG'!B:B, '06_BANG_GIA_VAT_TU_AP_DUNG'!C:C, "LỖI_MÃ_VT")</f>
        <v/>
      </c>
      <c r="K2307" s="2">
        <f>I2307*J2307</f>
        <v/>
      </c>
      <c r="L2307" t="inlineStr">
        <is>
          <t>5 cánh cao 180mm</t>
        </is>
      </c>
    </row>
    <row r="2308">
      <c r="A2308" t="inlineStr">
        <is>
          <t>SW-DAMPER-556-AXLE</t>
        </is>
      </c>
      <c r="B2308" t="inlineStr">
        <is>
          <t>SW-DAMPER-556</t>
        </is>
      </c>
      <c r="C2308" t="inlineStr">
        <is>
          <t>Trục Sus 201 D10</t>
        </is>
      </c>
      <c r="D2308" t="inlineStr">
        <is>
          <t>PHỤ_KIỆN_VAN</t>
        </is>
      </c>
      <c r="E2308" t="inlineStr">
        <is>
          <t>MAT-DAMPER-TRUC-SUS-201-D10</t>
        </is>
      </c>
      <c r="F2308" t="inlineStr">
        <is>
          <t>m</t>
        </is>
      </c>
      <c r="G2308" s="4" t="n">
        <v>5.300000000000001</v>
      </c>
      <c r="H2308" s="2">
        <f>XLOOKUP(B2308, '00_TONG_HOP_BAO_GIA'!B:B, '00_TONG_HOP_BAO_GIA'!G:G, 1)</f>
        <v/>
      </c>
      <c r="I2308" s="5">
        <f>G2308*H2308</f>
        <v/>
      </c>
      <c r="J2308" s="2">
        <f>XLOOKUP(E2308, '06_BANG_GIA_VAT_TU_AP_DUNG'!B:B, '06_BANG_GIA_VAT_TU_AP_DUNG'!C:C, "LỖI_MÃ_VT")</f>
        <v/>
      </c>
      <c r="K2308" s="2">
        <f>I2308*J2308</f>
        <v/>
      </c>
      <c r="L2308" t="inlineStr">
        <is>
          <t>5 trục dài 1060mm</t>
        </is>
      </c>
    </row>
    <row r="2309">
      <c r="A2309" t="inlineStr">
        <is>
          <t>SW-DAMPER-556-BEARING</t>
        </is>
      </c>
      <c r="B2309" t="inlineStr">
        <is>
          <t>SW-DAMPER-556</t>
        </is>
      </c>
      <c r="C2309" t="inlineStr">
        <is>
          <t>Bạc đồng D10</t>
        </is>
      </c>
      <c r="D2309" t="inlineStr">
        <is>
          <t>PHỤ_KIỆN_VAN</t>
        </is>
      </c>
      <c r="E2309" t="inlineStr">
        <is>
          <t>MAT-DAMPER-BAC-DONG-D10</t>
        </is>
      </c>
      <c r="F2309" t="inlineStr">
        <is>
          <t>Đôi</t>
        </is>
      </c>
      <c r="G2309" s="4" t="n">
        <v>5</v>
      </c>
      <c r="H2309" s="2">
        <f>XLOOKUP(B2309, '00_TONG_HOP_BAO_GIA'!B:B, '00_TONG_HOP_BAO_GIA'!G:G, 1)</f>
        <v/>
      </c>
      <c r="I2309" s="5">
        <f>G2309*H2309</f>
        <v/>
      </c>
      <c r="J2309" s="2">
        <f>XLOOKUP(E2309, '06_BANG_GIA_VAT_TU_AP_DUNG'!B:B, '06_BANG_GIA_VAT_TU_AP_DUNG'!C:C, "LỖI_MÃ_VT")</f>
        <v/>
      </c>
      <c r="K2309" s="2">
        <f>I2309*J2309</f>
        <v/>
      </c>
      <c r="L2309" t="inlineStr">
        <is>
          <t>5 đôi bạc đỡ 2 bên thân</t>
        </is>
      </c>
    </row>
    <row r="2310">
      <c r="A2310" t="inlineStr">
        <is>
          <t>SW-DAMPER-556-GEAR</t>
        </is>
      </c>
      <c r="B2310" t="inlineStr">
        <is>
          <t>SW-DAMPER-556</t>
        </is>
      </c>
      <c r="C2310" t="inlineStr">
        <is>
          <t>Bánh răng van nhôm</t>
        </is>
      </c>
      <c r="D2310" t="inlineStr">
        <is>
          <t>PHỤ_KIỆN_VAN</t>
        </is>
      </c>
      <c r="E2310" t="inlineStr">
        <is>
          <t>MAT-DAMPER-BANH-RANG-VAN-NHOM</t>
        </is>
      </c>
      <c r="F2310" t="inlineStr">
        <is>
          <t>Bộ</t>
        </is>
      </c>
      <c r="G2310" s="4" t="n">
        <v>1</v>
      </c>
      <c r="H2310" s="2">
        <f>XLOOKUP(B2310, '00_TONG_HOP_BAO_GIA'!B:B, '00_TONG_HOP_BAO_GIA'!G:G, 1)</f>
        <v/>
      </c>
      <c r="I2310" s="5">
        <f>G2310*H2310</f>
        <v/>
      </c>
      <c r="J2310" s="2">
        <f>XLOOKUP(E2310, '06_BANG_GIA_VAT_TU_AP_DUNG'!B:B, '06_BANG_GIA_VAT_TU_AP_DUNG'!C:C, "LỖI_MÃ_VT")</f>
        <v/>
      </c>
      <c r="K2310" s="2">
        <f>I2310*J2310</f>
        <v/>
      </c>
      <c r="L2310" t="inlineStr">
        <is>
          <t>Cơ cấu liên động bánh răng van</t>
        </is>
      </c>
    </row>
    <row r="2311">
      <c r="A2311" t="inlineStr">
        <is>
          <t>SW-DAMPER-556-FUSE</t>
        </is>
      </c>
      <c r="B2311" t="inlineStr">
        <is>
          <t>SW-DAMPER-556</t>
        </is>
      </c>
      <c r="C2311" t="inlineStr">
        <is>
          <t>Cầu chì nhiệt nóng chảy 70°C (Elsie/USA)</t>
        </is>
      </c>
      <c r="D2311" t="inlineStr">
        <is>
          <t>PHỤ_KIỆN_VAN</t>
        </is>
      </c>
      <c r="E2311" t="inlineStr">
        <is>
          <t>MAT-DAMPER-CAU-CHI-USA-2-400X400</t>
        </is>
      </c>
      <c r="F2311" t="inlineStr">
        <is>
          <t>Cái</t>
        </is>
      </c>
      <c r="G2311" s="4" t="n">
        <v>1</v>
      </c>
      <c r="H2311" s="2">
        <f>XLOOKUP(B2311, '00_TONG_HOP_BAO_GIA'!B:B, '00_TONG_HOP_BAO_GIA'!G:G, 1)</f>
        <v/>
      </c>
      <c r="I2311" s="5">
        <f>G2311*H2311</f>
        <v/>
      </c>
      <c r="J2311" s="2">
        <f>XLOOKUP(E2311, '06_BANG_GIA_VAT_TU_AP_DUNG'!B:B, '06_BANG_GIA_VAT_TU_AP_DUNG'!C:C, "LỖI_MÃ_VT")</f>
        <v/>
      </c>
      <c r="K2311" s="2">
        <f>I2311*J2311</f>
        <v/>
      </c>
      <c r="L2311" t="inlineStr">
        <is>
          <t>Cầu chì kiểm định PCCC</t>
        </is>
      </c>
    </row>
    <row r="2312">
      <c r="A2312" t="inlineStr">
        <is>
          <t>SW-DAMPER-557-BODY</t>
        </is>
      </c>
      <c r="B2312" t="inlineStr">
        <is>
          <t>SW-DAMPER-557</t>
        </is>
      </c>
      <c r="C2312" t="inlineStr">
        <is>
          <t>Thân vỏ van FD bích TDF (0.95mm)</t>
        </is>
      </c>
      <c r="D2312" t="inlineStr">
        <is>
          <t>TÔN_CUỘN_MẠ_KẼM</t>
        </is>
      </c>
      <c r="E2312" t="inlineStr">
        <is>
          <t>MAT-STEEL-PN-0.95</t>
        </is>
      </c>
      <c r="F2312" t="inlineStr">
        <is>
          <t>kg</t>
        </is>
      </c>
      <c r="G2312" s="4" t="n">
        <v>9.120820800000001</v>
      </c>
      <c r="H2312" s="2">
        <f>XLOOKUP(B2312, '00_TONG_HOP_BAO_GIA'!B:B, '00_TONG_HOP_BAO_GIA'!G:G, 1)</f>
        <v/>
      </c>
      <c r="I2312" s="5">
        <f>G2312*H2312</f>
        <v/>
      </c>
      <c r="J2312" s="2">
        <f>XLOOKUP(E2312, '06_BANG_GIA_VAT_TU_AP_DUNG'!B:B, '06_BANG_GIA_VAT_TU_AP_DUNG'!C:C, "LỖI_MÃ_VT")</f>
        <v/>
      </c>
      <c r="K2312" s="2">
        <f>I2312*J2312</f>
        <v/>
      </c>
      <c r="L2312" t="inlineStr">
        <is>
          <t>Kích thước vỏ 1000.0x800.0x250mm</t>
        </is>
      </c>
    </row>
    <row r="2313">
      <c r="A2313" t="inlineStr">
        <is>
          <t>SW-DAMPER-557-BLADE</t>
        </is>
      </c>
      <c r="B2313" t="inlineStr">
        <is>
          <t>SW-DAMPER-557</t>
        </is>
      </c>
      <c r="C2313" t="inlineStr">
        <is>
          <t>Lá cánh van (5 cánh overlap)</t>
        </is>
      </c>
      <c r="D2313" t="inlineStr">
        <is>
          <t>TÔN_CUỘN_MẠ_KẼM</t>
        </is>
      </c>
      <c r="E2313" t="inlineStr">
        <is>
          <t>MAT-STEEL-PN-0.75</t>
        </is>
      </c>
      <c r="F2313" t="inlineStr">
        <is>
          <t>kg</t>
        </is>
      </c>
      <c r="G2313" s="4" t="n">
        <v>5.722649999999999</v>
      </c>
      <c r="H2313" s="2">
        <f>XLOOKUP(B2313, '00_TONG_HOP_BAO_GIA'!B:B, '00_TONG_HOP_BAO_GIA'!G:G, 1)</f>
        <v/>
      </c>
      <c r="I2313" s="5">
        <f>G2313*H2313</f>
        <v/>
      </c>
      <c r="J2313" s="2">
        <f>XLOOKUP(E2313, '06_BANG_GIA_VAT_TU_AP_DUNG'!B:B, '06_BANG_GIA_VAT_TU_AP_DUNG'!C:C, "LỖI_MÃ_VT")</f>
        <v/>
      </c>
      <c r="K2313" s="2">
        <f>I2313*J2313</f>
        <v/>
      </c>
      <c r="L2313" t="inlineStr">
        <is>
          <t>5 cánh cao 180mm</t>
        </is>
      </c>
    </row>
    <row r="2314">
      <c r="A2314" t="inlineStr">
        <is>
          <t>SW-DAMPER-557-AXLE</t>
        </is>
      </c>
      <c r="B2314" t="inlineStr">
        <is>
          <t>SW-DAMPER-557</t>
        </is>
      </c>
      <c r="C2314" t="inlineStr">
        <is>
          <t>Trục Sus 201 D10</t>
        </is>
      </c>
      <c r="D2314" t="inlineStr">
        <is>
          <t>PHỤ_KIỆN_VAN</t>
        </is>
      </c>
      <c r="E2314" t="inlineStr">
        <is>
          <t>MAT-DAMPER-TRUC-SUS-201-D10</t>
        </is>
      </c>
      <c r="F2314" t="inlineStr">
        <is>
          <t>m</t>
        </is>
      </c>
      <c r="G2314" s="4" t="n">
        <v>5.300000000000001</v>
      </c>
      <c r="H2314" s="2">
        <f>XLOOKUP(B2314, '00_TONG_HOP_BAO_GIA'!B:B, '00_TONG_HOP_BAO_GIA'!G:G, 1)</f>
        <v/>
      </c>
      <c r="I2314" s="5">
        <f>G2314*H2314</f>
        <v/>
      </c>
      <c r="J2314" s="2">
        <f>XLOOKUP(E2314, '06_BANG_GIA_VAT_TU_AP_DUNG'!B:B, '06_BANG_GIA_VAT_TU_AP_DUNG'!C:C, "LỖI_MÃ_VT")</f>
        <v/>
      </c>
      <c r="K2314" s="2">
        <f>I2314*J2314</f>
        <v/>
      </c>
      <c r="L2314" t="inlineStr">
        <is>
          <t>5 trục dài 1060mm</t>
        </is>
      </c>
    </row>
    <row r="2315">
      <c r="A2315" t="inlineStr">
        <is>
          <t>SW-DAMPER-557-BEARING</t>
        </is>
      </c>
      <c r="B2315" t="inlineStr">
        <is>
          <t>SW-DAMPER-557</t>
        </is>
      </c>
      <c r="C2315" t="inlineStr">
        <is>
          <t>Bạc đồng D10</t>
        </is>
      </c>
      <c r="D2315" t="inlineStr">
        <is>
          <t>PHỤ_KIỆN_VAN</t>
        </is>
      </c>
      <c r="E2315" t="inlineStr">
        <is>
          <t>MAT-DAMPER-BAC-DONG-D10</t>
        </is>
      </c>
      <c r="F2315" t="inlineStr">
        <is>
          <t>Đôi</t>
        </is>
      </c>
      <c r="G2315" s="4" t="n">
        <v>5</v>
      </c>
      <c r="H2315" s="2">
        <f>XLOOKUP(B2315, '00_TONG_HOP_BAO_GIA'!B:B, '00_TONG_HOP_BAO_GIA'!G:G, 1)</f>
        <v/>
      </c>
      <c r="I2315" s="5">
        <f>G2315*H2315</f>
        <v/>
      </c>
      <c r="J2315" s="2">
        <f>XLOOKUP(E2315, '06_BANG_GIA_VAT_TU_AP_DUNG'!B:B, '06_BANG_GIA_VAT_TU_AP_DUNG'!C:C, "LỖI_MÃ_VT")</f>
        <v/>
      </c>
      <c r="K2315" s="2">
        <f>I2315*J2315</f>
        <v/>
      </c>
      <c r="L2315" t="inlineStr">
        <is>
          <t>5 đôi bạc đỡ 2 bên thân</t>
        </is>
      </c>
    </row>
    <row r="2316">
      <c r="A2316" t="inlineStr">
        <is>
          <t>SW-DAMPER-557-GEAR</t>
        </is>
      </c>
      <c r="B2316" t="inlineStr">
        <is>
          <t>SW-DAMPER-557</t>
        </is>
      </c>
      <c r="C2316" t="inlineStr">
        <is>
          <t>Bánh răng van nhôm</t>
        </is>
      </c>
      <c r="D2316" t="inlineStr">
        <is>
          <t>PHỤ_KIỆN_VAN</t>
        </is>
      </c>
      <c r="E2316" t="inlineStr">
        <is>
          <t>MAT-DAMPER-BANH-RANG-VAN-NHOM</t>
        </is>
      </c>
      <c r="F2316" t="inlineStr">
        <is>
          <t>Bộ</t>
        </is>
      </c>
      <c r="G2316" s="4" t="n">
        <v>1</v>
      </c>
      <c r="H2316" s="2">
        <f>XLOOKUP(B2316, '00_TONG_HOP_BAO_GIA'!B:B, '00_TONG_HOP_BAO_GIA'!G:G, 1)</f>
        <v/>
      </c>
      <c r="I2316" s="5">
        <f>G2316*H2316</f>
        <v/>
      </c>
      <c r="J2316" s="2">
        <f>XLOOKUP(E2316, '06_BANG_GIA_VAT_TU_AP_DUNG'!B:B, '06_BANG_GIA_VAT_TU_AP_DUNG'!C:C, "LỖI_MÃ_VT")</f>
        <v/>
      </c>
      <c r="K2316" s="2">
        <f>I2316*J2316</f>
        <v/>
      </c>
      <c r="L2316" t="inlineStr">
        <is>
          <t>Cơ cấu liên động bánh răng van</t>
        </is>
      </c>
    </row>
    <row r="2317">
      <c r="A2317" t="inlineStr">
        <is>
          <t>SW-DAMPER-557-FUSE</t>
        </is>
      </c>
      <c r="B2317" t="inlineStr">
        <is>
          <t>SW-DAMPER-557</t>
        </is>
      </c>
      <c r="C2317" t="inlineStr">
        <is>
          <t>Cầu chì nhiệt nóng chảy 70°C (Elsie/USA)</t>
        </is>
      </c>
      <c r="D2317" t="inlineStr">
        <is>
          <t>PHỤ_KIỆN_VAN</t>
        </is>
      </c>
      <c r="E2317" t="inlineStr">
        <is>
          <t>MAT-DAMPER-CAU-CHI-USA-2-400X400</t>
        </is>
      </c>
      <c r="F2317" t="inlineStr">
        <is>
          <t>Cái</t>
        </is>
      </c>
      <c r="G2317" s="4" t="n">
        <v>1</v>
      </c>
      <c r="H2317" s="2">
        <f>XLOOKUP(B2317, '00_TONG_HOP_BAO_GIA'!B:B, '00_TONG_HOP_BAO_GIA'!G:G, 1)</f>
        <v/>
      </c>
      <c r="I2317" s="5">
        <f>G2317*H2317</f>
        <v/>
      </c>
      <c r="J2317" s="2">
        <f>XLOOKUP(E2317, '06_BANG_GIA_VAT_TU_AP_DUNG'!B:B, '06_BANG_GIA_VAT_TU_AP_DUNG'!C:C, "LỖI_MÃ_VT")</f>
        <v/>
      </c>
      <c r="K2317" s="2">
        <f>I2317*J2317</f>
        <v/>
      </c>
      <c r="L2317" t="inlineStr">
        <is>
          <t>Cầu chì kiểm định PCCC</t>
        </is>
      </c>
    </row>
    <row r="2318">
      <c r="A2318" t="inlineStr">
        <is>
          <t>SW-DAMPER-565-BODY</t>
        </is>
      </c>
      <c r="B2318" t="inlineStr">
        <is>
          <t>SW-DAMPER-565</t>
        </is>
      </c>
      <c r="C2318" t="inlineStr">
        <is>
          <t>Thân vỏ van MD bích TDF (0.75mm)</t>
        </is>
      </c>
      <c r="D2318" t="inlineStr">
        <is>
          <t>TÔN_CUỘN_MẠ_KẼM</t>
        </is>
      </c>
      <c r="E2318" t="inlineStr">
        <is>
          <t>MAT-STEEL-PN-0.75</t>
        </is>
      </c>
      <c r="F2318" t="inlineStr">
        <is>
          <t>kg</t>
        </is>
      </c>
      <c r="G2318" s="4" t="n">
        <v>3.184902</v>
      </c>
      <c r="H2318" s="2">
        <f>XLOOKUP(B2318, '00_TONG_HOP_BAO_GIA'!B:B, '00_TONG_HOP_BAO_GIA'!G:G, 1)</f>
        <v/>
      </c>
      <c r="I2318" s="5">
        <f>G2318*H2318</f>
        <v/>
      </c>
      <c r="J2318" s="2">
        <f>XLOOKUP(E2318, '06_BANG_GIA_VAT_TU_AP_DUNG'!B:B, '06_BANG_GIA_VAT_TU_AP_DUNG'!C:C, "LỖI_MÃ_VT")</f>
        <v/>
      </c>
      <c r="K2318" s="2">
        <f>I2318*J2318</f>
        <v/>
      </c>
      <c r="L2318" t="inlineStr">
        <is>
          <t>Kích thước vỏ 600.0x300.0x210mm</t>
        </is>
      </c>
    </row>
    <row r="2319">
      <c r="A2319" t="inlineStr">
        <is>
          <t>SW-DAMPER-565-BLADE</t>
        </is>
      </c>
      <c r="B2319" t="inlineStr">
        <is>
          <t>SW-DAMPER-565</t>
        </is>
      </c>
      <c r="C2319" t="inlineStr">
        <is>
          <t>Lá cánh van (2 cánh overlap)</t>
        </is>
      </c>
      <c r="D2319" t="inlineStr">
        <is>
          <t>TÔN_CUỘN_MẠ_KẼM</t>
        </is>
      </c>
      <c r="E2319" t="inlineStr">
        <is>
          <t>MAT-STEEL-PN-0.75</t>
        </is>
      </c>
      <c r="F2319" t="inlineStr">
        <is>
          <t>kg</t>
        </is>
      </c>
      <c r="G2319" s="4" t="n">
        <v>1.297134</v>
      </c>
      <c r="H2319" s="2">
        <f>XLOOKUP(B2319, '00_TONG_HOP_BAO_GIA'!B:B, '00_TONG_HOP_BAO_GIA'!G:G, 1)</f>
        <v/>
      </c>
      <c r="I2319" s="5">
        <f>G2319*H2319</f>
        <v/>
      </c>
      <c r="J2319" s="2">
        <f>XLOOKUP(E2319, '06_BANG_GIA_VAT_TU_AP_DUNG'!B:B, '06_BANG_GIA_VAT_TU_AP_DUNG'!C:C, "LỖI_MÃ_VT")</f>
        <v/>
      </c>
      <c r="K2319" s="2">
        <f>I2319*J2319</f>
        <v/>
      </c>
      <c r="L2319" t="inlineStr">
        <is>
          <t>2 cánh cao 170mm</t>
        </is>
      </c>
    </row>
    <row r="2320">
      <c r="A2320" t="inlineStr">
        <is>
          <t>SW-DAMPER-565-AXLE</t>
        </is>
      </c>
      <c r="B2320" t="inlineStr">
        <is>
          <t>SW-DAMPER-565</t>
        </is>
      </c>
      <c r="C2320" t="inlineStr">
        <is>
          <t>Trục Sus 201 D10</t>
        </is>
      </c>
      <c r="D2320" t="inlineStr">
        <is>
          <t>PHỤ_KIỆN_VAN</t>
        </is>
      </c>
      <c r="E2320" t="inlineStr">
        <is>
          <t>MAT-DAMPER-TRUC-SUS-201-D10</t>
        </is>
      </c>
      <c r="F2320" t="inlineStr">
        <is>
          <t>m</t>
        </is>
      </c>
      <c r="G2320" s="4" t="n">
        <v>1.32</v>
      </c>
      <c r="H2320" s="2">
        <f>XLOOKUP(B2320, '00_TONG_HOP_BAO_GIA'!B:B, '00_TONG_HOP_BAO_GIA'!G:G, 1)</f>
        <v/>
      </c>
      <c r="I2320" s="5">
        <f>G2320*H2320</f>
        <v/>
      </c>
      <c r="J2320" s="2">
        <f>XLOOKUP(E2320, '06_BANG_GIA_VAT_TU_AP_DUNG'!B:B, '06_BANG_GIA_VAT_TU_AP_DUNG'!C:C, "LỖI_MÃ_VT")</f>
        <v/>
      </c>
      <c r="K2320" s="2">
        <f>I2320*J2320</f>
        <v/>
      </c>
      <c r="L2320" t="inlineStr">
        <is>
          <t>2 trục dài 660mm</t>
        </is>
      </c>
    </row>
    <row r="2321">
      <c r="A2321" t="inlineStr">
        <is>
          <t>SW-DAMPER-565-BEARING</t>
        </is>
      </c>
      <c r="B2321" t="inlineStr">
        <is>
          <t>SW-DAMPER-565</t>
        </is>
      </c>
      <c r="C2321" t="inlineStr">
        <is>
          <t>Bạc đồng D10</t>
        </is>
      </c>
      <c r="D2321" t="inlineStr">
        <is>
          <t>PHỤ_KIỆN_VAN</t>
        </is>
      </c>
      <c r="E2321" t="inlineStr">
        <is>
          <t>MAT-DAMPER-BAC-DONG-D10</t>
        </is>
      </c>
      <c r="F2321" t="inlineStr">
        <is>
          <t>Đôi</t>
        </is>
      </c>
      <c r="G2321" s="4" t="n">
        <v>2</v>
      </c>
      <c r="H2321" s="2">
        <f>XLOOKUP(B2321, '00_TONG_HOP_BAO_GIA'!B:B, '00_TONG_HOP_BAO_GIA'!G:G, 1)</f>
        <v/>
      </c>
      <c r="I2321" s="5">
        <f>G2321*H2321</f>
        <v/>
      </c>
      <c r="J2321" s="2">
        <f>XLOOKUP(E2321, '06_BANG_GIA_VAT_TU_AP_DUNG'!B:B, '06_BANG_GIA_VAT_TU_AP_DUNG'!C:C, "LỖI_MÃ_VT")</f>
        <v/>
      </c>
      <c r="K2321" s="2">
        <f>I2321*J2321</f>
        <v/>
      </c>
      <c r="L2321" t="inlineStr">
        <is>
          <t>2 đôi bạc đỡ 2 bên thân</t>
        </is>
      </c>
    </row>
    <row r="2322">
      <c r="A2322" t="inlineStr">
        <is>
          <t>SW-DAMPER-565-GEAR</t>
        </is>
      </c>
      <c r="B2322" t="inlineStr">
        <is>
          <t>SW-DAMPER-565</t>
        </is>
      </c>
      <c r="C2322" t="inlineStr">
        <is>
          <t>Bánh răng van nhôm</t>
        </is>
      </c>
      <c r="D2322" t="inlineStr">
        <is>
          <t>PHỤ_KIỆN_VAN</t>
        </is>
      </c>
      <c r="E2322" t="inlineStr">
        <is>
          <t>MAT-DAMPER-BANH-RANG-VAN-NHOM</t>
        </is>
      </c>
      <c r="F2322" t="inlineStr">
        <is>
          <t>Bộ</t>
        </is>
      </c>
      <c r="G2322" s="4" t="n">
        <v>1</v>
      </c>
      <c r="H2322" s="2">
        <f>XLOOKUP(B2322, '00_TONG_HOP_BAO_GIA'!B:B, '00_TONG_HOP_BAO_GIA'!G:G, 1)</f>
        <v/>
      </c>
      <c r="I2322" s="5">
        <f>G2322*H2322</f>
        <v/>
      </c>
      <c r="J2322" s="2">
        <f>XLOOKUP(E2322, '06_BANG_GIA_VAT_TU_AP_DUNG'!B:B, '06_BANG_GIA_VAT_TU_AP_DUNG'!C:C, "LỖI_MÃ_VT")</f>
        <v/>
      </c>
      <c r="K2322" s="2">
        <f>I2322*J2322</f>
        <v/>
      </c>
      <c r="L2322" t="inlineStr">
        <is>
          <t>Cơ cấu liên động bánh răng van</t>
        </is>
      </c>
    </row>
    <row r="2323">
      <c r="A2323" t="inlineStr">
        <is>
          <t>SW-DAMPER-565-ACTUATOR</t>
        </is>
      </c>
      <c r="B2323" t="inlineStr">
        <is>
          <t>SW-DAMPER-565</t>
        </is>
      </c>
      <c r="C2323" t="inlineStr">
        <is>
          <t>Model: NACA 2-05 (5Nm, 220VAC)</t>
        </is>
      </c>
      <c r="D2323" t="inlineStr">
        <is>
          <t>ĐỘNG_CƠ_VÀ_CẢM_BIẾN</t>
        </is>
      </c>
      <c r="E2323" t="inlineStr">
        <is>
          <t>MAT-ACTUATOR-NACA-2-05</t>
        </is>
      </c>
      <c r="F2323" t="inlineStr">
        <is>
          <t>Cái</t>
        </is>
      </c>
      <c r="G2323" s="4" t="n">
        <v>1</v>
      </c>
      <c r="H2323" s="2">
        <f>XLOOKUP(B2323, '00_TONG_HOP_BAO_GIA'!B:B, '00_TONG_HOP_BAO_GIA'!G:G, 1)</f>
        <v/>
      </c>
      <c r="I2323" s="5">
        <f>G2323*H2323</f>
        <v/>
      </c>
      <c r="J2323" s="2">
        <f>XLOOKUP(E2323, '06_BANG_GIA_VAT_TU_AP_DUNG'!B:B, '06_BANG_GIA_VAT_TU_AP_DUNG'!C:C, "LỖI_MÃ_VT")</f>
        <v/>
      </c>
      <c r="K2323" s="2">
        <f>I2323*J2323</f>
        <v/>
      </c>
      <c r="L2323" t="inlineStr">
        <is>
          <t>Tiết diện van 0.18m2</t>
        </is>
      </c>
    </row>
    <row r="2324">
      <c r="A2324" t="inlineStr">
        <is>
          <t>SW-DAMPER-566-BODY</t>
        </is>
      </c>
      <c r="B2324" t="inlineStr">
        <is>
          <t>SW-DAMPER-566</t>
        </is>
      </c>
      <c r="C2324" t="inlineStr">
        <is>
          <t>Thân vỏ van MD bích TDF (0.75mm)</t>
        </is>
      </c>
      <c r="D2324" t="inlineStr">
        <is>
          <t>TÔN_CUỘN_MẠ_KẼM</t>
        </is>
      </c>
      <c r="E2324" t="inlineStr">
        <is>
          <t>MAT-STEEL-PN-0.75</t>
        </is>
      </c>
      <c r="F2324" t="inlineStr">
        <is>
          <t>kg</t>
        </is>
      </c>
      <c r="G2324" s="4" t="n">
        <v>3.7041795</v>
      </c>
      <c r="H2324" s="2">
        <f>XLOOKUP(B2324, '00_TONG_HOP_BAO_GIA'!B:B, '00_TONG_HOP_BAO_GIA'!G:G, 1)</f>
        <v/>
      </c>
      <c r="I2324" s="5">
        <f>G2324*H2324</f>
        <v/>
      </c>
      <c r="J2324" s="2">
        <f>XLOOKUP(E2324, '06_BANG_GIA_VAT_TU_AP_DUNG'!B:B, '06_BANG_GIA_VAT_TU_AP_DUNG'!C:C, "LỖI_MÃ_VT")</f>
        <v/>
      </c>
      <c r="K2324" s="2">
        <f>I2324*J2324</f>
        <v/>
      </c>
      <c r="L2324" t="inlineStr">
        <is>
          <t>Kích thước vỏ 600.0x450.0x210mm</t>
        </is>
      </c>
    </row>
    <row r="2325">
      <c r="A2325" t="inlineStr">
        <is>
          <t>SW-DAMPER-566-BLADE</t>
        </is>
      </c>
      <c r="B2325" t="inlineStr">
        <is>
          <t>SW-DAMPER-566</t>
        </is>
      </c>
      <c r="C2325" t="inlineStr">
        <is>
          <t>Lá cánh van (3 cánh overlap)</t>
        </is>
      </c>
      <c r="D2325" t="inlineStr">
        <is>
          <t>TÔN_CUỘN_MẠ_KẼM</t>
        </is>
      </c>
      <c r="E2325" t="inlineStr">
        <is>
          <t>MAT-STEEL-PN-0.75</t>
        </is>
      </c>
      <c r="F2325" t="inlineStr">
        <is>
          <t>kg</t>
        </is>
      </c>
      <c r="G2325" s="4" t="n">
        <v>1.945701</v>
      </c>
      <c r="H2325" s="2">
        <f>XLOOKUP(B2325, '00_TONG_HOP_BAO_GIA'!B:B, '00_TONG_HOP_BAO_GIA'!G:G, 1)</f>
        <v/>
      </c>
      <c r="I2325" s="5">
        <f>G2325*H2325</f>
        <v/>
      </c>
      <c r="J2325" s="2">
        <f>XLOOKUP(E2325, '06_BANG_GIA_VAT_TU_AP_DUNG'!B:B, '06_BANG_GIA_VAT_TU_AP_DUNG'!C:C, "LỖI_MÃ_VT")</f>
        <v/>
      </c>
      <c r="K2325" s="2">
        <f>I2325*J2325</f>
        <v/>
      </c>
      <c r="L2325" t="inlineStr">
        <is>
          <t>3 cánh cao 170mm</t>
        </is>
      </c>
    </row>
    <row r="2326">
      <c r="A2326" t="inlineStr">
        <is>
          <t>SW-DAMPER-566-AXLE</t>
        </is>
      </c>
      <c r="B2326" t="inlineStr">
        <is>
          <t>SW-DAMPER-566</t>
        </is>
      </c>
      <c r="C2326" t="inlineStr">
        <is>
          <t>Trục Sus 201 D10</t>
        </is>
      </c>
      <c r="D2326" t="inlineStr">
        <is>
          <t>PHỤ_KIỆN_VAN</t>
        </is>
      </c>
      <c r="E2326" t="inlineStr">
        <is>
          <t>MAT-DAMPER-TRUC-SUS-201-D10</t>
        </is>
      </c>
      <c r="F2326" t="inlineStr">
        <is>
          <t>m</t>
        </is>
      </c>
      <c r="G2326" s="4" t="n">
        <v>1.98</v>
      </c>
      <c r="H2326" s="2">
        <f>XLOOKUP(B2326, '00_TONG_HOP_BAO_GIA'!B:B, '00_TONG_HOP_BAO_GIA'!G:G, 1)</f>
        <v/>
      </c>
      <c r="I2326" s="5">
        <f>G2326*H2326</f>
        <v/>
      </c>
      <c r="J2326" s="2">
        <f>XLOOKUP(E2326, '06_BANG_GIA_VAT_TU_AP_DUNG'!B:B, '06_BANG_GIA_VAT_TU_AP_DUNG'!C:C, "LỖI_MÃ_VT")</f>
        <v/>
      </c>
      <c r="K2326" s="2">
        <f>I2326*J2326</f>
        <v/>
      </c>
      <c r="L2326" t="inlineStr">
        <is>
          <t>3 trục dài 660mm</t>
        </is>
      </c>
    </row>
    <row r="2327">
      <c r="A2327" t="inlineStr">
        <is>
          <t>SW-DAMPER-566-BEARING</t>
        </is>
      </c>
      <c r="B2327" t="inlineStr">
        <is>
          <t>SW-DAMPER-566</t>
        </is>
      </c>
      <c r="C2327" t="inlineStr">
        <is>
          <t>Bạc đồng D10</t>
        </is>
      </c>
      <c r="D2327" t="inlineStr">
        <is>
          <t>PHỤ_KIỆN_VAN</t>
        </is>
      </c>
      <c r="E2327" t="inlineStr">
        <is>
          <t>MAT-DAMPER-BAC-DONG-D10</t>
        </is>
      </c>
      <c r="F2327" t="inlineStr">
        <is>
          <t>Đôi</t>
        </is>
      </c>
      <c r="G2327" s="4" t="n">
        <v>3</v>
      </c>
      <c r="H2327" s="2">
        <f>XLOOKUP(B2327, '00_TONG_HOP_BAO_GIA'!B:B, '00_TONG_HOP_BAO_GIA'!G:G, 1)</f>
        <v/>
      </c>
      <c r="I2327" s="5">
        <f>G2327*H2327</f>
        <v/>
      </c>
      <c r="J2327" s="2">
        <f>XLOOKUP(E2327, '06_BANG_GIA_VAT_TU_AP_DUNG'!B:B, '06_BANG_GIA_VAT_TU_AP_DUNG'!C:C, "LỖI_MÃ_VT")</f>
        <v/>
      </c>
      <c r="K2327" s="2">
        <f>I2327*J2327</f>
        <v/>
      </c>
      <c r="L2327" t="inlineStr">
        <is>
          <t>3 đôi bạc đỡ 2 bên thân</t>
        </is>
      </c>
    </row>
    <row r="2328">
      <c r="A2328" t="inlineStr">
        <is>
          <t>SW-DAMPER-566-GEAR</t>
        </is>
      </c>
      <c r="B2328" t="inlineStr">
        <is>
          <t>SW-DAMPER-566</t>
        </is>
      </c>
      <c r="C2328" t="inlineStr">
        <is>
          <t>Bánh răng van nhôm</t>
        </is>
      </c>
      <c r="D2328" t="inlineStr">
        <is>
          <t>PHỤ_KIỆN_VAN</t>
        </is>
      </c>
      <c r="E2328" t="inlineStr">
        <is>
          <t>MAT-DAMPER-BANH-RANG-VAN-NHOM</t>
        </is>
      </c>
      <c r="F2328" t="inlineStr">
        <is>
          <t>Bộ</t>
        </is>
      </c>
      <c r="G2328" s="4" t="n">
        <v>1</v>
      </c>
      <c r="H2328" s="2">
        <f>XLOOKUP(B2328, '00_TONG_HOP_BAO_GIA'!B:B, '00_TONG_HOP_BAO_GIA'!G:G, 1)</f>
        <v/>
      </c>
      <c r="I2328" s="5">
        <f>G2328*H2328</f>
        <v/>
      </c>
      <c r="J2328" s="2">
        <f>XLOOKUP(E2328, '06_BANG_GIA_VAT_TU_AP_DUNG'!B:B, '06_BANG_GIA_VAT_TU_AP_DUNG'!C:C, "LỖI_MÃ_VT")</f>
        <v/>
      </c>
      <c r="K2328" s="2">
        <f>I2328*J2328</f>
        <v/>
      </c>
      <c r="L2328" t="inlineStr">
        <is>
          <t>Cơ cấu liên động bánh răng van</t>
        </is>
      </c>
    </row>
    <row r="2329">
      <c r="A2329" t="inlineStr">
        <is>
          <t>SW-DAMPER-566-ACTUATOR</t>
        </is>
      </c>
      <c r="B2329" t="inlineStr">
        <is>
          <t>SW-DAMPER-566</t>
        </is>
      </c>
      <c r="C2329" t="inlineStr">
        <is>
          <t>Model: NACA 2-05 (5Nm, 220VAC)</t>
        </is>
      </c>
      <c r="D2329" t="inlineStr">
        <is>
          <t>ĐỘNG_CƠ_VÀ_CẢM_BIẾN</t>
        </is>
      </c>
      <c r="E2329" t="inlineStr">
        <is>
          <t>MAT-ACTUATOR-NACA-2-05</t>
        </is>
      </c>
      <c r="F2329" t="inlineStr">
        <is>
          <t>Cái</t>
        </is>
      </c>
      <c r="G2329" s="4" t="n">
        <v>1</v>
      </c>
      <c r="H2329" s="2">
        <f>XLOOKUP(B2329, '00_TONG_HOP_BAO_GIA'!B:B, '00_TONG_HOP_BAO_GIA'!G:G, 1)</f>
        <v/>
      </c>
      <c r="I2329" s="5">
        <f>G2329*H2329</f>
        <v/>
      </c>
      <c r="J2329" s="2">
        <f>XLOOKUP(E2329, '06_BANG_GIA_VAT_TU_AP_DUNG'!B:B, '06_BANG_GIA_VAT_TU_AP_DUNG'!C:C, "LỖI_MÃ_VT")</f>
        <v/>
      </c>
      <c r="K2329" s="2">
        <f>I2329*J2329</f>
        <v/>
      </c>
      <c r="L2329" t="inlineStr">
        <is>
          <t>Tiết diện van 0.27m2</t>
        </is>
      </c>
    </row>
    <row r="2330">
      <c r="A2330" t="inlineStr">
        <is>
          <t>SW-DAMPER-567-BODY</t>
        </is>
      </c>
      <c r="B2330" t="inlineStr">
        <is>
          <t>SW-DAMPER-567</t>
        </is>
      </c>
      <c r="C2330" t="inlineStr">
        <is>
          <t>Thân vỏ van MD bích TDF (0.95mm)</t>
        </is>
      </c>
      <c r="D2330" t="inlineStr">
        <is>
          <t>TÔN_CUỘN_MẠ_KẼM</t>
        </is>
      </c>
      <c r="E2330" t="inlineStr">
        <is>
          <t>MAT-STEEL-PN-0.95</t>
        </is>
      </c>
      <c r="F2330" t="inlineStr">
        <is>
          <t>kg</t>
        </is>
      </c>
      <c r="G2330" s="4" t="n">
        <v>6.6652152</v>
      </c>
      <c r="H2330" s="2">
        <f>XLOOKUP(B2330, '00_TONG_HOP_BAO_GIA'!B:B, '00_TONG_HOP_BAO_GIA'!G:G, 1)</f>
        <v/>
      </c>
      <c r="I2330" s="5">
        <f>G2330*H2330</f>
        <v/>
      </c>
      <c r="J2330" s="2">
        <f>XLOOKUP(E2330, '06_BANG_GIA_VAT_TU_AP_DUNG'!B:B, '06_BANG_GIA_VAT_TU_AP_DUNG'!C:C, "LỖI_MÃ_VT")</f>
        <v/>
      </c>
      <c r="K2330" s="2">
        <f>I2330*J2330</f>
        <v/>
      </c>
      <c r="L2330" t="inlineStr">
        <is>
          <t>Kích thước vỏ 1000.0x500.0x210mm</t>
        </is>
      </c>
    </row>
    <row r="2331">
      <c r="A2331" t="inlineStr">
        <is>
          <t>SW-DAMPER-567-BLADE</t>
        </is>
      </c>
      <c r="B2331" t="inlineStr">
        <is>
          <t>SW-DAMPER-567</t>
        </is>
      </c>
      <c r="C2331" t="inlineStr">
        <is>
          <t>Lá cánh van (3 cánh overlap)</t>
        </is>
      </c>
      <c r="D2331" t="inlineStr">
        <is>
          <t>TÔN_CUỘN_MẠ_KẼM</t>
        </is>
      </c>
      <c r="E2331" t="inlineStr">
        <is>
          <t>MAT-STEEL-PN-0.75</t>
        </is>
      </c>
      <c r="F2331" t="inlineStr">
        <is>
          <t>kg</t>
        </is>
      </c>
      <c r="G2331" s="4" t="n">
        <v>3.56076</v>
      </c>
      <c r="H2331" s="2">
        <f>XLOOKUP(B2331, '00_TONG_HOP_BAO_GIA'!B:B, '00_TONG_HOP_BAO_GIA'!G:G, 1)</f>
        <v/>
      </c>
      <c r="I2331" s="5">
        <f>G2331*H2331</f>
        <v/>
      </c>
      <c r="J2331" s="2">
        <f>XLOOKUP(E2331, '06_BANG_GIA_VAT_TU_AP_DUNG'!B:B, '06_BANG_GIA_VAT_TU_AP_DUNG'!C:C, "LỖI_MÃ_VT")</f>
        <v/>
      </c>
      <c r="K2331" s="2">
        <f>I2331*J2331</f>
        <v/>
      </c>
      <c r="L2331" t="inlineStr">
        <is>
          <t>3 cánh cao 187mm</t>
        </is>
      </c>
    </row>
    <row r="2332">
      <c r="A2332" t="inlineStr">
        <is>
          <t>SW-DAMPER-567-AXLE</t>
        </is>
      </c>
      <c r="B2332" t="inlineStr">
        <is>
          <t>SW-DAMPER-567</t>
        </is>
      </c>
      <c r="C2332" t="inlineStr">
        <is>
          <t>Trục Sus 201 D10</t>
        </is>
      </c>
      <c r="D2332" t="inlineStr">
        <is>
          <t>PHỤ_KIỆN_VAN</t>
        </is>
      </c>
      <c r="E2332" t="inlineStr">
        <is>
          <t>MAT-DAMPER-TRUC-SUS-201-D10</t>
        </is>
      </c>
      <c r="F2332" t="inlineStr">
        <is>
          <t>m</t>
        </is>
      </c>
      <c r="G2332" s="4" t="n">
        <v>3.18</v>
      </c>
      <c r="H2332" s="2">
        <f>XLOOKUP(B2332, '00_TONG_HOP_BAO_GIA'!B:B, '00_TONG_HOP_BAO_GIA'!G:G, 1)</f>
        <v/>
      </c>
      <c r="I2332" s="5">
        <f>G2332*H2332</f>
        <v/>
      </c>
      <c r="J2332" s="2">
        <f>XLOOKUP(E2332, '06_BANG_GIA_VAT_TU_AP_DUNG'!B:B, '06_BANG_GIA_VAT_TU_AP_DUNG'!C:C, "LỖI_MÃ_VT")</f>
        <v/>
      </c>
      <c r="K2332" s="2">
        <f>I2332*J2332</f>
        <v/>
      </c>
      <c r="L2332" t="inlineStr">
        <is>
          <t>3 trục dài 1060mm</t>
        </is>
      </c>
    </row>
    <row r="2333">
      <c r="A2333" t="inlineStr">
        <is>
          <t>SW-DAMPER-567-BEARING</t>
        </is>
      </c>
      <c r="B2333" t="inlineStr">
        <is>
          <t>SW-DAMPER-567</t>
        </is>
      </c>
      <c r="C2333" t="inlineStr">
        <is>
          <t>Bạc đồng D10</t>
        </is>
      </c>
      <c r="D2333" t="inlineStr">
        <is>
          <t>PHỤ_KIỆN_VAN</t>
        </is>
      </c>
      <c r="E2333" t="inlineStr">
        <is>
          <t>MAT-DAMPER-BAC-DONG-D10</t>
        </is>
      </c>
      <c r="F2333" t="inlineStr">
        <is>
          <t>Đôi</t>
        </is>
      </c>
      <c r="G2333" s="4" t="n">
        <v>3</v>
      </c>
      <c r="H2333" s="2">
        <f>XLOOKUP(B2333, '00_TONG_HOP_BAO_GIA'!B:B, '00_TONG_HOP_BAO_GIA'!G:G, 1)</f>
        <v/>
      </c>
      <c r="I2333" s="5">
        <f>G2333*H2333</f>
        <v/>
      </c>
      <c r="J2333" s="2">
        <f>XLOOKUP(E2333, '06_BANG_GIA_VAT_TU_AP_DUNG'!B:B, '06_BANG_GIA_VAT_TU_AP_DUNG'!C:C, "LỖI_MÃ_VT")</f>
        <v/>
      </c>
      <c r="K2333" s="2">
        <f>I2333*J2333</f>
        <v/>
      </c>
      <c r="L2333" t="inlineStr">
        <is>
          <t>3 đôi bạc đỡ 2 bên thân</t>
        </is>
      </c>
    </row>
    <row r="2334">
      <c r="A2334" t="inlineStr">
        <is>
          <t>SW-DAMPER-567-GEAR</t>
        </is>
      </c>
      <c r="B2334" t="inlineStr">
        <is>
          <t>SW-DAMPER-567</t>
        </is>
      </c>
      <c r="C2334" t="inlineStr">
        <is>
          <t>Bánh răng van nhôm</t>
        </is>
      </c>
      <c r="D2334" t="inlineStr">
        <is>
          <t>PHỤ_KIỆN_VAN</t>
        </is>
      </c>
      <c r="E2334" t="inlineStr">
        <is>
          <t>MAT-DAMPER-BANH-RANG-VAN-NHOM</t>
        </is>
      </c>
      <c r="F2334" t="inlineStr">
        <is>
          <t>Bộ</t>
        </is>
      </c>
      <c r="G2334" s="4" t="n">
        <v>1</v>
      </c>
      <c r="H2334" s="2">
        <f>XLOOKUP(B2334, '00_TONG_HOP_BAO_GIA'!B:B, '00_TONG_HOP_BAO_GIA'!G:G, 1)</f>
        <v/>
      </c>
      <c r="I2334" s="5">
        <f>G2334*H2334</f>
        <v/>
      </c>
      <c r="J2334" s="2">
        <f>XLOOKUP(E2334, '06_BANG_GIA_VAT_TU_AP_DUNG'!B:B, '06_BANG_GIA_VAT_TU_AP_DUNG'!C:C, "LỖI_MÃ_VT")</f>
        <v/>
      </c>
      <c r="K2334" s="2">
        <f>I2334*J2334</f>
        <v/>
      </c>
      <c r="L2334" t="inlineStr">
        <is>
          <t>Cơ cấu liên động bánh răng van</t>
        </is>
      </c>
    </row>
    <row r="2335">
      <c r="A2335" t="inlineStr">
        <is>
          <t>SW-DAMPER-567-ACTUATOR</t>
        </is>
      </c>
      <c r="B2335" t="inlineStr">
        <is>
          <t>SW-DAMPER-567</t>
        </is>
      </c>
      <c r="C2335" t="inlineStr">
        <is>
          <t>Model: NACA 2-05 (5Nm, 220VAC)</t>
        </is>
      </c>
      <c r="D2335" t="inlineStr">
        <is>
          <t>ĐỘNG_CƠ_VÀ_CẢM_BIẾN</t>
        </is>
      </c>
      <c r="E2335" t="inlineStr">
        <is>
          <t>MAT-ACTUATOR-NACA-2-05</t>
        </is>
      </c>
      <c r="F2335" t="inlineStr">
        <is>
          <t>Cái</t>
        </is>
      </c>
      <c r="G2335" s="4" t="n">
        <v>1</v>
      </c>
      <c r="H2335" s="2">
        <f>XLOOKUP(B2335, '00_TONG_HOP_BAO_GIA'!B:B, '00_TONG_HOP_BAO_GIA'!G:G, 1)</f>
        <v/>
      </c>
      <c r="I2335" s="5">
        <f>G2335*H2335</f>
        <v/>
      </c>
      <c r="J2335" s="2">
        <f>XLOOKUP(E2335, '06_BANG_GIA_VAT_TU_AP_DUNG'!B:B, '06_BANG_GIA_VAT_TU_AP_DUNG'!C:C, "LỖI_MÃ_VT")</f>
        <v/>
      </c>
      <c r="K2335" s="2">
        <f>I2335*J2335</f>
        <v/>
      </c>
      <c r="L2335" t="inlineStr">
        <is>
          <t>Tiết diện van 0.50m2</t>
        </is>
      </c>
    </row>
    <row r="2336">
      <c r="A2336" t="inlineStr">
        <is>
          <t>SW-DAMPER-568-BODY</t>
        </is>
      </c>
      <c r="B2336" t="inlineStr">
        <is>
          <t>SW-DAMPER-568</t>
        </is>
      </c>
      <c r="C2336" t="inlineStr">
        <is>
          <t>Thân vỏ van MD bích TDF (0.95mm)</t>
        </is>
      </c>
      <c r="D2336" t="inlineStr">
        <is>
          <t>TÔN_CUỘN_MẠ_KẼM</t>
        </is>
      </c>
      <c r="E2336" t="inlineStr">
        <is>
          <t>MAT-STEEL-PN-0.95</t>
        </is>
      </c>
      <c r="F2336" t="inlineStr">
        <is>
          <t>kg</t>
        </is>
      </c>
      <c r="G2336" s="4" t="n">
        <v>7.103716200000001</v>
      </c>
      <c r="H2336" s="2">
        <f>XLOOKUP(B2336, '00_TONG_HOP_BAO_GIA'!B:B, '00_TONG_HOP_BAO_GIA'!G:G, 1)</f>
        <v/>
      </c>
      <c r="I2336" s="5">
        <f>G2336*H2336</f>
        <v/>
      </c>
      <c r="J2336" s="2">
        <f>XLOOKUP(E2336, '06_BANG_GIA_VAT_TU_AP_DUNG'!B:B, '06_BANG_GIA_VAT_TU_AP_DUNG'!C:C, "LỖI_MÃ_VT")</f>
        <v/>
      </c>
      <c r="K2336" s="2">
        <f>I2336*J2336</f>
        <v/>
      </c>
      <c r="L2336" t="inlineStr">
        <is>
          <t>Kích thước vỏ 1000.0x600.0x210mm</t>
        </is>
      </c>
    </row>
    <row r="2337">
      <c r="A2337" t="inlineStr">
        <is>
          <t>SW-DAMPER-568-BLADE</t>
        </is>
      </c>
      <c r="B2337" t="inlineStr">
        <is>
          <t>SW-DAMPER-568</t>
        </is>
      </c>
      <c r="C2337" t="inlineStr">
        <is>
          <t>Lá cánh van (4 cánh overlap)</t>
        </is>
      </c>
      <c r="D2337" t="inlineStr">
        <is>
          <t>TÔN_CUỘN_MẠ_KẼM</t>
        </is>
      </c>
      <c r="E2337" t="inlineStr">
        <is>
          <t>MAT-STEEL-PN-0.75</t>
        </is>
      </c>
      <c r="F2337" t="inlineStr">
        <is>
          <t>kg</t>
        </is>
      </c>
      <c r="G2337" s="4" t="n">
        <v>4.32378</v>
      </c>
      <c r="H2337" s="2">
        <f>XLOOKUP(B2337, '00_TONG_HOP_BAO_GIA'!B:B, '00_TONG_HOP_BAO_GIA'!G:G, 1)</f>
        <v/>
      </c>
      <c r="I2337" s="5">
        <f>G2337*H2337</f>
        <v/>
      </c>
      <c r="J2337" s="2">
        <f>XLOOKUP(E2337, '06_BANG_GIA_VAT_TU_AP_DUNG'!B:B, '06_BANG_GIA_VAT_TU_AP_DUNG'!C:C, "LỖI_MÃ_VT")</f>
        <v/>
      </c>
      <c r="K2337" s="2">
        <f>I2337*J2337</f>
        <v/>
      </c>
      <c r="L2337" t="inlineStr">
        <is>
          <t>4 cánh cao 170mm</t>
        </is>
      </c>
    </row>
    <row r="2338">
      <c r="A2338" t="inlineStr">
        <is>
          <t>SW-DAMPER-568-AXLE</t>
        </is>
      </c>
      <c r="B2338" t="inlineStr">
        <is>
          <t>SW-DAMPER-568</t>
        </is>
      </c>
      <c r="C2338" t="inlineStr">
        <is>
          <t>Trục Sus 201 D10</t>
        </is>
      </c>
      <c r="D2338" t="inlineStr">
        <is>
          <t>PHỤ_KIỆN_VAN</t>
        </is>
      </c>
      <c r="E2338" t="inlineStr">
        <is>
          <t>MAT-DAMPER-TRUC-SUS-201-D10</t>
        </is>
      </c>
      <c r="F2338" t="inlineStr">
        <is>
          <t>m</t>
        </is>
      </c>
      <c r="G2338" s="4" t="n">
        <v>4.24</v>
      </c>
      <c r="H2338" s="2">
        <f>XLOOKUP(B2338, '00_TONG_HOP_BAO_GIA'!B:B, '00_TONG_HOP_BAO_GIA'!G:G, 1)</f>
        <v/>
      </c>
      <c r="I2338" s="5">
        <f>G2338*H2338</f>
        <v/>
      </c>
      <c r="J2338" s="2">
        <f>XLOOKUP(E2338, '06_BANG_GIA_VAT_TU_AP_DUNG'!B:B, '06_BANG_GIA_VAT_TU_AP_DUNG'!C:C, "LỖI_MÃ_VT")</f>
        <v/>
      </c>
      <c r="K2338" s="2">
        <f>I2338*J2338</f>
        <v/>
      </c>
      <c r="L2338" t="inlineStr">
        <is>
          <t>4 trục dài 1060mm</t>
        </is>
      </c>
    </row>
    <row r="2339">
      <c r="A2339" t="inlineStr">
        <is>
          <t>SW-DAMPER-568-BEARING</t>
        </is>
      </c>
      <c r="B2339" t="inlineStr">
        <is>
          <t>SW-DAMPER-568</t>
        </is>
      </c>
      <c r="C2339" t="inlineStr">
        <is>
          <t>Bạc đồng D10</t>
        </is>
      </c>
      <c r="D2339" t="inlineStr">
        <is>
          <t>PHỤ_KIỆN_VAN</t>
        </is>
      </c>
      <c r="E2339" t="inlineStr">
        <is>
          <t>MAT-DAMPER-BAC-DONG-D10</t>
        </is>
      </c>
      <c r="F2339" t="inlineStr">
        <is>
          <t>Đôi</t>
        </is>
      </c>
      <c r="G2339" s="4" t="n">
        <v>4</v>
      </c>
      <c r="H2339" s="2">
        <f>XLOOKUP(B2339, '00_TONG_HOP_BAO_GIA'!B:B, '00_TONG_HOP_BAO_GIA'!G:G, 1)</f>
        <v/>
      </c>
      <c r="I2339" s="5">
        <f>G2339*H2339</f>
        <v/>
      </c>
      <c r="J2339" s="2">
        <f>XLOOKUP(E2339, '06_BANG_GIA_VAT_TU_AP_DUNG'!B:B, '06_BANG_GIA_VAT_TU_AP_DUNG'!C:C, "LỖI_MÃ_VT")</f>
        <v/>
      </c>
      <c r="K2339" s="2">
        <f>I2339*J2339</f>
        <v/>
      </c>
      <c r="L2339" t="inlineStr">
        <is>
          <t>4 đôi bạc đỡ 2 bên thân</t>
        </is>
      </c>
    </row>
    <row r="2340">
      <c r="A2340" t="inlineStr">
        <is>
          <t>SW-DAMPER-568-GEAR</t>
        </is>
      </c>
      <c r="B2340" t="inlineStr">
        <is>
          <t>SW-DAMPER-568</t>
        </is>
      </c>
      <c r="C2340" t="inlineStr">
        <is>
          <t>Bánh răng van nhôm</t>
        </is>
      </c>
      <c r="D2340" t="inlineStr">
        <is>
          <t>PHỤ_KIỆN_VAN</t>
        </is>
      </c>
      <c r="E2340" t="inlineStr">
        <is>
          <t>MAT-DAMPER-BANH-RANG-VAN-NHOM</t>
        </is>
      </c>
      <c r="F2340" t="inlineStr">
        <is>
          <t>Bộ</t>
        </is>
      </c>
      <c r="G2340" s="4" t="n">
        <v>1</v>
      </c>
      <c r="H2340" s="2">
        <f>XLOOKUP(B2340, '00_TONG_HOP_BAO_GIA'!B:B, '00_TONG_HOP_BAO_GIA'!G:G, 1)</f>
        <v/>
      </c>
      <c r="I2340" s="5">
        <f>G2340*H2340</f>
        <v/>
      </c>
      <c r="J2340" s="2">
        <f>XLOOKUP(E2340, '06_BANG_GIA_VAT_TU_AP_DUNG'!B:B, '06_BANG_GIA_VAT_TU_AP_DUNG'!C:C, "LỖI_MÃ_VT")</f>
        <v/>
      </c>
      <c r="K2340" s="2">
        <f>I2340*J2340</f>
        <v/>
      </c>
      <c r="L2340" t="inlineStr">
        <is>
          <t>Cơ cấu liên động bánh răng van</t>
        </is>
      </c>
    </row>
    <row r="2341">
      <c r="A2341" t="inlineStr">
        <is>
          <t>SW-DAMPER-568-ACTUATOR</t>
        </is>
      </c>
      <c r="B2341" t="inlineStr">
        <is>
          <t>SW-DAMPER-568</t>
        </is>
      </c>
      <c r="C2341" t="inlineStr">
        <is>
          <t>Model: NACA 2-10 (10Nm, 220VAC)</t>
        </is>
      </c>
      <c r="D2341" t="inlineStr">
        <is>
          <t>ĐỘNG_CƠ_VÀ_CẢM_BIẾN</t>
        </is>
      </c>
      <c r="E2341" t="inlineStr">
        <is>
          <t>MAT-ACTUATOR-NACA-2-10</t>
        </is>
      </c>
      <c r="F2341" t="inlineStr">
        <is>
          <t>Cái</t>
        </is>
      </c>
      <c r="G2341" s="4" t="n">
        <v>1</v>
      </c>
      <c r="H2341" s="2">
        <f>XLOOKUP(B2341, '00_TONG_HOP_BAO_GIA'!B:B, '00_TONG_HOP_BAO_GIA'!G:G, 1)</f>
        <v/>
      </c>
      <c r="I2341" s="5">
        <f>G2341*H2341</f>
        <v/>
      </c>
      <c r="J2341" s="2">
        <f>XLOOKUP(E2341, '06_BANG_GIA_VAT_TU_AP_DUNG'!B:B, '06_BANG_GIA_VAT_TU_AP_DUNG'!C:C, "LỖI_MÃ_VT")</f>
        <v/>
      </c>
      <c r="K2341" s="2">
        <f>I2341*J2341</f>
        <v/>
      </c>
      <c r="L2341" t="inlineStr">
        <is>
          <t>Tiết diện van 0.60m2</t>
        </is>
      </c>
    </row>
    <row r="2342">
      <c r="A2342" t="inlineStr">
        <is>
          <t>SW-DAMPER-569-BODY</t>
        </is>
      </c>
      <c r="B2342" t="inlineStr">
        <is>
          <t>SW-DAMPER-569</t>
        </is>
      </c>
      <c r="C2342" t="inlineStr">
        <is>
          <t>Thân vỏ van MD bích TDF (0.95mm)</t>
        </is>
      </c>
      <c r="D2342" t="inlineStr">
        <is>
          <t>TÔN_CUỘN_MẠ_KẼM</t>
        </is>
      </c>
      <c r="E2342" t="inlineStr">
        <is>
          <t>MAT-STEEL-PN-0.95</t>
        </is>
      </c>
      <c r="F2342" t="inlineStr">
        <is>
          <t>kg</t>
        </is>
      </c>
      <c r="G2342" s="4" t="n">
        <v>9.296221200000002</v>
      </c>
      <c r="H2342" s="2">
        <f>XLOOKUP(B2342, '00_TONG_HOP_BAO_GIA'!B:B, '00_TONG_HOP_BAO_GIA'!G:G, 1)</f>
        <v/>
      </c>
      <c r="I2342" s="5">
        <f>G2342*H2342</f>
        <v/>
      </c>
      <c r="J2342" s="2">
        <f>XLOOKUP(E2342, '06_BANG_GIA_VAT_TU_AP_DUNG'!B:B, '06_BANG_GIA_VAT_TU_AP_DUNG'!C:C, "LỖI_MÃ_VT")</f>
        <v/>
      </c>
      <c r="K2342" s="2">
        <f>I2342*J2342</f>
        <v/>
      </c>
      <c r="L2342" t="inlineStr">
        <is>
          <t>Kích thước vỏ 1200.0x900.0x210mm</t>
        </is>
      </c>
    </row>
    <row r="2343">
      <c r="A2343" t="inlineStr">
        <is>
          <t>SW-DAMPER-569-BLADE</t>
        </is>
      </c>
      <c r="B2343" t="inlineStr">
        <is>
          <t>SW-DAMPER-569</t>
        </is>
      </c>
      <c r="C2343" t="inlineStr">
        <is>
          <t>Lá cánh van (5 cánh overlap)</t>
        </is>
      </c>
      <c r="D2343" t="inlineStr">
        <is>
          <t>TÔN_CUỘN_MẠ_KẼM</t>
        </is>
      </c>
      <c r="E2343" t="inlineStr">
        <is>
          <t>MAT-STEEL-PN-0.75</t>
        </is>
      </c>
      <c r="F2343" t="inlineStr">
        <is>
          <t>kg</t>
        </is>
      </c>
      <c r="G2343" s="4" t="n">
        <v>7.6302</v>
      </c>
      <c r="H2343" s="2">
        <f>XLOOKUP(B2343, '00_TONG_HOP_BAO_GIA'!B:B, '00_TONG_HOP_BAO_GIA'!G:G, 1)</f>
        <v/>
      </c>
      <c r="I2343" s="5">
        <f>G2343*H2343</f>
        <v/>
      </c>
      <c r="J2343" s="2">
        <f>XLOOKUP(E2343, '06_BANG_GIA_VAT_TU_AP_DUNG'!B:B, '06_BANG_GIA_VAT_TU_AP_DUNG'!C:C, "LỖI_MÃ_VT")</f>
        <v/>
      </c>
      <c r="K2343" s="2">
        <f>I2343*J2343</f>
        <v/>
      </c>
      <c r="L2343" t="inlineStr">
        <is>
          <t>5 cánh cao 200mm</t>
        </is>
      </c>
    </row>
    <row r="2344">
      <c r="A2344" t="inlineStr">
        <is>
          <t>SW-DAMPER-569-AXLE</t>
        </is>
      </c>
      <c r="B2344" t="inlineStr">
        <is>
          <t>SW-DAMPER-569</t>
        </is>
      </c>
      <c r="C2344" t="inlineStr">
        <is>
          <t>Trục Sus 201 D10</t>
        </is>
      </c>
      <c r="D2344" t="inlineStr">
        <is>
          <t>PHỤ_KIỆN_VAN</t>
        </is>
      </c>
      <c r="E2344" t="inlineStr">
        <is>
          <t>MAT-DAMPER-TRUC-SUS-201-D10</t>
        </is>
      </c>
      <c r="F2344" t="inlineStr">
        <is>
          <t>m</t>
        </is>
      </c>
      <c r="G2344" s="4" t="n">
        <v>6.3</v>
      </c>
      <c r="H2344" s="2">
        <f>XLOOKUP(B2344, '00_TONG_HOP_BAO_GIA'!B:B, '00_TONG_HOP_BAO_GIA'!G:G, 1)</f>
        <v/>
      </c>
      <c r="I2344" s="5">
        <f>G2344*H2344</f>
        <v/>
      </c>
      <c r="J2344" s="2">
        <f>XLOOKUP(E2344, '06_BANG_GIA_VAT_TU_AP_DUNG'!B:B, '06_BANG_GIA_VAT_TU_AP_DUNG'!C:C, "LỖI_MÃ_VT")</f>
        <v/>
      </c>
      <c r="K2344" s="2">
        <f>I2344*J2344</f>
        <v/>
      </c>
      <c r="L2344" t="inlineStr">
        <is>
          <t>5 trục dài 1260mm</t>
        </is>
      </c>
    </row>
    <row r="2345">
      <c r="A2345" t="inlineStr">
        <is>
          <t>SW-DAMPER-569-BEARING</t>
        </is>
      </c>
      <c r="B2345" t="inlineStr">
        <is>
          <t>SW-DAMPER-569</t>
        </is>
      </c>
      <c r="C2345" t="inlineStr">
        <is>
          <t>Bạc đồng D10</t>
        </is>
      </c>
      <c r="D2345" t="inlineStr">
        <is>
          <t>PHỤ_KIỆN_VAN</t>
        </is>
      </c>
      <c r="E2345" t="inlineStr">
        <is>
          <t>MAT-DAMPER-BAC-DONG-D10</t>
        </is>
      </c>
      <c r="F2345" t="inlineStr">
        <is>
          <t>Đôi</t>
        </is>
      </c>
      <c r="G2345" s="4" t="n">
        <v>5</v>
      </c>
      <c r="H2345" s="2">
        <f>XLOOKUP(B2345, '00_TONG_HOP_BAO_GIA'!B:B, '00_TONG_HOP_BAO_GIA'!G:G, 1)</f>
        <v/>
      </c>
      <c r="I2345" s="5">
        <f>G2345*H2345</f>
        <v/>
      </c>
      <c r="J2345" s="2">
        <f>XLOOKUP(E2345, '06_BANG_GIA_VAT_TU_AP_DUNG'!B:B, '06_BANG_GIA_VAT_TU_AP_DUNG'!C:C, "LỖI_MÃ_VT")</f>
        <v/>
      </c>
      <c r="K2345" s="2">
        <f>I2345*J2345</f>
        <v/>
      </c>
      <c r="L2345" t="inlineStr">
        <is>
          <t>5 đôi bạc đỡ 2 bên thân</t>
        </is>
      </c>
    </row>
    <row r="2346">
      <c r="A2346" t="inlineStr">
        <is>
          <t>SW-DAMPER-569-GEAR</t>
        </is>
      </c>
      <c r="B2346" t="inlineStr">
        <is>
          <t>SW-DAMPER-569</t>
        </is>
      </c>
      <c r="C2346" t="inlineStr">
        <is>
          <t>Bánh răng van nhôm</t>
        </is>
      </c>
      <c r="D2346" t="inlineStr">
        <is>
          <t>PHỤ_KIỆN_VAN</t>
        </is>
      </c>
      <c r="E2346" t="inlineStr">
        <is>
          <t>MAT-DAMPER-BANH-RANG-VAN-NHOM</t>
        </is>
      </c>
      <c r="F2346" t="inlineStr">
        <is>
          <t>Bộ</t>
        </is>
      </c>
      <c r="G2346" s="4" t="n">
        <v>1</v>
      </c>
      <c r="H2346" s="2">
        <f>XLOOKUP(B2346, '00_TONG_HOP_BAO_GIA'!B:B, '00_TONG_HOP_BAO_GIA'!G:G, 1)</f>
        <v/>
      </c>
      <c r="I2346" s="5">
        <f>G2346*H2346</f>
        <v/>
      </c>
      <c r="J2346" s="2">
        <f>XLOOKUP(E2346, '06_BANG_GIA_VAT_TU_AP_DUNG'!B:B, '06_BANG_GIA_VAT_TU_AP_DUNG'!C:C, "LỖI_MÃ_VT")</f>
        <v/>
      </c>
      <c r="K2346" s="2">
        <f>I2346*J2346</f>
        <v/>
      </c>
      <c r="L2346" t="inlineStr">
        <is>
          <t>Cơ cấu liên động bánh răng van</t>
        </is>
      </c>
    </row>
    <row r="2347">
      <c r="A2347" t="inlineStr">
        <is>
          <t>SW-DAMPER-569-ACTUATOR</t>
        </is>
      </c>
      <c r="B2347" t="inlineStr">
        <is>
          <t>SW-DAMPER-569</t>
        </is>
      </c>
      <c r="C2347" t="inlineStr">
        <is>
          <t>Model: NACA 2-20 (20Nm, 220VAC)</t>
        </is>
      </c>
      <c r="D2347" t="inlineStr">
        <is>
          <t>ĐỘNG_CƠ_VÀ_CẢM_BIẾN</t>
        </is>
      </c>
      <c r="E2347" t="inlineStr">
        <is>
          <t>MAT-ACTUATOR-NACA-2-20</t>
        </is>
      </c>
      <c r="F2347" t="inlineStr">
        <is>
          <t>Cái</t>
        </is>
      </c>
      <c r="G2347" s="4" t="n">
        <v>1</v>
      </c>
      <c r="H2347" s="2">
        <f>XLOOKUP(B2347, '00_TONG_HOP_BAO_GIA'!B:B, '00_TONG_HOP_BAO_GIA'!G:G, 1)</f>
        <v/>
      </c>
      <c r="I2347" s="5">
        <f>G2347*H2347</f>
        <v/>
      </c>
      <c r="J2347" s="2">
        <f>XLOOKUP(E2347, '06_BANG_GIA_VAT_TU_AP_DUNG'!B:B, '06_BANG_GIA_VAT_TU_AP_DUNG'!C:C, "LỖI_MÃ_VT")</f>
        <v/>
      </c>
      <c r="K2347" s="2">
        <f>I2347*J2347</f>
        <v/>
      </c>
      <c r="L2347" t="inlineStr">
        <is>
          <t>Tiết diện van 1.08m2</t>
        </is>
      </c>
    </row>
    <row r="2348">
      <c r="A2348" t="inlineStr">
        <is>
          <t>SW-DAMPER-570-BODY</t>
        </is>
      </c>
      <c r="B2348" t="inlineStr">
        <is>
          <t>SW-DAMPER-570</t>
        </is>
      </c>
      <c r="C2348" t="inlineStr">
        <is>
          <t>Thân vỏ van MD bích TDF (0.75mm)</t>
        </is>
      </c>
      <c r="D2348" t="inlineStr">
        <is>
          <t>TÔN_CUỘN_MẠ_KẼM</t>
        </is>
      </c>
      <c r="E2348" t="inlineStr">
        <is>
          <t>MAT-STEEL-PN-0.75</t>
        </is>
      </c>
      <c r="F2348" t="inlineStr">
        <is>
          <t>kg</t>
        </is>
      </c>
      <c r="G2348" s="4" t="n">
        <v>4.223457</v>
      </c>
      <c r="H2348" s="2">
        <f>XLOOKUP(B2348, '00_TONG_HOP_BAO_GIA'!B:B, '00_TONG_HOP_BAO_GIA'!G:G, 1)</f>
        <v/>
      </c>
      <c r="I2348" s="5">
        <f>G2348*H2348</f>
        <v/>
      </c>
      <c r="J2348" s="2">
        <f>XLOOKUP(E2348, '06_BANG_GIA_VAT_TU_AP_DUNG'!B:B, '06_BANG_GIA_VAT_TU_AP_DUNG'!C:C, "LỖI_MÃ_VT")</f>
        <v/>
      </c>
      <c r="K2348" s="2">
        <f>I2348*J2348</f>
        <v/>
      </c>
      <c r="L2348" t="inlineStr">
        <is>
          <t>Kích thước vỏ 600.0x600.0x210mm</t>
        </is>
      </c>
    </row>
    <row r="2349">
      <c r="A2349" t="inlineStr">
        <is>
          <t>SW-DAMPER-570-BLADE</t>
        </is>
      </c>
      <c r="B2349" t="inlineStr">
        <is>
          <t>SW-DAMPER-570</t>
        </is>
      </c>
      <c r="C2349" t="inlineStr">
        <is>
          <t>Lá cánh van (4 cánh overlap)</t>
        </is>
      </c>
      <c r="D2349" t="inlineStr">
        <is>
          <t>TÔN_CUỘN_MẠ_KẼM</t>
        </is>
      </c>
      <c r="E2349" t="inlineStr">
        <is>
          <t>MAT-STEEL-PN-0.75</t>
        </is>
      </c>
      <c r="F2349" t="inlineStr">
        <is>
          <t>kg</t>
        </is>
      </c>
      <c r="G2349" s="4" t="n">
        <v>2.594268</v>
      </c>
      <c r="H2349" s="2">
        <f>XLOOKUP(B2349, '00_TONG_HOP_BAO_GIA'!B:B, '00_TONG_HOP_BAO_GIA'!G:G, 1)</f>
        <v/>
      </c>
      <c r="I2349" s="5">
        <f>G2349*H2349</f>
        <v/>
      </c>
      <c r="J2349" s="2">
        <f>XLOOKUP(E2349, '06_BANG_GIA_VAT_TU_AP_DUNG'!B:B, '06_BANG_GIA_VAT_TU_AP_DUNG'!C:C, "LỖI_MÃ_VT")</f>
        <v/>
      </c>
      <c r="K2349" s="2">
        <f>I2349*J2349</f>
        <v/>
      </c>
      <c r="L2349" t="inlineStr">
        <is>
          <t>4 cánh cao 170mm</t>
        </is>
      </c>
    </row>
    <row r="2350">
      <c r="A2350" t="inlineStr">
        <is>
          <t>SW-DAMPER-570-AXLE</t>
        </is>
      </c>
      <c r="B2350" t="inlineStr">
        <is>
          <t>SW-DAMPER-570</t>
        </is>
      </c>
      <c r="C2350" t="inlineStr">
        <is>
          <t>Trục Sus 201 D10</t>
        </is>
      </c>
      <c r="D2350" t="inlineStr">
        <is>
          <t>PHỤ_KIỆN_VAN</t>
        </is>
      </c>
      <c r="E2350" t="inlineStr">
        <is>
          <t>MAT-DAMPER-TRUC-SUS-201-D10</t>
        </is>
      </c>
      <c r="F2350" t="inlineStr">
        <is>
          <t>m</t>
        </is>
      </c>
      <c r="G2350" s="4" t="n">
        <v>2.64</v>
      </c>
      <c r="H2350" s="2">
        <f>XLOOKUP(B2350, '00_TONG_HOP_BAO_GIA'!B:B, '00_TONG_HOP_BAO_GIA'!G:G, 1)</f>
        <v/>
      </c>
      <c r="I2350" s="5">
        <f>G2350*H2350</f>
        <v/>
      </c>
      <c r="J2350" s="2">
        <f>XLOOKUP(E2350, '06_BANG_GIA_VAT_TU_AP_DUNG'!B:B, '06_BANG_GIA_VAT_TU_AP_DUNG'!C:C, "LỖI_MÃ_VT")</f>
        <v/>
      </c>
      <c r="K2350" s="2">
        <f>I2350*J2350</f>
        <v/>
      </c>
      <c r="L2350" t="inlineStr">
        <is>
          <t>4 trục dài 660mm</t>
        </is>
      </c>
    </row>
    <row r="2351">
      <c r="A2351" t="inlineStr">
        <is>
          <t>SW-DAMPER-570-BEARING</t>
        </is>
      </c>
      <c r="B2351" t="inlineStr">
        <is>
          <t>SW-DAMPER-570</t>
        </is>
      </c>
      <c r="C2351" t="inlineStr">
        <is>
          <t>Bạc đồng D10</t>
        </is>
      </c>
      <c r="D2351" t="inlineStr">
        <is>
          <t>PHỤ_KIỆN_VAN</t>
        </is>
      </c>
      <c r="E2351" t="inlineStr">
        <is>
          <t>MAT-DAMPER-BAC-DONG-D10</t>
        </is>
      </c>
      <c r="F2351" t="inlineStr">
        <is>
          <t>Đôi</t>
        </is>
      </c>
      <c r="G2351" s="4" t="n">
        <v>4</v>
      </c>
      <c r="H2351" s="2">
        <f>XLOOKUP(B2351, '00_TONG_HOP_BAO_GIA'!B:B, '00_TONG_HOP_BAO_GIA'!G:G, 1)</f>
        <v/>
      </c>
      <c r="I2351" s="5">
        <f>G2351*H2351</f>
        <v/>
      </c>
      <c r="J2351" s="2">
        <f>XLOOKUP(E2351, '06_BANG_GIA_VAT_TU_AP_DUNG'!B:B, '06_BANG_GIA_VAT_TU_AP_DUNG'!C:C, "LỖI_MÃ_VT")</f>
        <v/>
      </c>
      <c r="K2351" s="2">
        <f>I2351*J2351</f>
        <v/>
      </c>
      <c r="L2351" t="inlineStr">
        <is>
          <t>4 đôi bạc đỡ 2 bên thân</t>
        </is>
      </c>
    </row>
    <row r="2352">
      <c r="A2352" t="inlineStr">
        <is>
          <t>SW-DAMPER-570-GEAR</t>
        </is>
      </c>
      <c r="B2352" t="inlineStr">
        <is>
          <t>SW-DAMPER-570</t>
        </is>
      </c>
      <c r="C2352" t="inlineStr">
        <is>
          <t>Bánh răng van nhôm</t>
        </is>
      </c>
      <c r="D2352" t="inlineStr">
        <is>
          <t>PHỤ_KIỆN_VAN</t>
        </is>
      </c>
      <c r="E2352" t="inlineStr">
        <is>
          <t>MAT-DAMPER-BANH-RANG-VAN-NHOM</t>
        </is>
      </c>
      <c r="F2352" t="inlineStr">
        <is>
          <t>Bộ</t>
        </is>
      </c>
      <c r="G2352" s="4" t="n">
        <v>1</v>
      </c>
      <c r="H2352" s="2">
        <f>XLOOKUP(B2352, '00_TONG_HOP_BAO_GIA'!B:B, '00_TONG_HOP_BAO_GIA'!G:G, 1)</f>
        <v/>
      </c>
      <c r="I2352" s="5">
        <f>G2352*H2352</f>
        <v/>
      </c>
      <c r="J2352" s="2">
        <f>XLOOKUP(E2352, '06_BANG_GIA_VAT_TU_AP_DUNG'!B:B, '06_BANG_GIA_VAT_TU_AP_DUNG'!C:C, "LỖI_MÃ_VT")</f>
        <v/>
      </c>
      <c r="K2352" s="2">
        <f>I2352*J2352</f>
        <v/>
      </c>
      <c r="L2352" t="inlineStr">
        <is>
          <t>Cơ cấu liên động bánh răng van</t>
        </is>
      </c>
    </row>
    <row r="2353">
      <c r="A2353" t="inlineStr">
        <is>
          <t>SW-DAMPER-570-ACTUATOR</t>
        </is>
      </c>
      <c r="B2353" t="inlineStr">
        <is>
          <t>SW-DAMPER-570</t>
        </is>
      </c>
      <c r="C2353" t="inlineStr">
        <is>
          <t>Model: NACA 2-05 (5Nm, 220VAC)</t>
        </is>
      </c>
      <c r="D2353" t="inlineStr">
        <is>
          <t>ĐỘNG_CƠ_VÀ_CẢM_BIẾN</t>
        </is>
      </c>
      <c r="E2353" t="inlineStr">
        <is>
          <t>MAT-ACTUATOR-NACA-2-05</t>
        </is>
      </c>
      <c r="F2353" t="inlineStr">
        <is>
          <t>Cái</t>
        </is>
      </c>
      <c r="G2353" s="4" t="n">
        <v>1</v>
      </c>
      <c r="H2353" s="2">
        <f>XLOOKUP(B2353, '00_TONG_HOP_BAO_GIA'!B:B, '00_TONG_HOP_BAO_GIA'!G:G, 1)</f>
        <v/>
      </c>
      <c r="I2353" s="5">
        <f>G2353*H2353</f>
        <v/>
      </c>
      <c r="J2353" s="2">
        <f>XLOOKUP(E2353, '06_BANG_GIA_VAT_TU_AP_DUNG'!B:B, '06_BANG_GIA_VAT_TU_AP_DUNG'!C:C, "LỖI_MÃ_VT")</f>
        <v/>
      </c>
      <c r="K2353" s="2">
        <f>I2353*J2353</f>
        <v/>
      </c>
      <c r="L2353" t="inlineStr">
        <is>
          <t>Tiết diện van 0.36m2</t>
        </is>
      </c>
    </row>
    <row r="2354">
      <c r="A2354" t="inlineStr">
        <is>
          <t>SW-DAMPER-571-BODY</t>
        </is>
      </c>
      <c r="B2354" t="inlineStr">
        <is>
          <t>SW-DAMPER-571</t>
        </is>
      </c>
      <c r="C2354" t="inlineStr">
        <is>
          <t>Thân vỏ van MD bích TDF (0.75mm)</t>
        </is>
      </c>
      <c r="D2354" t="inlineStr">
        <is>
          <t>TÔN_CUỘN_MẠ_KẼM</t>
        </is>
      </c>
      <c r="E2354" t="inlineStr">
        <is>
          <t>MAT-STEEL-PN-0.75</t>
        </is>
      </c>
      <c r="F2354" t="inlineStr">
        <is>
          <t>kg</t>
        </is>
      </c>
      <c r="G2354" s="4" t="n">
        <v>5.262012</v>
      </c>
      <c r="H2354" s="2">
        <f>XLOOKUP(B2354, '00_TONG_HOP_BAO_GIA'!B:B, '00_TONG_HOP_BAO_GIA'!G:G, 1)</f>
        <v/>
      </c>
      <c r="I2354" s="5">
        <f>G2354*H2354</f>
        <v/>
      </c>
      <c r="J2354" s="2">
        <f>XLOOKUP(E2354, '06_BANG_GIA_VAT_TU_AP_DUNG'!B:B, '06_BANG_GIA_VAT_TU_AP_DUNG'!C:C, "LỖI_MÃ_VT")</f>
        <v/>
      </c>
      <c r="K2354" s="2">
        <f>I2354*J2354</f>
        <v/>
      </c>
      <c r="L2354" t="inlineStr">
        <is>
          <t>Kích thước vỏ 750.0x750.0x210mm</t>
        </is>
      </c>
    </row>
    <row r="2355">
      <c r="A2355" t="inlineStr">
        <is>
          <t>SW-DAMPER-571-BLADE</t>
        </is>
      </c>
      <c r="B2355" t="inlineStr">
        <is>
          <t>SW-DAMPER-571</t>
        </is>
      </c>
      <c r="C2355" t="inlineStr">
        <is>
          <t>Lá cánh van (5 cánh overlap)</t>
        </is>
      </c>
      <c r="D2355" t="inlineStr">
        <is>
          <t>TÔN_CUỘN_MẠ_KẼM</t>
        </is>
      </c>
      <c r="E2355" t="inlineStr">
        <is>
          <t>MAT-STEEL-PN-0.75</t>
        </is>
      </c>
      <c r="F2355" t="inlineStr">
        <is>
          <t>kg</t>
        </is>
      </c>
      <c r="G2355" s="4" t="n">
        <v>4.05354375</v>
      </c>
      <c r="H2355" s="2">
        <f>XLOOKUP(B2355, '00_TONG_HOP_BAO_GIA'!B:B, '00_TONG_HOP_BAO_GIA'!G:G, 1)</f>
        <v/>
      </c>
      <c r="I2355" s="5">
        <f>G2355*H2355</f>
        <v/>
      </c>
      <c r="J2355" s="2">
        <f>XLOOKUP(E2355, '06_BANG_GIA_VAT_TU_AP_DUNG'!B:B, '06_BANG_GIA_VAT_TU_AP_DUNG'!C:C, "LỖI_MÃ_VT")</f>
        <v/>
      </c>
      <c r="K2355" s="2">
        <f>I2355*J2355</f>
        <v/>
      </c>
      <c r="L2355" t="inlineStr">
        <is>
          <t>5 cánh cao 170mm</t>
        </is>
      </c>
    </row>
    <row r="2356">
      <c r="A2356" t="inlineStr">
        <is>
          <t>SW-DAMPER-571-AXLE</t>
        </is>
      </c>
      <c r="B2356" t="inlineStr">
        <is>
          <t>SW-DAMPER-571</t>
        </is>
      </c>
      <c r="C2356" t="inlineStr">
        <is>
          <t>Trục Sus 201 D10</t>
        </is>
      </c>
      <c r="D2356" t="inlineStr">
        <is>
          <t>PHỤ_KIỆN_VAN</t>
        </is>
      </c>
      <c r="E2356" t="inlineStr">
        <is>
          <t>MAT-DAMPER-TRUC-SUS-201-D10</t>
        </is>
      </c>
      <c r="F2356" t="inlineStr">
        <is>
          <t>m</t>
        </is>
      </c>
      <c r="G2356" s="4" t="n">
        <v>4.050000000000001</v>
      </c>
      <c r="H2356" s="2">
        <f>XLOOKUP(B2356, '00_TONG_HOP_BAO_GIA'!B:B, '00_TONG_HOP_BAO_GIA'!G:G, 1)</f>
        <v/>
      </c>
      <c r="I2356" s="5">
        <f>G2356*H2356</f>
        <v/>
      </c>
      <c r="J2356" s="2">
        <f>XLOOKUP(E2356, '06_BANG_GIA_VAT_TU_AP_DUNG'!B:B, '06_BANG_GIA_VAT_TU_AP_DUNG'!C:C, "LỖI_MÃ_VT")</f>
        <v/>
      </c>
      <c r="K2356" s="2">
        <f>I2356*J2356</f>
        <v/>
      </c>
      <c r="L2356" t="inlineStr">
        <is>
          <t>5 trục dài 810mm</t>
        </is>
      </c>
    </row>
    <row r="2357">
      <c r="A2357" t="inlineStr">
        <is>
          <t>SW-DAMPER-571-BEARING</t>
        </is>
      </c>
      <c r="B2357" t="inlineStr">
        <is>
          <t>SW-DAMPER-571</t>
        </is>
      </c>
      <c r="C2357" t="inlineStr">
        <is>
          <t>Bạc đồng D10</t>
        </is>
      </c>
      <c r="D2357" t="inlineStr">
        <is>
          <t>PHỤ_KIỆN_VAN</t>
        </is>
      </c>
      <c r="E2357" t="inlineStr">
        <is>
          <t>MAT-DAMPER-BAC-DONG-D10</t>
        </is>
      </c>
      <c r="F2357" t="inlineStr">
        <is>
          <t>Đôi</t>
        </is>
      </c>
      <c r="G2357" s="4" t="n">
        <v>5</v>
      </c>
      <c r="H2357" s="2">
        <f>XLOOKUP(B2357, '00_TONG_HOP_BAO_GIA'!B:B, '00_TONG_HOP_BAO_GIA'!G:G, 1)</f>
        <v/>
      </c>
      <c r="I2357" s="5">
        <f>G2357*H2357</f>
        <v/>
      </c>
      <c r="J2357" s="2">
        <f>XLOOKUP(E2357, '06_BANG_GIA_VAT_TU_AP_DUNG'!B:B, '06_BANG_GIA_VAT_TU_AP_DUNG'!C:C, "LỖI_MÃ_VT")</f>
        <v/>
      </c>
      <c r="K2357" s="2">
        <f>I2357*J2357</f>
        <v/>
      </c>
      <c r="L2357" t="inlineStr">
        <is>
          <t>5 đôi bạc đỡ 2 bên thân</t>
        </is>
      </c>
    </row>
    <row r="2358">
      <c r="A2358" t="inlineStr">
        <is>
          <t>SW-DAMPER-571-GEAR</t>
        </is>
      </c>
      <c r="B2358" t="inlineStr">
        <is>
          <t>SW-DAMPER-571</t>
        </is>
      </c>
      <c r="C2358" t="inlineStr">
        <is>
          <t>Bánh răng van nhôm</t>
        </is>
      </c>
      <c r="D2358" t="inlineStr">
        <is>
          <t>PHỤ_KIỆN_VAN</t>
        </is>
      </c>
      <c r="E2358" t="inlineStr">
        <is>
          <t>MAT-DAMPER-BANH-RANG-VAN-NHOM</t>
        </is>
      </c>
      <c r="F2358" t="inlineStr">
        <is>
          <t>Bộ</t>
        </is>
      </c>
      <c r="G2358" s="4" t="n">
        <v>1</v>
      </c>
      <c r="H2358" s="2">
        <f>XLOOKUP(B2358, '00_TONG_HOP_BAO_GIA'!B:B, '00_TONG_HOP_BAO_GIA'!G:G, 1)</f>
        <v/>
      </c>
      <c r="I2358" s="5">
        <f>G2358*H2358</f>
        <v/>
      </c>
      <c r="J2358" s="2">
        <f>XLOOKUP(E2358, '06_BANG_GIA_VAT_TU_AP_DUNG'!B:B, '06_BANG_GIA_VAT_TU_AP_DUNG'!C:C, "LỖI_MÃ_VT")</f>
        <v/>
      </c>
      <c r="K2358" s="2">
        <f>I2358*J2358</f>
        <v/>
      </c>
      <c r="L2358" t="inlineStr">
        <is>
          <t>Cơ cấu liên động bánh răng van</t>
        </is>
      </c>
    </row>
    <row r="2359">
      <c r="A2359" t="inlineStr">
        <is>
          <t>SW-DAMPER-571-ACTUATOR</t>
        </is>
      </c>
      <c r="B2359" t="inlineStr">
        <is>
          <t>SW-DAMPER-571</t>
        </is>
      </c>
      <c r="C2359" t="inlineStr">
        <is>
          <t>Model: NACA 2-10 (10Nm, 220VAC)</t>
        </is>
      </c>
      <c r="D2359" t="inlineStr">
        <is>
          <t>ĐỘNG_CƠ_VÀ_CẢM_BIẾN</t>
        </is>
      </c>
      <c r="E2359" t="inlineStr">
        <is>
          <t>MAT-ACTUATOR-NACA-2-10</t>
        </is>
      </c>
      <c r="F2359" t="inlineStr">
        <is>
          <t>Cái</t>
        </is>
      </c>
      <c r="G2359" s="4" t="n">
        <v>1</v>
      </c>
      <c r="H2359" s="2">
        <f>XLOOKUP(B2359, '00_TONG_HOP_BAO_GIA'!B:B, '00_TONG_HOP_BAO_GIA'!G:G, 1)</f>
        <v/>
      </c>
      <c r="I2359" s="5">
        <f>G2359*H2359</f>
        <v/>
      </c>
      <c r="J2359" s="2">
        <f>XLOOKUP(E2359, '06_BANG_GIA_VAT_TU_AP_DUNG'!B:B, '06_BANG_GIA_VAT_TU_AP_DUNG'!C:C, "LỖI_MÃ_VT")</f>
        <v/>
      </c>
      <c r="K2359" s="2">
        <f>I2359*J2359</f>
        <v/>
      </c>
      <c r="L2359" t="inlineStr">
        <is>
          <t>Tiết diện van 0.56m2</t>
        </is>
      </c>
    </row>
    <row r="2360">
      <c r="A2360" t="inlineStr">
        <is>
          <t>SW-DAMPER-572-BODY</t>
        </is>
      </c>
      <c r="B2360" t="inlineStr">
        <is>
          <t>SW-DAMPER-572</t>
        </is>
      </c>
      <c r="C2360" t="inlineStr">
        <is>
          <t>Thân vỏ van FD bích TDF (0.75mm)</t>
        </is>
      </c>
      <c r="D2360" t="inlineStr">
        <is>
          <t>TÔN_CUỘN_MẠ_KẼM</t>
        </is>
      </c>
      <c r="E2360" t="inlineStr">
        <is>
          <t>MAT-STEEL-PN-0.75</t>
        </is>
      </c>
      <c r="F2360" t="inlineStr">
        <is>
          <t>kg</t>
        </is>
      </c>
      <c r="G2360" s="4" t="n">
        <v>3.442067999999999</v>
      </c>
      <c r="H2360" s="2">
        <f>XLOOKUP(B2360, '00_TONG_HOP_BAO_GIA'!B:B, '00_TONG_HOP_BAO_GIA'!G:G, 1)</f>
        <v/>
      </c>
      <c r="I2360" s="5">
        <f>G2360*H2360</f>
        <v/>
      </c>
      <c r="J2360" s="2">
        <f>XLOOKUP(E2360, '06_BANG_GIA_VAT_TU_AP_DUNG'!B:B, '06_BANG_GIA_VAT_TU_AP_DUNG'!C:C, "LỖI_MÃ_VT")</f>
        <v/>
      </c>
      <c r="K2360" s="2">
        <f>I2360*J2360</f>
        <v/>
      </c>
      <c r="L2360" t="inlineStr">
        <is>
          <t>Kích thước vỏ 600.0x250.0x250mm</t>
        </is>
      </c>
    </row>
    <row r="2361">
      <c r="A2361" t="inlineStr">
        <is>
          <t>SW-DAMPER-572-BLADE</t>
        </is>
      </c>
      <c r="B2361" t="inlineStr">
        <is>
          <t>SW-DAMPER-572</t>
        </is>
      </c>
      <c r="C2361" t="inlineStr">
        <is>
          <t>Lá cánh van (2 cánh overlap)</t>
        </is>
      </c>
      <c r="D2361" t="inlineStr">
        <is>
          <t>TÔN_CUỘN_MẠ_KẼM</t>
        </is>
      </c>
      <c r="E2361" t="inlineStr">
        <is>
          <t>MAT-STEEL-PN-0.75</t>
        </is>
      </c>
      <c r="F2361" t="inlineStr">
        <is>
          <t>kg</t>
        </is>
      </c>
      <c r="G2361" s="4" t="n">
        <v>1.106379</v>
      </c>
      <c r="H2361" s="2">
        <f>XLOOKUP(B2361, '00_TONG_HOP_BAO_GIA'!B:B, '00_TONG_HOP_BAO_GIA'!G:G, 1)</f>
        <v/>
      </c>
      <c r="I2361" s="5">
        <f>G2361*H2361</f>
        <v/>
      </c>
      <c r="J2361" s="2">
        <f>XLOOKUP(E2361, '06_BANG_GIA_VAT_TU_AP_DUNG'!B:B, '06_BANG_GIA_VAT_TU_AP_DUNG'!C:C, "LỖI_MÃ_VT")</f>
        <v/>
      </c>
      <c r="K2361" s="2">
        <f>I2361*J2361</f>
        <v/>
      </c>
      <c r="L2361" t="inlineStr">
        <is>
          <t>2 cánh cao 145mm</t>
        </is>
      </c>
    </row>
    <row r="2362">
      <c r="A2362" t="inlineStr">
        <is>
          <t>SW-DAMPER-572-AXLE</t>
        </is>
      </c>
      <c r="B2362" t="inlineStr">
        <is>
          <t>SW-DAMPER-572</t>
        </is>
      </c>
      <c r="C2362" t="inlineStr">
        <is>
          <t>Trục Sus 201 D10</t>
        </is>
      </c>
      <c r="D2362" t="inlineStr">
        <is>
          <t>PHỤ_KIỆN_VAN</t>
        </is>
      </c>
      <c r="E2362" t="inlineStr">
        <is>
          <t>MAT-DAMPER-TRUC-SUS-201-D10</t>
        </is>
      </c>
      <c r="F2362" t="inlineStr">
        <is>
          <t>m</t>
        </is>
      </c>
      <c r="G2362" s="4" t="n">
        <v>1.32</v>
      </c>
      <c r="H2362" s="2">
        <f>XLOOKUP(B2362, '00_TONG_HOP_BAO_GIA'!B:B, '00_TONG_HOP_BAO_GIA'!G:G, 1)</f>
        <v/>
      </c>
      <c r="I2362" s="5">
        <f>G2362*H2362</f>
        <v/>
      </c>
      <c r="J2362" s="2">
        <f>XLOOKUP(E2362, '06_BANG_GIA_VAT_TU_AP_DUNG'!B:B, '06_BANG_GIA_VAT_TU_AP_DUNG'!C:C, "LỖI_MÃ_VT")</f>
        <v/>
      </c>
      <c r="K2362" s="2">
        <f>I2362*J2362</f>
        <v/>
      </c>
      <c r="L2362" t="inlineStr">
        <is>
          <t>2 trục dài 660mm</t>
        </is>
      </c>
    </row>
    <row r="2363">
      <c r="A2363" t="inlineStr">
        <is>
          <t>SW-DAMPER-572-BEARING</t>
        </is>
      </c>
      <c r="B2363" t="inlineStr">
        <is>
          <t>SW-DAMPER-572</t>
        </is>
      </c>
      <c r="C2363" t="inlineStr">
        <is>
          <t>Bạc đồng D10</t>
        </is>
      </c>
      <c r="D2363" t="inlineStr">
        <is>
          <t>PHỤ_KIỆN_VAN</t>
        </is>
      </c>
      <c r="E2363" t="inlineStr">
        <is>
          <t>MAT-DAMPER-BAC-DONG-D10</t>
        </is>
      </c>
      <c r="F2363" t="inlineStr">
        <is>
          <t>Đôi</t>
        </is>
      </c>
      <c r="G2363" s="4" t="n">
        <v>2</v>
      </c>
      <c r="H2363" s="2">
        <f>XLOOKUP(B2363, '00_TONG_HOP_BAO_GIA'!B:B, '00_TONG_HOP_BAO_GIA'!G:G, 1)</f>
        <v/>
      </c>
      <c r="I2363" s="5">
        <f>G2363*H2363</f>
        <v/>
      </c>
      <c r="J2363" s="2">
        <f>XLOOKUP(E2363, '06_BANG_GIA_VAT_TU_AP_DUNG'!B:B, '06_BANG_GIA_VAT_TU_AP_DUNG'!C:C, "LỖI_MÃ_VT")</f>
        <v/>
      </c>
      <c r="K2363" s="2">
        <f>I2363*J2363</f>
        <v/>
      </c>
      <c r="L2363" t="inlineStr">
        <is>
          <t>2 đôi bạc đỡ 2 bên thân</t>
        </is>
      </c>
    </row>
    <row r="2364">
      <c r="A2364" t="inlineStr">
        <is>
          <t>SW-DAMPER-572-GEAR</t>
        </is>
      </c>
      <c r="B2364" t="inlineStr">
        <is>
          <t>SW-DAMPER-572</t>
        </is>
      </c>
      <c r="C2364" t="inlineStr">
        <is>
          <t>Bánh răng van nhôm</t>
        </is>
      </c>
      <c r="D2364" t="inlineStr">
        <is>
          <t>PHỤ_KIỆN_VAN</t>
        </is>
      </c>
      <c r="E2364" t="inlineStr">
        <is>
          <t>MAT-DAMPER-BANH-RANG-VAN-NHOM</t>
        </is>
      </c>
      <c r="F2364" t="inlineStr">
        <is>
          <t>Bộ</t>
        </is>
      </c>
      <c r="G2364" s="4" t="n">
        <v>1</v>
      </c>
      <c r="H2364" s="2">
        <f>XLOOKUP(B2364, '00_TONG_HOP_BAO_GIA'!B:B, '00_TONG_HOP_BAO_GIA'!G:G, 1)</f>
        <v/>
      </c>
      <c r="I2364" s="5">
        <f>G2364*H2364</f>
        <v/>
      </c>
      <c r="J2364" s="2">
        <f>XLOOKUP(E2364, '06_BANG_GIA_VAT_TU_AP_DUNG'!B:B, '06_BANG_GIA_VAT_TU_AP_DUNG'!C:C, "LỖI_MÃ_VT")</f>
        <v/>
      </c>
      <c r="K2364" s="2">
        <f>I2364*J2364</f>
        <v/>
      </c>
      <c r="L2364" t="inlineStr">
        <is>
          <t>Cơ cấu liên động bánh răng van</t>
        </is>
      </c>
    </row>
    <row r="2365">
      <c r="A2365" t="inlineStr">
        <is>
          <t>SW-DAMPER-572-FUSE</t>
        </is>
      </c>
      <c r="B2365" t="inlineStr">
        <is>
          <t>SW-DAMPER-572</t>
        </is>
      </c>
      <c r="C2365" t="inlineStr">
        <is>
          <t>Cầu chì nhiệt nóng chảy 70°C (Elsie/USA)</t>
        </is>
      </c>
      <c r="D2365" t="inlineStr">
        <is>
          <t>PHỤ_KIỆN_VAN</t>
        </is>
      </c>
      <c r="E2365" t="inlineStr">
        <is>
          <t>MAT-DAMPER-CAU-CHI-USA-2-400X400</t>
        </is>
      </c>
      <c r="F2365" t="inlineStr">
        <is>
          <t>Cái</t>
        </is>
      </c>
      <c r="G2365" s="4" t="n">
        <v>1</v>
      </c>
      <c r="H2365" s="2">
        <f>XLOOKUP(B2365, '00_TONG_HOP_BAO_GIA'!B:B, '00_TONG_HOP_BAO_GIA'!G:G, 1)</f>
        <v/>
      </c>
      <c r="I2365" s="5">
        <f>G2365*H2365</f>
        <v/>
      </c>
      <c r="J2365" s="2">
        <f>XLOOKUP(E2365, '06_BANG_GIA_VAT_TU_AP_DUNG'!B:B, '06_BANG_GIA_VAT_TU_AP_DUNG'!C:C, "LỖI_MÃ_VT")</f>
        <v/>
      </c>
      <c r="K2365" s="2">
        <f>I2365*J2365</f>
        <v/>
      </c>
      <c r="L2365" t="inlineStr">
        <is>
          <t>Cầu chì kiểm định PCCC</t>
        </is>
      </c>
    </row>
    <row r="2366">
      <c r="A2366" t="inlineStr">
        <is>
          <t>SW-DAMPER-573-BODY</t>
        </is>
      </c>
      <c r="B2366" t="inlineStr">
        <is>
          <t>SW-DAMPER-573</t>
        </is>
      </c>
      <c r="C2366" t="inlineStr">
        <is>
          <t>Thân vỏ van FD bích TDF (0.75mm)</t>
        </is>
      </c>
      <c r="D2366" t="inlineStr">
        <is>
          <t>TÔN_CUỘN_MẠ_KẼM</t>
        </is>
      </c>
      <c r="E2366" t="inlineStr">
        <is>
          <t>MAT-STEEL-PN-0.75</t>
        </is>
      </c>
      <c r="F2366" t="inlineStr">
        <is>
          <t>kg</t>
        </is>
      </c>
      <c r="G2366" s="4" t="n">
        <v>3.639888</v>
      </c>
      <c r="H2366" s="2">
        <f>XLOOKUP(B2366, '00_TONG_HOP_BAO_GIA'!B:B, '00_TONG_HOP_BAO_GIA'!G:G, 1)</f>
        <v/>
      </c>
      <c r="I2366" s="5">
        <f>G2366*H2366</f>
        <v/>
      </c>
      <c r="J2366" s="2">
        <f>XLOOKUP(E2366, '06_BANG_GIA_VAT_TU_AP_DUNG'!B:B, '06_BANG_GIA_VAT_TU_AP_DUNG'!C:C, "LỖI_MÃ_VT")</f>
        <v/>
      </c>
      <c r="K2366" s="2">
        <f>I2366*J2366</f>
        <v/>
      </c>
      <c r="L2366" t="inlineStr">
        <is>
          <t>Kích thước vỏ 600.0x300.0x250mm</t>
        </is>
      </c>
    </row>
    <row r="2367">
      <c r="A2367" t="inlineStr">
        <is>
          <t>SW-DAMPER-573-BLADE</t>
        </is>
      </c>
      <c r="B2367" t="inlineStr">
        <is>
          <t>SW-DAMPER-573</t>
        </is>
      </c>
      <c r="C2367" t="inlineStr">
        <is>
          <t>Lá cánh van (2 cánh overlap)</t>
        </is>
      </c>
      <c r="D2367" t="inlineStr">
        <is>
          <t>TÔN_CUỘN_MẠ_KẼM</t>
        </is>
      </c>
      <c r="E2367" t="inlineStr">
        <is>
          <t>MAT-STEEL-PN-0.75</t>
        </is>
      </c>
      <c r="F2367" t="inlineStr">
        <is>
          <t>kg</t>
        </is>
      </c>
      <c r="G2367" s="4" t="n">
        <v>1.297134</v>
      </c>
      <c r="H2367" s="2">
        <f>XLOOKUP(B2367, '00_TONG_HOP_BAO_GIA'!B:B, '00_TONG_HOP_BAO_GIA'!G:G, 1)</f>
        <v/>
      </c>
      <c r="I2367" s="5">
        <f>G2367*H2367</f>
        <v/>
      </c>
      <c r="J2367" s="2">
        <f>XLOOKUP(E2367, '06_BANG_GIA_VAT_TU_AP_DUNG'!B:B, '06_BANG_GIA_VAT_TU_AP_DUNG'!C:C, "LỖI_MÃ_VT")</f>
        <v/>
      </c>
      <c r="K2367" s="2">
        <f>I2367*J2367</f>
        <v/>
      </c>
      <c r="L2367" t="inlineStr">
        <is>
          <t>2 cánh cao 170mm</t>
        </is>
      </c>
    </row>
    <row r="2368">
      <c r="A2368" t="inlineStr">
        <is>
          <t>SW-DAMPER-573-AXLE</t>
        </is>
      </c>
      <c r="B2368" t="inlineStr">
        <is>
          <t>SW-DAMPER-573</t>
        </is>
      </c>
      <c r="C2368" t="inlineStr">
        <is>
          <t>Trục Sus 201 D10</t>
        </is>
      </c>
      <c r="D2368" t="inlineStr">
        <is>
          <t>PHỤ_KIỆN_VAN</t>
        </is>
      </c>
      <c r="E2368" t="inlineStr">
        <is>
          <t>MAT-DAMPER-TRUC-SUS-201-D10</t>
        </is>
      </c>
      <c r="F2368" t="inlineStr">
        <is>
          <t>m</t>
        </is>
      </c>
      <c r="G2368" s="4" t="n">
        <v>1.32</v>
      </c>
      <c r="H2368" s="2">
        <f>XLOOKUP(B2368, '00_TONG_HOP_BAO_GIA'!B:B, '00_TONG_HOP_BAO_GIA'!G:G, 1)</f>
        <v/>
      </c>
      <c r="I2368" s="5">
        <f>G2368*H2368</f>
        <v/>
      </c>
      <c r="J2368" s="2">
        <f>XLOOKUP(E2368, '06_BANG_GIA_VAT_TU_AP_DUNG'!B:B, '06_BANG_GIA_VAT_TU_AP_DUNG'!C:C, "LỖI_MÃ_VT")</f>
        <v/>
      </c>
      <c r="K2368" s="2">
        <f>I2368*J2368</f>
        <v/>
      </c>
      <c r="L2368" t="inlineStr">
        <is>
          <t>2 trục dài 660mm</t>
        </is>
      </c>
    </row>
    <row r="2369">
      <c r="A2369" t="inlineStr">
        <is>
          <t>SW-DAMPER-573-BEARING</t>
        </is>
      </c>
      <c r="B2369" t="inlineStr">
        <is>
          <t>SW-DAMPER-573</t>
        </is>
      </c>
      <c r="C2369" t="inlineStr">
        <is>
          <t>Bạc đồng D10</t>
        </is>
      </c>
      <c r="D2369" t="inlineStr">
        <is>
          <t>PHỤ_KIỆN_VAN</t>
        </is>
      </c>
      <c r="E2369" t="inlineStr">
        <is>
          <t>MAT-DAMPER-BAC-DONG-D10</t>
        </is>
      </c>
      <c r="F2369" t="inlineStr">
        <is>
          <t>Đôi</t>
        </is>
      </c>
      <c r="G2369" s="4" t="n">
        <v>2</v>
      </c>
      <c r="H2369" s="2">
        <f>XLOOKUP(B2369, '00_TONG_HOP_BAO_GIA'!B:B, '00_TONG_HOP_BAO_GIA'!G:G, 1)</f>
        <v/>
      </c>
      <c r="I2369" s="5">
        <f>G2369*H2369</f>
        <v/>
      </c>
      <c r="J2369" s="2">
        <f>XLOOKUP(E2369, '06_BANG_GIA_VAT_TU_AP_DUNG'!B:B, '06_BANG_GIA_VAT_TU_AP_DUNG'!C:C, "LỖI_MÃ_VT")</f>
        <v/>
      </c>
      <c r="K2369" s="2">
        <f>I2369*J2369</f>
        <v/>
      </c>
      <c r="L2369" t="inlineStr">
        <is>
          <t>2 đôi bạc đỡ 2 bên thân</t>
        </is>
      </c>
    </row>
    <row r="2370">
      <c r="A2370" t="inlineStr">
        <is>
          <t>SW-DAMPER-573-GEAR</t>
        </is>
      </c>
      <c r="B2370" t="inlineStr">
        <is>
          <t>SW-DAMPER-573</t>
        </is>
      </c>
      <c r="C2370" t="inlineStr">
        <is>
          <t>Bánh răng van nhôm</t>
        </is>
      </c>
      <c r="D2370" t="inlineStr">
        <is>
          <t>PHỤ_KIỆN_VAN</t>
        </is>
      </c>
      <c r="E2370" t="inlineStr">
        <is>
          <t>MAT-DAMPER-BANH-RANG-VAN-NHOM</t>
        </is>
      </c>
      <c r="F2370" t="inlineStr">
        <is>
          <t>Bộ</t>
        </is>
      </c>
      <c r="G2370" s="4" t="n">
        <v>1</v>
      </c>
      <c r="H2370" s="2">
        <f>XLOOKUP(B2370, '00_TONG_HOP_BAO_GIA'!B:B, '00_TONG_HOP_BAO_GIA'!G:G, 1)</f>
        <v/>
      </c>
      <c r="I2370" s="5">
        <f>G2370*H2370</f>
        <v/>
      </c>
      <c r="J2370" s="2">
        <f>XLOOKUP(E2370, '06_BANG_GIA_VAT_TU_AP_DUNG'!B:B, '06_BANG_GIA_VAT_TU_AP_DUNG'!C:C, "LỖI_MÃ_VT")</f>
        <v/>
      </c>
      <c r="K2370" s="2">
        <f>I2370*J2370</f>
        <v/>
      </c>
      <c r="L2370" t="inlineStr">
        <is>
          <t>Cơ cấu liên động bánh răng van</t>
        </is>
      </c>
    </row>
    <row r="2371">
      <c r="A2371" t="inlineStr">
        <is>
          <t>SW-DAMPER-573-FUSE</t>
        </is>
      </c>
      <c r="B2371" t="inlineStr">
        <is>
          <t>SW-DAMPER-573</t>
        </is>
      </c>
      <c r="C2371" t="inlineStr">
        <is>
          <t>Cầu chì nhiệt nóng chảy 70°C (Elsie/USA)</t>
        </is>
      </c>
      <c r="D2371" t="inlineStr">
        <is>
          <t>PHỤ_KIỆN_VAN</t>
        </is>
      </c>
      <c r="E2371" t="inlineStr">
        <is>
          <t>MAT-DAMPER-CAU-CHI-USA-2-400X400</t>
        </is>
      </c>
      <c r="F2371" t="inlineStr">
        <is>
          <t>Cái</t>
        </is>
      </c>
      <c r="G2371" s="4" t="n">
        <v>1</v>
      </c>
      <c r="H2371" s="2">
        <f>XLOOKUP(B2371, '00_TONG_HOP_BAO_GIA'!B:B, '00_TONG_HOP_BAO_GIA'!G:G, 1)</f>
        <v/>
      </c>
      <c r="I2371" s="5">
        <f>G2371*H2371</f>
        <v/>
      </c>
      <c r="J2371" s="2">
        <f>XLOOKUP(E2371, '06_BANG_GIA_VAT_TU_AP_DUNG'!B:B, '06_BANG_GIA_VAT_TU_AP_DUNG'!C:C, "LỖI_MÃ_VT")</f>
        <v/>
      </c>
      <c r="K2371" s="2">
        <f>I2371*J2371</f>
        <v/>
      </c>
      <c r="L2371" t="inlineStr">
        <is>
          <t>Cầu chì kiểm định PCCC</t>
        </is>
      </c>
    </row>
    <row r="2372">
      <c r="A2372" t="inlineStr">
        <is>
          <t>SW-DAMPER-574-BODY</t>
        </is>
      </c>
      <c r="B2372" t="inlineStr">
        <is>
          <t>SW-DAMPER-574</t>
        </is>
      </c>
      <c r="C2372" t="inlineStr">
        <is>
          <t>Thân vỏ van FD bích TDF (0.75mm)</t>
        </is>
      </c>
      <c r="D2372" t="inlineStr">
        <is>
          <t>TÔN_CUỘN_MẠ_KẼM</t>
        </is>
      </c>
      <c r="E2372" t="inlineStr">
        <is>
          <t>MAT-STEEL-PN-0.75</t>
        </is>
      </c>
      <c r="F2372" t="inlineStr">
        <is>
          <t>kg</t>
        </is>
      </c>
      <c r="G2372" s="4" t="n">
        <v>3.639888</v>
      </c>
      <c r="H2372" s="2">
        <f>XLOOKUP(B2372, '00_TONG_HOP_BAO_GIA'!B:B, '00_TONG_HOP_BAO_GIA'!G:G, 1)</f>
        <v/>
      </c>
      <c r="I2372" s="5">
        <f>G2372*H2372</f>
        <v/>
      </c>
      <c r="J2372" s="2">
        <f>XLOOKUP(E2372, '06_BANG_GIA_VAT_TU_AP_DUNG'!B:B, '06_BANG_GIA_VAT_TU_AP_DUNG'!C:C, "LỖI_MÃ_VT")</f>
        <v/>
      </c>
      <c r="K2372" s="2">
        <f>I2372*J2372</f>
        <v/>
      </c>
      <c r="L2372" t="inlineStr">
        <is>
          <t>Kích thước vỏ 600.0x300.0x250mm</t>
        </is>
      </c>
    </row>
    <row r="2373">
      <c r="A2373" t="inlineStr">
        <is>
          <t>SW-DAMPER-574-BLADE</t>
        </is>
      </c>
      <c r="B2373" t="inlineStr">
        <is>
          <t>SW-DAMPER-574</t>
        </is>
      </c>
      <c r="C2373" t="inlineStr">
        <is>
          <t>Lá cánh van (2 cánh overlap)</t>
        </is>
      </c>
      <c r="D2373" t="inlineStr">
        <is>
          <t>TÔN_CUỘN_MẠ_KẼM</t>
        </is>
      </c>
      <c r="E2373" t="inlineStr">
        <is>
          <t>MAT-STEEL-PN-0.75</t>
        </is>
      </c>
      <c r="F2373" t="inlineStr">
        <is>
          <t>kg</t>
        </is>
      </c>
      <c r="G2373" s="4" t="n">
        <v>1.297134</v>
      </c>
      <c r="H2373" s="2">
        <f>XLOOKUP(B2373, '00_TONG_HOP_BAO_GIA'!B:B, '00_TONG_HOP_BAO_GIA'!G:G, 1)</f>
        <v/>
      </c>
      <c r="I2373" s="5">
        <f>G2373*H2373</f>
        <v/>
      </c>
      <c r="J2373" s="2">
        <f>XLOOKUP(E2373, '06_BANG_GIA_VAT_TU_AP_DUNG'!B:B, '06_BANG_GIA_VAT_TU_AP_DUNG'!C:C, "LỖI_MÃ_VT")</f>
        <v/>
      </c>
      <c r="K2373" s="2">
        <f>I2373*J2373</f>
        <v/>
      </c>
      <c r="L2373" t="inlineStr">
        <is>
          <t>2 cánh cao 170mm</t>
        </is>
      </c>
    </row>
    <row r="2374">
      <c r="A2374" t="inlineStr">
        <is>
          <t>SW-DAMPER-574-AXLE</t>
        </is>
      </c>
      <c r="B2374" t="inlineStr">
        <is>
          <t>SW-DAMPER-574</t>
        </is>
      </c>
      <c r="C2374" t="inlineStr">
        <is>
          <t>Trục Sus 201 D10</t>
        </is>
      </c>
      <c r="D2374" t="inlineStr">
        <is>
          <t>PHỤ_KIỆN_VAN</t>
        </is>
      </c>
      <c r="E2374" t="inlineStr">
        <is>
          <t>MAT-DAMPER-TRUC-SUS-201-D10</t>
        </is>
      </c>
      <c r="F2374" t="inlineStr">
        <is>
          <t>m</t>
        </is>
      </c>
      <c r="G2374" s="4" t="n">
        <v>1.32</v>
      </c>
      <c r="H2374" s="2">
        <f>XLOOKUP(B2374, '00_TONG_HOP_BAO_GIA'!B:B, '00_TONG_HOP_BAO_GIA'!G:G, 1)</f>
        <v/>
      </c>
      <c r="I2374" s="5">
        <f>G2374*H2374</f>
        <v/>
      </c>
      <c r="J2374" s="2">
        <f>XLOOKUP(E2374, '06_BANG_GIA_VAT_TU_AP_DUNG'!B:B, '06_BANG_GIA_VAT_TU_AP_DUNG'!C:C, "LỖI_MÃ_VT")</f>
        <v/>
      </c>
      <c r="K2374" s="2">
        <f>I2374*J2374</f>
        <v/>
      </c>
      <c r="L2374" t="inlineStr">
        <is>
          <t>2 trục dài 660mm</t>
        </is>
      </c>
    </row>
    <row r="2375">
      <c r="A2375" t="inlineStr">
        <is>
          <t>SW-DAMPER-574-BEARING</t>
        </is>
      </c>
      <c r="B2375" t="inlineStr">
        <is>
          <t>SW-DAMPER-574</t>
        </is>
      </c>
      <c r="C2375" t="inlineStr">
        <is>
          <t>Bạc đồng D10</t>
        </is>
      </c>
      <c r="D2375" t="inlineStr">
        <is>
          <t>PHỤ_KIỆN_VAN</t>
        </is>
      </c>
      <c r="E2375" t="inlineStr">
        <is>
          <t>MAT-DAMPER-BAC-DONG-D10</t>
        </is>
      </c>
      <c r="F2375" t="inlineStr">
        <is>
          <t>Đôi</t>
        </is>
      </c>
      <c r="G2375" s="4" t="n">
        <v>2</v>
      </c>
      <c r="H2375" s="2">
        <f>XLOOKUP(B2375, '00_TONG_HOP_BAO_GIA'!B:B, '00_TONG_HOP_BAO_GIA'!G:G, 1)</f>
        <v/>
      </c>
      <c r="I2375" s="5">
        <f>G2375*H2375</f>
        <v/>
      </c>
      <c r="J2375" s="2">
        <f>XLOOKUP(E2375, '06_BANG_GIA_VAT_TU_AP_DUNG'!B:B, '06_BANG_GIA_VAT_TU_AP_DUNG'!C:C, "LỖI_MÃ_VT")</f>
        <v/>
      </c>
      <c r="K2375" s="2">
        <f>I2375*J2375</f>
        <v/>
      </c>
      <c r="L2375" t="inlineStr">
        <is>
          <t>2 đôi bạc đỡ 2 bên thân</t>
        </is>
      </c>
    </row>
    <row r="2376">
      <c r="A2376" t="inlineStr">
        <is>
          <t>SW-DAMPER-574-GEAR</t>
        </is>
      </c>
      <c r="B2376" t="inlineStr">
        <is>
          <t>SW-DAMPER-574</t>
        </is>
      </c>
      <c r="C2376" t="inlineStr">
        <is>
          <t>Bánh răng van nhôm</t>
        </is>
      </c>
      <c r="D2376" t="inlineStr">
        <is>
          <t>PHỤ_KIỆN_VAN</t>
        </is>
      </c>
      <c r="E2376" t="inlineStr">
        <is>
          <t>MAT-DAMPER-BANH-RANG-VAN-NHOM</t>
        </is>
      </c>
      <c r="F2376" t="inlineStr">
        <is>
          <t>Bộ</t>
        </is>
      </c>
      <c r="G2376" s="4" t="n">
        <v>1</v>
      </c>
      <c r="H2376" s="2">
        <f>XLOOKUP(B2376, '00_TONG_HOP_BAO_GIA'!B:B, '00_TONG_HOP_BAO_GIA'!G:G, 1)</f>
        <v/>
      </c>
      <c r="I2376" s="5">
        <f>G2376*H2376</f>
        <v/>
      </c>
      <c r="J2376" s="2">
        <f>XLOOKUP(E2376, '06_BANG_GIA_VAT_TU_AP_DUNG'!B:B, '06_BANG_GIA_VAT_TU_AP_DUNG'!C:C, "LỖI_MÃ_VT")</f>
        <v/>
      </c>
      <c r="K2376" s="2">
        <f>I2376*J2376</f>
        <v/>
      </c>
      <c r="L2376" t="inlineStr">
        <is>
          <t>Cơ cấu liên động bánh răng van</t>
        </is>
      </c>
    </row>
    <row r="2377">
      <c r="A2377" t="inlineStr">
        <is>
          <t>SW-DAMPER-574-FUSE</t>
        </is>
      </c>
      <c r="B2377" t="inlineStr">
        <is>
          <t>SW-DAMPER-574</t>
        </is>
      </c>
      <c r="C2377" t="inlineStr">
        <is>
          <t>Cầu chì nhiệt nóng chảy 70°C (Elsie/USA)</t>
        </is>
      </c>
      <c r="D2377" t="inlineStr">
        <is>
          <t>PHỤ_KIỆN_VAN</t>
        </is>
      </c>
      <c r="E2377" t="inlineStr">
        <is>
          <t>MAT-DAMPER-CAU-CHI-USA-2-400X400</t>
        </is>
      </c>
      <c r="F2377" t="inlineStr">
        <is>
          <t>Cái</t>
        </is>
      </c>
      <c r="G2377" s="4" t="n">
        <v>1</v>
      </c>
      <c r="H2377" s="2">
        <f>XLOOKUP(B2377, '00_TONG_HOP_BAO_GIA'!B:B, '00_TONG_HOP_BAO_GIA'!G:G, 1)</f>
        <v/>
      </c>
      <c r="I2377" s="5">
        <f>G2377*H2377</f>
        <v/>
      </c>
      <c r="J2377" s="2">
        <f>XLOOKUP(E2377, '06_BANG_GIA_VAT_TU_AP_DUNG'!B:B, '06_BANG_GIA_VAT_TU_AP_DUNG'!C:C, "LỖI_MÃ_VT")</f>
        <v/>
      </c>
      <c r="K2377" s="2">
        <f>I2377*J2377</f>
        <v/>
      </c>
      <c r="L2377" t="inlineStr">
        <is>
          <t>Cầu chì kiểm định PCCC</t>
        </is>
      </c>
    </row>
    <row r="2378">
      <c r="A2378" t="inlineStr">
        <is>
          <t>SW-DAMPER-575-BODY</t>
        </is>
      </c>
      <c r="B2378" t="inlineStr">
        <is>
          <t>SW-DAMPER-575</t>
        </is>
      </c>
      <c r="C2378" t="inlineStr">
        <is>
          <t>Thân vỏ van FD bích TDF (0.75mm)</t>
        </is>
      </c>
      <c r="D2378" t="inlineStr">
        <is>
          <t>TÔN_CUỘN_MẠ_KẼM</t>
        </is>
      </c>
      <c r="E2378" t="inlineStr">
        <is>
          <t>MAT-STEEL-PN-0.75</t>
        </is>
      </c>
      <c r="F2378" t="inlineStr">
        <is>
          <t>kg</t>
        </is>
      </c>
      <c r="G2378" s="4" t="n">
        <v>4.035528</v>
      </c>
      <c r="H2378" s="2">
        <f>XLOOKUP(B2378, '00_TONG_HOP_BAO_GIA'!B:B, '00_TONG_HOP_BAO_GIA'!G:G, 1)</f>
        <v/>
      </c>
      <c r="I2378" s="5">
        <f>G2378*H2378</f>
        <v/>
      </c>
      <c r="J2378" s="2">
        <f>XLOOKUP(E2378, '06_BANG_GIA_VAT_TU_AP_DUNG'!B:B, '06_BANG_GIA_VAT_TU_AP_DUNG'!C:C, "LỖI_MÃ_VT")</f>
        <v/>
      </c>
      <c r="K2378" s="2">
        <f>I2378*J2378</f>
        <v/>
      </c>
      <c r="L2378" t="inlineStr">
        <is>
          <t>Kích thước vỏ 600.0x400.0x250mm</t>
        </is>
      </c>
    </row>
    <row r="2379">
      <c r="A2379" t="inlineStr">
        <is>
          <t>SW-DAMPER-575-BLADE</t>
        </is>
      </c>
      <c r="B2379" t="inlineStr">
        <is>
          <t>SW-DAMPER-575</t>
        </is>
      </c>
      <c r="C2379" t="inlineStr">
        <is>
          <t>Lá cánh van (3 cánh overlap)</t>
        </is>
      </c>
      <c r="D2379" t="inlineStr">
        <is>
          <t>TÔN_CUỘN_MẠ_KẼM</t>
        </is>
      </c>
      <c r="E2379" t="inlineStr">
        <is>
          <t>MAT-STEEL-PN-0.75</t>
        </is>
      </c>
      <c r="F2379" t="inlineStr">
        <is>
          <t>kg</t>
        </is>
      </c>
      <c r="G2379" s="4" t="n">
        <v>1.754946</v>
      </c>
      <c r="H2379" s="2">
        <f>XLOOKUP(B2379, '00_TONG_HOP_BAO_GIA'!B:B, '00_TONG_HOP_BAO_GIA'!G:G, 1)</f>
        <v/>
      </c>
      <c r="I2379" s="5">
        <f>G2379*H2379</f>
        <v/>
      </c>
      <c r="J2379" s="2">
        <f>XLOOKUP(E2379, '06_BANG_GIA_VAT_TU_AP_DUNG'!B:B, '06_BANG_GIA_VAT_TU_AP_DUNG'!C:C, "LỖI_MÃ_VT")</f>
        <v/>
      </c>
      <c r="K2379" s="2">
        <f>I2379*J2379</f>
        <v/>
      </c>
      <c r="L2379" t="inlineStr">
        <is>
          <t>3 cánh cao 153mm</t>
        </is>
      </c>
    </row>
    <row r="2380">
      <c r="A2380" t="inlineStr">
        <is>
          <t>SW-DAMPER-575-AXLE</t>
        </is>
      </c>
      <c r="B2380" t="inlineStr">
        <is>
          <t>SW-DAMPER-575</t>
        </is>
      </c>
      <c r="C2380" t="inlineStr">
        <is>
          <t>Trục Sus 201 D10</t>
        </is>
      </c>
      <c r="D2380" t="inlineStr">
        <is>
          <t>PHỤ_KIỆN_VAN</t>
        </is>
      </c>
      <c r="E2380" t="inlineStr">
        <is>
          <t>MAT-DAMPER-TRUC-SUS-201-D10</t>
        </is>
      </c>
      <c r="F2380" t="inlineStr">
        <is>
          <t>m</t>
        </is>
      </c>
      <c r="G2380" s="4" t="n">
        <v>1.98</v>
      </c>
      <c r="H2380" s="2">
        <f>XLOOKUP(B2380, '00_TONG_HOP_BAO_GIA'!B:B, '00_TONG_HOP_BAO_GIA'!G:G, 1)</f>
        <v/>
      </c>
      <c r="I2380" s="5">
        <f>G2380*H2380</f>
        <v/>
      </c>
      <c r="J2380" s="2">
        <f>XLOOKUP(E2380, '06_BANG_GIA_VAT_TU_AP_DUNG'!B:B, '06_BANG_GIA_VAT_TU_AP_DUNG'!C:C, "LỖI_MÃ_VT")</f>
        <v/>
      </c>
      <c r="K2380" s="2">
        <f>I2380*J2380</f>
        <v/>
      </c>
      <c r="L2380" t="inlineStr">
        <is>
          <t>3 trục dài 660mm</t>
        </is>
      </c>
    </row>
    <row r="2381">
      <c r="A2381" t="inlineStr">
        <is>
          <t>SW-DAMPER-575-BEARING</t>
        </is>
      </c>
      <c r="B2381" t="inlineStr">
        <is>
          <t>SW-DAMPER-575</t>
        </is>
      </c>
      <c r="C2381" t="inlineStr">
        <is>
          <t>Bạc đồng D10</t>
        </is>
      </c>
      <c r="D2381" t="inlineStr">
        <is>
          <t>PHỤ_KIỆN_VAN</t>
        </is>
      </c>
      <c r="E2381" t="inlineStr">
        <is>
          <t>MAT-DAMPER-BAC-DONG-D10</t>
        </is>
      </c>
      <c r="F2381" t="inlineStr">
        <is>
          <t>Đôi</t>
        </is>
      </c>
      <c r="G2381" s="4" t="n">
        <v>3</v>
      </c>
      <c r="H2381" s="2">
        <f>XLOOKUP(B2381, '00_TONG_HOP_BAO_GIA'!B:B, '00_TONG_HOP_BAO_GIA'!G:G, 1)</f>
        <v/>
      </c>
      <c r="I2381" s="5">
        <f>G2381*H2381</f>
        <v/>
      </c>
      <c r="J2381" s="2">
        <f>XLOOKUP(E2381, '06_BANG_GIA_VAT_TU_AP_DUNG'!B:B, '06_BANG_GIA_VAT_TU_AP_DUNG'!C:C, "LỖI_MÃ_VT")</f>
        <v/>
      </c>
      <c r="K2381" s="2">
        <f>I2381*J2381</f>
        <v/>
      </c>
      <c r="L2381" t="inlineStr">
        <is>
          <t>3 đôi bạc đỡ 2 bên thân</t>
        </is>
      </c>
    </row>
    <row r="2382">
      <c r="A2382" t="inlineStr">
        <is>
          <t>SW-DAMPER-575-GEAR</t>
        </is>
      </c>
      <c r="B2382" t="inlineStr">
        <is>
          <t>SW-DAMPER-575</t>
        </is>
      </c>
      <c r="C2382" t="inlineStr">
        <is>
          <t>Bánh răng van nhôm</t>
        </is>
      </c>
      <c r="D2382" t="inlineStr">
        <is>
          <t>PHỤ_KIỆN_VAN</t>
        </is>
      </c>
      <c r="E2382" t="inlineStr">
        <is>
          <t>MAT-DAMPER-BANH-RANG-VAN-NHOM</t>
        </is>
      </c>
      <c r="F2382" t="inlineStr">
        <is>
          <t>Bộ</t>
        </is>
      </c>
      <c r="G2382" s="4" t="n">
        <v>1</v>
      </c>
      <c r="H2382" s="2">
        <f>XLOOKUP(B2382, '00_TONG_HOP_BAO_GIA'!B:B, '00_TONG_HOP_BAO_GIA'!G:G, 1)</f>
        <v/>
      </c>
      <c r="I2382" s="5">
        <f>G2382*H2382</f>
        <v/>
      </c>
      <c r="J2382" s="2">
        <f>XLOOKUP(E2382, '06_BANG_GIA_VAT_TU_AP_DUNG'!B:B, '06_BANG_GIA_VAT_TU_AP_DUNG'!C:C, "LỖI_MÃ_VT")</f>
        <v/>
      </c>
      <c r="K2382" s="2">
        <f>I2382*J2382</f>
        <v/>
      </c>
      <c r="L2382" t="inlineStr">
        <is>
          <t>Cơ cấu liên động bánh răng van</t>
        </is>
      </c>
    </row>
    <row r="2383">
      <c r="A2383" t="inlineStr">
        <is>
          <t>SW-DAMPER-575-FUSE</t>
        </is>
      </c>
      <c r="B2383" t="inlineStr">
        <is>
          <t>SW-DAMPER-575</t>
        </is>
      </c>
      <c r="C2383" t="inlineStr">
        <is>
          <t>Cầu chì nhiệt nóng chảy 70°C (Elsie/USA)</t>
        </is>
      </c>
      <c r="D2383" t="inlineStr">
        <is>
          <t>PHỤ_KIỆN_VAN</t>
        </is>
      </c>
      <c r="E2383" t="inlineStr">
        <is>
          <t>MAT-DAMPER-CAU-CHI-USA-2-400X400</t>
        </is>
      </c>
      <c r="F2383" t="inlineStr">
        <is>
          <t>Cái</t>
        </is>
      </c>
      <c r="G2383" s="4" t="n">
        <v>1</v>
      </c>
      <c r="H2383" s="2">
        <f>XLOOKUP(B2383, '00_TONG_HOP_BAO_GIA'!B:B, '00_TONG_HOP_BAO_GIA'!G:G, 1)</f>
        <v/>
      </c>
      <c r="I2383" s="5">
        <f>G2383*H2383</f>
        <v/>
      </c>
      <c r="J2383" s="2">
        <f>XLOOKUP(E2383, '06_BANG_GIA_VAT_TU_AP_DUNG'!B:B, '06_BANG_GIA_VAT_TU_AP_DUNG'!C:C, "LỖI_MÃ_VT")</f>
        <v/>
      </c>
      <c r="K2383" s="2">
        <f>I2383*J2383</f>
        <v/>
      </c>
      <c r="L2383" t="inlineStr">
        <is>
          <t>Cầu chì kiểm định PCCC</t>
        </is>
      </c>
    </row>
    <row r="2384">
      <c r="A2384" t="inlineStr">
        <is>
          <t>SW-DAMPER-576-BODY</t>
        </is>
      </c>
      <c r="B2384" t="inlineStr">
        <is>
          <t>SW-DAMPER-576</t>
        </is>
      </c>
      <c r="C2384" t="inlineStr">
        <is>
          <t>Thân vỏ van FD bích TDF (0.75mm)</t>
        </is>
      </c>
      <c r="D2384" t="inlineStr">
        <is>
          <t>TÔN_CUỘN_MẠ_KẼM</t>
        </is>
      </c>
      <c r="E2384" t="inlineStr">
        <is>
          <t>MAT-STEEL-PN-0.75</t>
        </is>
      </c>
      <c r="F2384" t="inlineStr">
        <is>
          <t>kg</t>
        </is>
      </c>
      <c r="G2384" s="4" t="n">
        <v>4.233348</v>
      </c>
      <c r="H2384" s="2">
        <f>XLOOKUP(B2384, '00_TONG_HOP_BAO_GIA'!B:B, '00_TONG_HOP_BAO_GIA'!G:G, 1)</f>
        <v/>
      </c>
      <c r="I2384" s="5">
        <f>G2384*H2384</f>
        <v/>
      </c>
      <c r="J2384" s="2">
        <f>XLOOKUP(E2384, '06_BANG_GIA_VAT_TU_AP_DUNG'!B:B, '06_BANG_GIA_VAT_TU_AP_DUNG'!C:C, "LỖI_MÃ_VT")</f>
        <v/>
      </c>
      <c r="K2384" s="2">
        <f>I2384*J2384</f>
        <v/>
      </c>
      <c r="L2384" t="inlineStr">
        <is>
          <t>Kích thước vỏ 600.0x450.0x250mm</t>
        </is>
      </c>
    </row>
    <row r="2385">
      <c r="A2385" t="inlineStr">
        <is>
          <t>SW-DAMPER-576-BLADE</t>
        </is>
      </c>
      <c r="B2385" t="inlineStr">
        <is>
          <t>SW-DAMPER-576</t>
        </is>
      </c>
      <c r="C2385" t="inlineStr">
        <is>
          <t>Lá cánh van (3 cánh overlap)</t>
        </is>
      </c>
      <c r="D2385" t="inlineStr">
        <is>
          <t>TÔN_CUỘN_MẠ_KẼM</t>
        </is>
      </c>
      <c r="E2385" t="inlineStr">
        <is>
          <t>MAT-STEEL-PN-0.75</t>
        </is>
      </c>
      <c r="F2385" t="inlineStr">
        <is>
          <t>kg</t>
        </is>
      </c>
      <c r="G2385" s="4" t="n">
        <v>1.945701</v>
      </c>
      <c r="H2385" s="2">
        <f>XLOOKUP(B2385, '00_TONG_HOP_BAO_GIA'!B:B, '00_TONG_HOP_BAO_GIA'!G:G, 1)</f>
        <v/>
      </c>
      <c r="I2385" s="5">
        <f>G2385*H2385</f>
        <v/>
      </c>
      <c r="J2385" s="2">
        <f>XLOOKUP(E2385, '06_BANG_GIA_VAT_TU_AP_DUNG'!B:B, '06_BANG_GIA_VAT_TU_AP_DUNG'!C:C, "LỖI_MÃ_VT")</f>
        <v/>
      </c>
      <c r="K2385" s="2">
        <f>I2385*J2385</f>
        <v/>
      </c>
      <c r="L2385" t="inlineStr">
        <is>
          <t>3 cánh cao 170mm</t>
        </is>
      </c>
    </row>
    <row r="2386">
      <c r="A2386" t="inlineStr">
        <is>
          <t>SW-DAMPER-576-AXLE</t>
        </is>
      </c>
      <c r="B2386" t="inlineStr">
        <is>
          <t>SW-DAMPER-576</t>
        </is>
      </c>
      <c r="C2386" t="inlineStr">
        <is>
          <t>Trục Sus 201 D10</t>
        </is>
      </c>
      <c r="D2386" t="inlineStr">
        <is>
          <t>PHỤ_KIỆN_VAN</t>
        </is>
      </c>
      <c r="E2386" t="inlineStr">
        <is>
          <t>MAT-DAMPER-TRUC-SUS-201-D10</t>
        </is>
      </c>
      <c r="F2386" t="inlineStr">
        <is>
          <t>m</t>
        </is>
      </c>
      <c r="G2386" s="4" t="n">
        <v>1.98</v>
      </c>
      <c r="H2386" s="2">
        <f>XLOOKUP(B2386, '00_TONG_HOP_BAO_GIA'!B:B, '00_TONG_HOP_BAO_GIA'!G:G, 1)</f>
        <v/>
      </c>
      <c r="I2386" s="5">
        <f>G2386*H2386</f>
        <v/>
      </c>
      <c r="J2386" s="2">
        <f>XLOOKUP(E2386, '06_BANG_GIA_VAT_TU_AP_DUNG'!B:B, '06_BANG_GIA_VAT_TU_AP_DUNG'!C:C, "LỖI_MÃ_VT")</f>
        <v/>
      </c>
      <c r="K2386" s="2">
        <f>I2386*J2386</f>
        <v/>
      </c>
      <c r="L2386" t="inlineStr">
        <is>
          <t>3 trục dài 660mm</t>
        </is>
      </c>
    </row>
    <row r="2387">
      <c r="A2387" t="inlineStr">
        <is>
          <t>SW-DAMPER-576-BEARING</t>
        </is>
      </c>
      <c r="B2387" t="inlineStr">
        <is>
          <t>SW-DAMPER-576</t>
        </is>
      </c>
      <c r="C2387" t="inlineStr">
        <is>
          <t>Bạc đồng D10</t>
        </is>
      </c>
      <c r="D2387" t="inlineStr">
        <is>
          <t>PHỤ_KIỆN_VAN</t>
        </is>
      </c>
      <c r="E2387" t="inlineStr">
        <is>
          <t>MAT-DAMPER-BAC-DONG-D10</t>
        </is>
      </c>
      <c r="F2387" t="inlineStr">
        <is>
          <t>Đôi</t>
        </is>
      </c>
      <c r="G2387" s="4" t="n">
        <v>3</v>
      </c>
      <c r="H2387" s="2">
        <f>XLOOKUP(B2387, '00_TONG_HOP_BAO_GIA'!B:B, '00_TONG_HOP_BAO_GIA'!G:G, 1)</f>
        <v/>
      </c>
      <c r="I2387" s="5">
        <f>G2387*H2387</f>
        <v/>
      </c>
      <c r="J2387" s="2">
        <f>XLOOKUP(E2387, '06_BANG_GIA_VAT_TU_AP_DUNG'!B:B, '06_BANG_GIA_VAT_TU_AP_DUNG'!C:C, "LỖI_MÃ_VT")</f>
        <v/>
      </c>
      <c r="K2387" s="2">
        <f>I2387*J2387</f>
        <v/>
      </c>
      <c r="L2387" t="inlineStr">
        <is>
          <t>3 đôi bạc đỡ 2 bên thân</t>
        </is>
      </c>
    </row>
    <row r="2388">
      <c r="A2388" t="inlineStr">
        <is>
          <t>SW-DAMPER-576-GEAR</t>
        </is>
      </c>
      <c r="B2388" t="inlineStr">
        <is>
          <t>SW-DAMPER-576</t>
        </is>
      </c>
      <c r="C2388" t="inlineStr">
        <is>
          <t>Bánh răng van nhôm</t>
        </is>
      </c>
      <c r="D2388" t="inlineStr">
        <is>
          <t>PHỤ_KIỆN_VAN</t>
        </is>
      </c>
      <c r="E2388" t="inlineStr">
        <is>
          <t>MAT-DAMPER-BANH-RANG-VAN-NHOM</t>
        </is>
      </c>
      <c r="F2388" t="inlineStr">
        <is>
          <t>Bộ</t>
        </is>
      </c>
      <c r="G2388" s="4" t="n">
        <v>1</v>
      </c>
      <c r="H2388" s="2">
        <f>XLOOKUP(B2388, '00_TONG_HOP_BAO_GIA'!B:B, '00_TONG_HOP_BAO_GIA'!G:G, 1)</f>
        <v/>
      </c>
      <c r="I2388" s="5">
        <f>G2388*H2388</f>
        <v/>
      </c>
      <c r="J2388" s="2">
        <f>XLOOKUP(E2388, '06_BANG_GIA_VAT_TU_AP_DUNG'!B:B, '06_BANG_GIA_VAT_TU_AP_DUNG'!C:C, "LỖI_MÃ_VT")</f>
        <v/>
      </c>
      <c r="K2388" s="2">
        <f>I2388*J2388</f>
        <v/>
      </c>
      <c r="L2388" t="inlineStr">
        <is>
          <t>Cơ cấu liên động bánh răng van</t>
        </is>
      </c>
    </row>
    <row r="2389">
      <c r="A2389" t="inlineStr">
        <is>
          <t>SW-DAMPER-576-FUSE</t>
        </is>
      </c>
      <c r="B2389" t="inlineStr">
        <is>
          <t>SW-DAMPER-576</t>
        </is>
      </c>
      <c r="C2389" t="inlineStr">
        <is>
          <t>Cầu chì nhiệt nóng chảy 70°C (Elsie/USA)</t>
        </is>
      </c>
      <c r="D2389" t="inlineStr">
        <is>
          <t>PHỤ_KIỆN_VAN</t>
        </is>
      </c>
      <c r="E2389" t="inlineStr">
        <is>
          <t>MAT-DAMPER-CAU-CHI-USA-2-400X400</t>
        </is>
      </c>
      <c r="F2389" t="inlineStr">
        <is>
          <t>Cái</t>
        </is>
      </c>
      <c r="G2389" s="4" t="n">
        <v>1</v>
      </c>
      <c r="H2389" s="2">
        <f>XLOOKUP(B2389, '00_TONG_HOP_BAO_GIA'!B:B, '00_TONG_HOP_BAO_GIA'!G:G, 1)</f>
        <v/>
      </c>
      <c r="I2389" s="5">
        <f>G2389*H2389</f>
        <v/>
      </c>
      <c r="J2389" s="2">
        <f>XLOOKUP(E2389, '06_BANG_GIA_VAT_TU_AP_DUNG'!B:B, '06_BANG_GIA_VAT_TU_AP_DUNG'!C:C, "LỖI_MÃ_VT")</f>
        <v/>
      </c>
      <c r="K2389" s="2">
        <f>I2389*J2389</f>
        <v/>
      </c>
      <c r="L2389" t="inlineStr">
        <is>
          <t>Cầu chì kiểm định PCCC</t>
        </is>
      </c>
    </row>
    <row r="2390">
      <c r="A2390" t="inlineStr">
        <is>
          <t>SW-DAMPER-577-BODY</t>
        </is>
      </c>
      <c r="B2390" t="inlineStr">
        <is>
          <t>SW-DAMPER-577</t>
        </is>
      </c>
      <c r="C2390" t="inlineStr">
        <is>
          <t>Thân vỏ van FD bích TDF (0.75mm)</t>
        </is>
      </c>
      <c r="D2390" t="inlineStr">
        <is>
          <t>TÔN_CUỘN_MẠ_KẼM</t>
        </is>
      </c>
      <c r="E2390" t="inlineStr">
        <is>
          <t>MAT-STEEL-PN-0.75</t>
        </is>
      </c>
      <c r="F2390" t="inlineStr">
        <is>
          <t>kg</t>
        </is>
      </c>
      <c r="G2390" s="4" t="n">
        <v>4.233348</v>
      </c>
      <c r="H2390" s="2">
        <f>XLOOKUP(B2390, '00_TONG_HOP_BAO_GIA'!B:B, '00_TONG_HOP_BAO_GIA'!G:G, 1)</f>
        <v/>
      </c>
      <c r="I2390" s="5">
        <f>G2390*H2390</f>
        <v/>
      </c>
      <c r="J2390" s="2">
        <f>XLOOKUP(E2390, '06_BANG_GIA_VAT_TU_AP_DUNG'!B:B, '06_BANG_GIA_VAT_TU_AP_DUNG'!C:C, "LỖI_MÃ_VT")</f>
        <v/>
      </c>
      <c r="K2390" s="2">
        <f>I2390*J2390</f>
        <v/>
      </c>
      <c r="L2390" t="inlineStr">
        <is>
          <t>Kích thước vỏ 600.0x450.0x250mm</t>
        </is>
      </c>
    </row>
    <row r="2391">
      <c r="A2391" t="inlineStr">
        <is>
          <t>SW-DAMPER-577-BLADE</t>
        </is>
      </c>
      <c r="B2391" t="inlineStr">
        <is>
          <t>SW-DAMPER-577</t>
        </is>
      </c>
      <c r="C2391" t="inlineStr">
        <is>
          <t>Lá cánh van (3 cánh overlap)</t>
        </is>
      </c>
      <c r="D2391" t="inlineStr">
        <is>
          <t>TÔN_CUỘN_MẠ_KẼM</t>
        </is>
      </c>
      <c r="E2391" t="inlineStr">
        <is>
          <t>MAT-STEEL-PN-0.75</t>
        </is>
      </c>
      <c r="F2391" t="inlineStr">
        <is>
          <t>kg</t>
        </is>
      </c>
      <c r="G2391" s="4" t="n">
        <v>1.945701</v>
      </c>
      <c r="H2391" s="2">
        <f>XLOOKUP(B2391, '00_TONG_HOP_BAO_GIA'!B:B, '00_TONG_HOP_BAO_GIA'!G:G, 1)</f>
        <v/>
      </c>
      <c r="I2391" s="5">
        <f>G2391*H2391</f>
        <v/>
      </c>
      <c r="J2391" s="2">
        <f>XLOOKUP(E2391, '06_BANG_GIA_VAT_TU_AP_DUNG'!B:B, '06_BANG_GIA_VAT_TU_AP_DUNG'!C:C, "LỖI_MÃ_VT")</f>
        <v/>
      </c>
      <c r="K2391" s="2">
        <f>I2391*J2391</f>
        <v/>
      </c>
      <c r="L2391" t="inlineStr">
        <is>
          <t>3 cánh cao 170mm</t>
        </is>
      </c>
    </row>
    <row r="2392">
      <c r="A2392" t="inlineStr">
        <is>
          <t>SW-DAMPER-577-AXLE</t>
        </is>
      </c>
      <c r="B2392" t="inlineStr">
        <is>
          <t>SW-DAMPER-577</t>
        </is>
      </c>
      <c r="C2392" t="inlineStr">
        <is>
          <t>Trục Sus 201 D10</t>
        </is>
      </c>
      <c r="D2392" t="inlineStr">
        <is>
          <t>PHỤ_KIỆN_VAN</t>
        </is>
      </c>
      <c r="E2392" t="inlineStr">
        <is>
          <t>MAT-DAMPER-TRUC-SUS-201-D10</t>
        </is>
      </c>
      <c r="F2392" t="inlineStr">
        <is>
          <t>m</t>
        </is>
      </c>
      <c r="G2392" s="4" t="n">
        <v>1.98</v>
      </c>
      <c r="H2392" s="2">
        <f>XLOOKUP(B2392, '00_TONG_HOP_BAO_GIA'!B:B, '00_TONG_HOP_BAO_GIA'!G:G, 1)</f>
        <v/>
      </c>
      <c r="I2392" s="5">
        <f>G2392*H2392</f>
        <v/>
      </c>
      <c r="J2392" s="2">
        <f>XLOOKUP(E2392, '06_BANG_GIA_VAT_TU_AP_DUNG'!B:B, '06_BANG_GIA_VAT_TU_AP_DUNG'!C:C, "LỖI_MÃ_VT")</f>
        <v/>
      </c>
      <c r="K2392" s="2">
        <f>I2392*J2392</f>
        <v/>
      </c>
      <c r="L2392" t="inlineStr">
        <is>
          <t>3 trục dài 660mm</t>
        </is>
      </c>
    </row>
    <row r="2393">
      <c r="A2393" t="inlineStr">
        <is>
          <t>SW-DAMPER-577-BEARING</t>
        </is>
      </c>
      <c r="B2393" t="inlineStr">
        <is>
          <t>SW-DAMPER-577</t>
        </is>
      </c>
      <c r="C2393" t="inlineStr">
        <is>
          <t>Bạc đồng D10</t>
        </is>
      </c>
      <c r="D2393" t="inlineStr">
        <is>
          <t>PHỤ_KIỆN_VAN</t>
        </is>
      </c>
      <c r="E2393" t="inlineStr">
        <is>
          <t>MAT-DAMPER-BAC-DONG-D10</t>
        </is>
      </c>
      <c r="F2393" t="inlineStr">
        <is>
          <t>Đôi</t>
        </is>
      </c>
      <c r="G2393" s="4" t="n">
        <v>3</v>
      </c>
      <c r="H2393" s="2">
        <f>XLOOKUP(B2393, '00_TONG_HOP_BAO_GIA'!B:B, '00_TONG_HOP_BAO_GIA'!G:G, 1)</f>
        <v/>
      </c>
      <c r="I2393" s="5">
        <f>G2393*H2393</f>
        <v/>
      </c>
      <c r="J2393" s="2">
        <f>XLOOKUP(E2393, '06_BANG_GIA_VAT_TU_AP_DUNG'!B:B, '06_BANG_GIA_VAT_TU_AP_DUNG'!C:C, "LỖI_MÃ_VT")</f>
        <v/>
      </c>
      <c r="K2393" s="2">
        <f>I2393*J2393</f>
        <v/>
      </c>
      <c r="L2393" t="inlineStr">
        <is>
          <t>3 đôi bạc đỡ 2 bên thân</t>
        </is>
      </c>
    </row>
    <row r="2394">
      <c r="A2394" t="inlineStr">
        <is>
          <t>SW-DAMPER-577-GEAR</t>
        </is>
      </c>
      <c r="B2394" t="inlineStr">
        <is>
          <t>SW-DAMPER-577</t>
        </is>
      </c>
      <c r="C2394" t="inlineStr">
        <is>
          <t>Bánh răng van nhôm</t>
        </is>
      </c>
      <c r="D2394" t="inlineStr">
        <is>
          <t>PHỤ_KIỆN_VAN</t>
        </is>
      </c>
      <c r="E2394" t="inlineStr">
        <is>
          <t>MAT-DAMPER-BANH-RANG-VAN-NHOM</t>
        </is>
      </c>
      <c r="F2394" t="inlineStr">
        <is>
          <t>Bộ</t>
        </is>
      </c>
      <c r="G2394" s="4" t="n">
        <v>1</v>
      </c>
      <c r="H2394" s="2">
        <f>XLOOKUP(B2394, '00_TONG_HOP_BAO_GIA'!B:B, '00_TONG_HOP_BAO_GIA'!G:G, 1)</f>
        <v/>
      </c>
      <c r="I2394" s="5">
        <f>G2394*H2394</f>
        <v/>
      </c>
      <c r="J2394" s="2">
        <f>XLOOKUP(E2394, '06_BANG_GIA_VAT_TU_AP_DUNG'!B:B, '06_BANG_GIA_VAT_TU_AP_DUNG'!C:C, "LỖI_MÃ_VT")</f>
        <v/>
      </c>
      <c r="K2394" s="2">
        <f>I2394*J2394</f>
        <v/>
      </c>
      <c r="L2394" t="inlineStr">
        <is>
          <t>Cơ cấu liên động bánh răng van</t>
        </is>
      </c>
    </row>
    <row r="2395">
      <c r="A2395" t="inlineStr">
        <is>
          <t>SW-DAMPER-577-FUSE</t>
        </is>
      </c>
      <c r="B2395" t="inlineStr">
        <is>
          <t>SW-DAMPER-577</t>
        </is>
      </c>
      <c r="C2395" t="inlineStr">
        <is>
          <t>Cầu chì nhiệt nóng chảy 70°C (Elsie/USA)</t>
        </is>
      </c>
      <c r="D2395" t="inlineStr">
        <is>
          <t>PHỤ_KIỆN_VAN</t>
        </is>
      </c>
      <c r="E2395" t="inlineStr">
        <is>
          <t>MAT-DAMPER-CAU-CHI-USA-2-400X400</t>
        </is>
      </c>
      <c r="F2395" t="inlineStr">
        <is>
          <t>Cái</t>
        </is>
      </c>
      <c r="G2395" s="4" t="n">
        <v>1</v>
      </c>
      <c r="H2395" s="2">
        <f>XLOOKUP(B2395, '00_TONG_HOP_BAO_GIA'!B:B, '00_TONG_HOP_BAO_GIA'!G:G, 1)</f>
        <v/>
      </c>
      <c r="I2395" s="5">
        <f>G2395*H2395</f>
        <v/>
      </c>
      <c r="J2395" s="2">
        <f>XLOOKUP(E2395, '06_BANG_GIA_VAT_TU_AP_DUNG'!B:B, '06_BANG_GIA_VAT_TU_AP_DUNG'!C:C, "LỖI_MÃ_VT")</f>
        <v/>
      </c>
      <c r="K2395" s="2">
        <f>I2395*J2395</f>
        <v/>
      </c>
      <c r="L2395" t="inlineStr">
        <is>
          <t>Cầu chì kiểm định PCCC</t>
        </is>
      </c>
    </row>
    <row r="2396">
      <c r="A2396" t="inlineStr">
        <is>
          <t>SW-DAMPER-578-BODY</t>
        </is>
      </c>
      <c r="B2396" t="inlineStr">
        <is>
          <t>SW-DAMPER-578</t>
        </is>
      </c>
      <c r="C2396" t="inlineStr">
        <is>
          <t>Thân vỏ van FD bích TDF (0.75mm)</t>
        </is>
      </c>
      <c r="D2396" t="inlineStr">
        <is>
          <t>TÔN_CUỘN_MẠ_KẼM</t>
        </is>
      </c>
      <c r="E2396" t="inlineStr">
        <is>
          <t>MAT-STEEL-PN-0.75</t>
        </is>
      </c>
      <c r="F2396" t="inlineStr">
        <is>
          <t>kg</t>
        </is>
      </c>
      <c r="G2396" s="4" t="n">
        <v>4.431168</v>
      </c>
      <c r="H2396" s="2">
        <f>XLOOKUP(B2396, '00_TONG_HOP_BAO_GIA'!B:B, '00_TONG_HOP_BAO_GIA'!G:G, 1)</f>
        <v/>
      </c>
      <c r="I2396" s="5">
        <f>G2396*H2396</f>
        <v/>
      </c>
      <c r="J2396" s="2">
        <f>XLOOKUP(E2396, '06_BANG_GIA_VAT_TU_AP_DUNG'!B:B, '06_BANG_GIA_VAT_TU_AP_DUNG'!C:C, "LỖI_MÃ_VT")</f>
        <v/>
      </c>
      <c r="K2396" s="2">
        <f>I2396*J2396</f>
        <v/>
      </c>
      <c r="L2396" t="inlineStr">
        <is>
          <t>Kích thước vỏ 750.0x350.0x250mm</t>
        </is>
      </c>
    </row>
    <row r="2397">
      <c r="A2397" t="inlineStr">
        <is>
          <t>SW-DAMPER-578-BLADE</t>
        </is>
      </c>
      <c r="B2397" t="inlineStr">
        <is>
          <t>SW-DAMPER-578</t>
        </is>
      </c>
      <c r="C2397" t="inlineStr">
        <is>
          <t>Lá cánh van (2 cánh overlap)</t>
        </is>
      </c>
      <c r="D2397" t="inlineStr">
        <is>
          <t>TÔN_CUỘN_MẠ_KẼM</t>
        </is>
      </c>
      <c r="E2397" t="inlineStr">
        <is>
          <t>MAT-STEEL-PN-0.75</t>
        </is>
      </c>
      <c r="F2397" t="inlineStr">
        <is>
          <t>kg</t>
        </is>
      </c>
      <c r="G2397" s="4" t="n">
        <v>1.85986125</v>
      </c>
      <c r="H2397" s="2">
        <f>XLOOKUP(B2397, '00_TONG_HOP_BAO_GIA'!B:B, '00_TONG_HOP_BAO_GIA'!G:G, 1)</f>
        <v/>
      </c>
      <c r="I2397" s="5">
        <f>G2397*H2397</f>
        <v/>
      </c>
      <c r="J2397" s="2">
        <f>XLOOKUP(E2397, '06_BANG_GIA_VAT_TU_AP_DUNG'!B:B, '06_BANG_GIA_VAT_TU_AP_DUNG'!C:C, "LỖI_MÃ_VT")</f>
        <v/>
      </c>
      <c r="K2397" s="2">
        <f>I2397*J2397</f>
        <v/>
      </c>
      <c r="L2397" t="inlineStr">
        <is>
          <t>2 cánh cao 195mm</t>
        </is>
      </c>
    </row>
    <row r="2398">
      <c r="A2398" t="inlineStr">
        <is>
          <t>SW-DAMPER-578-AXLE</t>
        </is>
      </c>
      <c r="B2398" t="inlineStr">
        <is>
          <t>SW-DAMPER-578</t>
        </is>
      </c>
      <c r="C2398" t="inlineStr">
        <is>
          <t>Trục Sus 201 D10</t>
        </is>
      </c>
      <c r="D2398" t="inlineStr">
        <is>
          <t>PHỤ_KIỆN_VAN</t>
        </is>
      </c>
      <c r="E2398" t="inlineStr">
        <is>
          <t>MAT-DAMPER-TRUC-SUS-201-D10</t>
        </is>
      </c>
      <c r="F2398" t="inlineStr">
        <is>
          <t>m</t>
        </is>
      </c>
      <c r="G2398" s="4" t="n">
        <v>1.62</v>
      </c>
      <c r="H2398" s="2">
        <f>XLOOKUP(B2398, '00_TONG_HOP_BAO_GIA'!B:B, '00_TONG_HOP_BAO_GIA'!G:G, 1)</f>
        <v/>
      </c>
      <c r="I2398" s="5">
        <f>G2398*H2398</f>
        <v/>
      </c>
      <c r="J2398" s="2">
        <f>XLOOKUP(E2398, '06_BANG_GIA_VAT_TU_AP_DUNG'!B:B, '06_BANG_GIA_VAT_TU_AP_DUNG'!C:C, "LỖI_MÃ_VT")</f>
        <v/>
      </c>
      <c r="K2398" s="2">
        <f>I2398*J2398</f>
        <v/>
      </c>
      <c r="L2398" t="inlineStr">
        <is>
          <t>2 trục dài 810mm</t>
        </is>
      </c>
    </row>
    <row r="2399">
      <c r="A2399" t="inlineStr">
        <is>
          <t>SW-DAMPER-578-BEARING</t>
        </is>
      </c>
      <c r="B2399" t="inlineStr">
        <is>
          <t>SW-DAMPER-578</t>
        </is>
      </c>
      <c r="C2399" t="inlineStr">
        <is>
          <t>Bạc đồng D10</t>
        </is>
      </c>
      <c r="D2399" t="inlineStr">
        <is>
          <t>PHỤ_KIỆN_VAN</t>
        </is>
      </c>
      <c r="E2399" t="inlineStr">
        <is>
          <t>MAT-DAMPER-BAC-DONG-D10</t>
        </is>
      </c>
      <c r="F2399" t="inlineStr">
        <is>
          <t>Đôi</t>
        </is>
      </c>
      <c r="G2399" s="4" t="n">
        <v>2</v>
      </c>
      <c r="H2399" s="2">
        <f>XLOOKUP(B2399, '00_TONG_HOP_BAO_GIA'!B:B, '00_TONG_HOP_BAO_GIA'!G:G, 1)</f>
        <v/>
      </c>
      <c r="I2399" s="5">
        <f>G2399*H2399</f>
        <v/>
      </c>
      <c r="J2399" s="2">
        <f>XLOOKUP(E2399, '06_BANG_GIA_VAT_TU_AP_DUNG'!B:B, '06_BANG_GIA_VAT_TU_AP_DUNG'!C:C, "LỖI_MÃ_VT")</f>
        <v/>
      </c>
      <c r="K2399" s="2">
        <f>I2399*J2399</f>
        <v/>
      </c>
      <c r="L2399" t="inlineStr">
        <is>
          <t>2 đôi bạc đỡ 2 bên thân</t>
        </is>
      </c>
    </row>
    <row r="2400">
      <c r="A2400" t="inlineStr">
        <is>
          <t>SW-DAMPER-578-GEAR</t>
        </is>
      </c>
      <c r="B2400" t="inlineStr">
        <is>
          <t>SW-DAMPER-578</t>
        </is>
      </c>
      <c r="C2400" t="inlineStr">
        <is>
          <t>Bánh răng van nhôm</t>
        </is>
      </c>
      <c r="D2400" t="inlineStr">
        <is>
          <t>PHỤ_KIỆN_VAN</t>
        </is>
      </c>
      <c r="E2400" t="inlineStr">
        <is>
          <t>MAT-DAMPER-BANH-RANG-VAN-NHOM</t>
        </is>
      </c>
      <c r="F2400" t="inlineStr">
        <is>
          <t>Bộ</t>
        </is>
      </c>
      <c r="G2400" s="4" t="n">
        <v>1</v>
      </c>
      <c r="H2400" s="2">
        <f>XLOOKUP(B2400, '00_TONG_HOP_BAO_GIA'!B:B, '00_TONG_HOP_BAO_GIA'!G:G, 1)</f>
        <v/>
      </c>
      <c r="I2400" s="5">
        <f>G2400*H2400</f>
        <v/>
      </c>
      <c r="J2400" s="2">
        <f>XLOOKUP(E2400, '06_BANG_GIA_VAT_TU_AP_DUNG'!B:B, '06_BANG_GIA_VAT_TU_AP_DUNG'!C:C, "LỖI_MÃ_VT")</f>
        <v/>
      </c>
      <c r="K2400" s="2">
        <f>I2400*J2400</f>
        <v/>
      </c>
      <c r="L2400" t="inlineStr">
        <is>
          <t>Cơ cấu liên động bánh răng van</t>
        </is>
      </c>
    </row>
    <row r="2401">
      <c r="A2401" t="inlineStr">
        <is>
          <t>SW-DAMPER-578-FUSE</t>
        </is>
      </c>
      <c r="B2401" t="inlineStr">
        <is>
          <t>SW-DAMPER-578</t>
        </is>
      </c>
      <c r="C2401" t="inlineStr">
        <is>
          <t>Cầu chì nhiệt nóng chảy 70°C (Elsie/USA)</t>
        </is>
      </c>
      <c r="D2401" t="inlineStr">
        <is>
          <t>PHỤ_KIỆN_VAN</t>
        </is>
      </c>
      <c r="E2401" t="inlineStr">
        <is>
          <t>MAT-DAMPER-CAU-CHI-USA-2-400X400</t>
        </is>
      </c>
      <c r="F2401" t="inlineStr">
        <is>
          <t>Cái</t>
        </is>
      </c>
      <c r="G2401" s="4" t="n">
        <v>1</v>
      </c>
      <c r="H2401" s="2">
        <f>XLOOKUP(B2401, '00_TONG_HOP_BAO_GIA'!B:B, '00_TONG_HOP_BAO_GIA'!G:G, 1)</f>
        <v/>
      </c>
      <c r="I2401" s="5">
        <f>G2401*H2401</f>
        <v/>
      </c>
      <c r="J2401" s="2">
        <f>XLOOKUP(E2401, '06_BANG_GIA_VAT_TU_AP_DUNG'!B:B, '06_BANG_GIA_VAT_TU_AP_DUNG'!C:C, "LỖI_MÃ_VT")</f>
        <v/>
      </c>
      <c r="K2401" s="2">
        <f>I2401*J2401</f>
        <v/>
      </c>
      <c r="L2401" t="inlineStr">
        <is>
          <t>Cầu chì kiểm định PCCC</t>
        </is>
      </c>
    </row>
    <row r="2402">
      <c r="A2402" t="inlineStr">
        <is>
          <t>SW-DAMPER-579-BODY</t>
        </is>
      </c>
      <c r="B2402" t="inlineStr">
        <is>
          <t>SW-DAMPER-579</t>
        </is>
      </c>
      <c r="C2402" t="inlineStr">
        <is>
          <t>Thân vỏ van FD bích TDF (0.75mm)</t>
        </is>
      </c>
      <c r="D2402" t="inlineStr">
        <is>
          <t>TÔN_CUỘN_MẠ_KẼM</t>
        </is>
      </c>
      <c r="E2402" t="inlineStr">
        <is>
          <t>MAT-STEEL-PN-0.75</t>
        </is>
      </c>
      <c r="F2402" t="inlineStr">
        <is>
          <t>kg</t>
        </is>
      </c>
      <c r="G2402" s="4" t="n">
        <v>4.431168</v>
      </c>
      <c r="H2402" s="2">
        <f>XLOOKUP(B2402, '00_TONG_HOP_BAO_GIA'!B:B, '00_TONG_HOP_BAO_GIA'!G:G, 1)</f>
        <v/>
      </c>
      <c r="I2402" s="5">
        <f>G2402*H2402</f>
        <v/>
      </c>
      <c r="J2402" s="2">
        <f>XLOOKUP(E2402, '06_BANG_GIA_VAT_TU_AP_DUNG'!B:B, '06_BANG_GIA_VAT_TU_AP_DUNG'!C:C, "LỖI_MÃ_VT")</f>
        <v/>
      </c>
      <c r="K2402" s="2">
        <f>I2402*J2402</f>
        <v/>
      </c>
      <c r="L2402" t="inlineStr">
        <is>
          <t>Kích thước vỏ 750.0x350.0x250mm</t>
        </is>
      </c>
    </row>
    <row r="2403">
      <c r="A2403" t="inlineStr">
        <is>
          <t>SW-DAMPER-579-BLADE</t>
        </is>
      </c>
      <c r="B2403" t="inlineStr">
        <is>
          <t>SW-DAMPER-579</t>
        </is>
      </c>
      <c r="C2403" t="inlineStr">
        <is>
          <t>Lá cánh van (2 cánh overlap)</t>
        </is>
      </c>
      <c r="D2403" t="inlineStr">
        <is>
          <t>TÔN_CUỘN_MẠ_KẼM</t>
        </is>
      </c>
      <c r="E2403" t="inlineStr">
        <is>
          <t>MAT-STEEL-PN-0.75</t>
        </is>
      </c>
      <c r="F2403" t="inlineStr">
        <is>
          <t>kg</t>
        </is>
      </c>
      <c r="G2403" s="4" t="n">
        <v>1.85986125</v>
      </c>
      <c r="H2403" s="2">
        <f>XLOOKUP(B2403, '00_TONG_HOP_BAO_GIA'!B:B, '00_TONG_HOP_BAO_GIA'!G:G, 1)</f>
        <v/>
      </c>
      <c r="I2403" s="5">
        <f>G2403*H2403</f>
        <v/>
      </c>
      <c r="J2403" s="2">
        <f>XLOOKUP(E2403, '06_BANG_GIA_VAT_TU_AP_DUNG'!B:B, '06_BANG_GIA_VAT_TU_AP_DUNG'!C:C, "LỖI_MÃ_VT")</f>
        <v/>
      </c>
      <c r="K2403" s="2">
        <f>I2403*J2403</f>
        <v/>
      </c>
      <c r="L2403" t="inlineStr">
        <is>
          <t>2 cánh cao 195mm</t>
        </is>
      </c>
    </row>
    <row r="2404">
      <c r="A2404" t="inlineStr">
        <is>
          <t>SW-DAMPER-579-AXLE</t>
        </is>
      </c>
      <c r="B2404" t="inlineStr">
        <is>
          <t>SW-DAMPER-579</t>
        </is>
      </c>
      <c r="C2404" t="inlineStr">
        <is>
          <t>Trục Sus 201 D10</t>
        </is>
      </c>
      <c r="D2404" t="inlineStr">
        <is>
          <t>PHỤ_KIỆN_VAN</t>
        </is>
      </c>
      <c r="E2404" t="inlineStr">
        <is>
          <t>MAT-DAMPER-TRUC-SUS-201-D10</t>
        </is>
      </c>
      <c r="F2404" t="inlineStr">
        <is>
          <t>m</t>
        </is>
      </c>
      <c r="G2404" s="4" t="n">
        <v>1.62</v>
      </c>
      <c r="H2404" s="2">
        <f>XLOOKUP(B2404, '00_TONG_HOP_BAO_GIA'!B:B, '00_TONG_HOP_BAO_GIA'!G:G, 1)</f>
        <v/>
      </c>
      <c r="I2404" s="5">
        <f>G2404*H2404</f>
        <v/>
      </c>
      <c r="J2404" s="2">
        <f>XLOOKUP(E2404, '06_BANG_GIA_VAT_TU_AP_DUNG'!B:B, '06_BANG_GIA_VAT_TU_AP_DUNG'!C:C, "LỖI_MÃ_VT")</f>
        <v/>
      </c>
      <c r="K2404" s="2">
        <f>I2404*J2404</f>
        <v/>
      </c>
      <c r="L2404" t="inlineStr">
        <is>
          <t>2 trục dài 810mm</t>
        </is>
      </c>
    </row>
    <row r="2405">
      <c r="A2405" t="inlineStr">
        <is>
          <t>SW-DAMPER-579-BEARING</t>
        </is>
      </c>
      <c r="B2405" t="inlineStr">
        <is>
          <t>SW-DAMPER-579</t>
        </is>
      </c>
      <c r="C2405" t="inlineStr">
        <is>
          <t>Bạc đồng D10</t>
        </is>
      </c>
      <c r="D2405" t="inlineStr">
        <is>
          <t>PHỤ_KIỆN_VAN</t>
        </is>
      </c>
      <c r="E2405" t="inlineStr">
        <is>
          <t>MAT-DAMPER-BAC-DONG-D10</t>
        </is>
      </c>
      <c r="F2405" t="inlineStr">
        <is>
          <t>Đôi</t>
        </is>
      </c>
      <c r="G2405" s="4" t="n">
        <v>2</v>
      </c>
      <c r="H2405" s="2">
        <f>XLOOKUP(B2405, '00_TONG_HOP_BAO_GIA'!B:B, '00_TONG_HOP_BAO_GIA'!G:G, 1)</f>
        <v/>
      </c>
      <c r="I2405" s="5">
        <f>G2405*H2405</f>
        <v/>
      </c>
      <c r="J2405" s="2">
        <f>XLOOKUP(E2405, '06_BANG_GIA_VAT_TU_AP_DUNG'!B:B, '06_BANG_GIA_VAT_TU_AP_DUNG'!C:C, "LỖI_MÃ_VT")</f>
        <v/>
      </c>
      <c r="K2405" s="2">
        <f>I2405*J2405</f>
        <v/>
      </c>
      <c r="L2405" t="inlineStr">
        <is>
          <t>2 đôi bạc đỡ 2 bên thân</t>
        </is>
      </c>
    </row>
    <row r="2406">
      <c r="A2406" t="inlineStr">
        <is>
          <t>SW-DAMPER-579-GEAR</t>
        </is>
      </c>
      <c r="B2406" t="inlineStr">
        <is>
          <t>SW-DAMPER-579</t>
        </is>
      </c>
      <c r="C2406" t="inlineStr">
        <is>
          <t>Bánh răng van nhôm</t>
        </is>
      </c>
      <c r="D2406" t="inlineStr">
        <is>
          <t>PHỤ_KIỆN_VAN</t>
        </is>
      </c>
      <c r="E2406" t="inlineStr">
        <is>
          <t>MAT-DAMPER-BANH-RANG-VAN-NHOM</t>
        </is>
      </c>
      <c r="F2406" t="inlineStr">
        <is>
          <t>Bộ</t>
        </is>
      </c>
      <c r="G2406" s="4" t="n">
        <v>1</v>
      </c>
      <c r="H2406" s="2">
        <f>XLOOKUP(B2406, '00_TONG_HOP_BAO_GIA'!B:B, '00_TONG_HOP_BAO_GIA'!G:G, 1)</f>
        <v/>
      </c>
      <c r="I2406" s="5">
        <f>G2406*H2406</f>
        <v/>
      </c>
      <c r="J2406" s="2">
        <f>XLOOKUP(E2406, '06_BANG_GIA_VAT_TU_AP_DUNG'!B:B, '06_BANG_GIA_VAT_TU_AP_DUNG'!C:C, "LỖI_MÃ_VT")</f>
        <v/>
      </c>
      <c r="K2406" s="2">
        <f>I2406*J2406</f>
        <v/>
      </c>
      <c r="L2406" t="inlineStr">
        <is>
          <t>Cơ cấu liên động bánh răng van</t>
        </is>
      </c>
    </row>
    <row r="2407">
      <c r="A2407" t="inlineStr">
        <is>
          <t>SW-DAMPER-579-FUSE</t>
        </is>
      </c>
      <c r="B2407" t="inlineStr">
        <is>
          <t>SW-DAMPER-579</t>
        </is>
      </c>
      <c r="C2407" t="inlineStr">
        <is>
          <t>Cầu chì nhiệt nóng chảy 70°C (Elsie/USA)</t>
        </is>
      </c>
      <c r="D2407" t="inlineStr">
        <is>
          <t>PHỤ_KIỆN_VAN</t>
        </is>
      </c>
      <c r="E2407" t="inlineStr">
        <is>
          <t>MAT-DAMPER-CAU-CHI-USA-2-400X400</t>
        </is>
      </c>
      <c r="F2407" t="inlineStr">
        <is>
          <t>Cái</t>
        </is>
      </c>
      <c r="G2407" s="4" t="n">
        <v>1</v>
      </c>
      <c r="H2407" s="2">
        <f>XLOOKUP(B2407, '00_TONG_HOP_BAO_GIA'!B:B, '00_TONG_HOP_BAO_GIA'!G:G, 1)</f>
        <v/>
      </c>
      <c r="I2407" s="5">
        <f>G2407*H2407</f>
        <v/>
      </c>
      <c r="J2407" s="2">
        <f>XLOOKUP(E2407, '06_BANG_GIA_VAT_TU_AP_DUNG'!B:B, '06_BANG_GIA_VAT_TU_AP_DUNG'!C:C, "LỖI_MÃ_VT")</f>
        <v/>
      </c>
      <c r="K2407" s="2">
        <f>I2407*J2407</f>
        <v/>
      </c>
      <c r="L2407" t="inlineStr">
        <is>
          <t>Cầu chì kiểm định PCCC</t>
        </is>
      </c>
    </row>
    <row r="2408">
      <c r="A2408" t="inlineStr">
        <is>
          <t>SW-DAMPER-580-BODY</t>
        </is>
      </c>
      <c r="B2408" t="inlineStr">
        <is>
          <t>SW-DAMPER-580</t>
        </is>
      </c>
      <c r="C2408" t="inlineStr">
        <is>
          <t>Thân vỏ van FD bích TDF (0.95mm)</t>
        </is>
      </c>
      <c r="D2408" t="inlineStr">
        <is>
          <t>TÔN_CUỘN_MẠ_KẼM</t>
        </is>
      </c>
      <c r="E2408" t="inlineStr">
        <is>
          <t>MAT-STEEL-PN-0.95</t>
        </is>
      </c>
      <c r="F2408" t="inlineStr">
        <is>
          <t>kg</t>
        </is>
      </c>
      <c r="G2408" s="4" t="n">
        <v>8.118532800000002</v>
      </c>
      <c r="H2408" s="2">
        <f>XLOOKUP(B2408, '00_TONG_HOP_BAO_GIA'!B:B, '00_TONG_HOP_BAO_GIA'!G:G, 1)</f>
        <v/>
      </c>
      <c r="I2408" s="5">
        <f>G2408*H2408</f>
        <v/>
      </c>
      <c r="J2408" s="2">
        <f>XLOOKUP(E2408, '06_BANG_GIA_VAT_TU_AP_DUNG'!B:B, '06_BANG_GIA_VAT_TU_AP_DUNG'!C:C, "LỖI_MÃ_VT")</f>
        <v/>
      </c>
      <c r="K2408" s="2">
        <f>I2408*J2408</f>
        <v/>
      </c>
      <c r="L2408" t="inlineStr">
        <is>
          <t>Kích thước vỏ 1000.0x600.0x250mm</t>
        </is>
      </c>
    </row>
    <row r="2409">
      <c r="A2409" t="inlineStr">
        <is>
          <t>SW-DAMPER-580-BLADE</t>
        </is>
      </c>
      <c r="B2409" t="inlineStr">
        <is>
          <t>SW-DAMPER-580</t>
        </is>
      </c>
      <c r="C2409" t="inlineStr">
        <is>
          <t>Lá cánh van (4 cánh overlap)</t>
        </is>
      </c>
      <c r="D2409" t="inlineStr">
        <is>
          <t>TÔN_CUỘN_MẠ_KẼM</t>
        </is>
      </c>
      <c r="E2409" t="inlineStr">
        <is>
          <t>MAT-STEEL-PN-0.75</t>
        </is>
      </c>
      <c r="F2409" t="inlineStr">
        <is>
          <t>kg</t>
        </is>
      </c>
      <c r="G2409" s="4" t="n">
        <v>4.32378</v>
      </c>
      <c r="H2409" s="2">
        <f>XLOOKUP(B2409, '00_TONG_HOP_BAO_GIA'!B:B, '00_TONG_HOP_BAO_GIA'!G:G, 1)</f>
        <v/>
      </c>
      <c r="I2409" s="5">
        <f>G2409*H2409</f>
        <v/>
      </c>
      <c r="J2409" s="2">
        <f>XLOOKUP(E2409, '06_BANG_GIA_VAT_TU_AP_DUNG'!B:B, '06_BANG_GIA_VAT_TU_AP_DUNG'!C:C, "LỖI_MÃ_VT")</f>
        <v/>
      </c>
      <c r="K2409" s="2">
        <f>I2409*J2409</f>
        <v/>
      </c>
      <c r="L2409" t="inlineStr">
        <is>
          <t>4 cánh cao 170mm</t>
        </is>
      </c>
    </row>
    <row r="2410">
      <c r="A2410" t="inlineStr">
        <is>
          <t>SW-DAMPER-580-AXLE</t>
        </is>
      </c>
      <c r="B2410" t="inlineStr">
        <is>
          <t>SW-DAMPER-580</t>
        </is>
      </c>
      <c r="C2410" t="inlineStr">
        <is>
          <t>Trục Sus 201 D10</t>
        </is>
      </c>
      <c r="D2410" t="inlineStr">
        <is>
          <t>PHỤ_KIỆN_VAN</t>
        </is>
      </c>
      <c r="E2410" t="inlineStr">
        <is>
          <t>MAT-DAMPER-TRUC-SUS-201-D10</t>
        </is>
      </c>
      <c r="F2410" t="inlineStr">
        <is>
          <t>m</t>
        </is>
      </c>
      <c r="G2410" s="4" t="n">
        <v>4.24</v>
      </c>
      <c r="H2410" s="2">
        <f>XLOOKUP(B2410, '00_TONG_HOP_BAO_GIA'!B:B, '00_TONG_HOP_BAO_GIA'!G:G, 1)</f>
        <v/>
      </c>
      <c r="I2410" s="5">
        <f>G2410*H2410</f>
        <v/>
      </c>
      <c r="J2410" s="2">
        <f>XLOOKUP(E2410, '06_BANG_GIA_VAT_TU_AP_DUNG'!B:B, '06_BANG_GIA_VAT_TU_AP_DUNG'!C:C, "LỖI_MÃ_VT")</f>
        <v/>
      </c>
      <c r="K2410" s="2">
        <f>I2410*J2410</f>
        <v/>
      </c>
      <c r="L2410" t="inlineStr">
        <is>
          <t>4 trục dài 1060mm</t>
        </is>
      </c>
    </row>
    <row r="2411">
      <c r="A2411" t="inlineStr">
        <is>
          <t>SW-DAMPER-580-BEARING</t>
        </is>
      </c>
      <c r="B2411" t="inlineStr">
        <is>
          <t>SW-DAMPER-580</t>
        </is>
      </c>
      <c r="C2411" t="inlineStr">
        <is>
          <t>Bạc đồng D10</t>
        </is>
      </c>
      <c r="D2411" t="inlineStr">
        <is>
          <t>PHỤ_KIỆN_VAN</t>
        </is>
      </c>
      <c r="E2411" t="inlineStr">
        <is>
          <t>MAT-DAMPER-BAC-DONG-D10</t>
        </is>
      </c>
      <c r="F2411" t="inlineStr">
        <is>
          <t>Đôi</t>
        </is>
      </c>
      <c r="G2411" s="4" t="n">
        <v>4</v>
      </c>
      <c r="H2411" s="2">
        <f>XLOOKUP(B2411, '00_TONG_HOP_BAO_GIA'!B:B, '00_TONG_HOP_BAO_GIA'!G:G, 1)</f>
        <v/>
      </c>
      <c r="I2411" s="5">
        <f>G2411*H2411</f>
        <v/>
      </c>
      <c r="J2411" s="2">
        <f>XLOOKUP(E2411, '06_BANG_GIA_VAT_TU_AP_DUNG'!B:B, '06_BANG_GIA_VAT_TU_AP_DUNG'!C:C, "LỖI_MÃ_VT")</f>
        <v/>
      </c>
      <c r="K2411" s="2">
        <f>I2411*J2411</f>
        <v/>
      </c>
      <c r="L2411" t="inlineStr">
        <is>
          <t>4 đôi bạc đỡ 2 bên thân</t>
        </is>
      </c>
    </row>
    <row r="2412">
      <c r="A2412" t="inlineStr">
        <is>
          <t>SW-DAMPER-580-GEAR</t>
        </is>
      </c>
      <c r="B2412" t="inlineStr">
        <is>
          <t>SW-DAMPER-580</t>
        </is>
      </c>
      <c r="C2412" t="inlineStr">
        <is>
          <t>Bánh răng van nhôm</t>
        </is>
      </c>
      <c r="D2412" t="inlineStr">
        <is>
          <t>PHỤ_KIỆN_VAN</t>
        </is>
      </c>
      <c r="E2412" t="inlineStr">
        <is>
          <t>MAT-DAMPER-BANH-RANG-VAN-NHOM</t>
        </is>
      </c>
      <c r="F2412" t="inlineStr">
        <is>
          <t>Bộ</t>
        </is>
      </c>
      <c r="G2412" s="4" t="n">
        <v>1</v>
      </c>
      <c r="H2412" s="2">
        <f>XLOOKUP(B2412, '00_TONG_HOP_BAO_GIA'!B:B, '00_TONG_HOP_BAO_GIA'!G:G, 1)</f>
        <v/>
      </c>
      <c r="I2412" s="5">
        <f>G2412*H2412</f>
        <v/>
      </c>
      <c r="J2412" s="2">
        <f>XLOOKUP(E2412, '06_BANG_GIA_VAT_TU_AP_DUNG'!B:B, '06_BANG_GIA_VAT_TU_AP_DUNG'!C:C, "LỖI_MÃ_VT")</f>
        <v/>
      </c>
      <c r="K2412" s="2">
        <f>I2412*J2412</f>
        <v/>
      </c>
      <c r="L2412" t="inlineStr">
        <is>
          <t>Cơ cấu liên động bánh răng van</t>
        </is>
      </c>
    </row>
    <row r="2413">
      <c r="A2413" t="inlineStr">
        <is>
          <t>SW-DAMPER-580-FUSE</t>
        </is>
      </c>
      <c r="B2413" t="inlineStr">
        <is>
          <t>SW-DAMPER-580</t>
        </is>
      </c>
      <c r="C2413" t="inlineStr">
        <is>
          <t>Cầu chì nhiệt nóng chảy 70°C (Elsie/USA)</t>
        </is>
      </c>
      <c r="D2413" t="inlineStr">
        <is>
          <t>PHỤ_KIỆN_VAN</t>
        </is>
      </c>
      <c r="E2413" t="inlineStr">
        <is>
          <t>MAT-DAMPER-CAU-CHI-USA-2-400X400</t>
        </is>
      </c>
      <c r="F2413" t="inlineStr">
        <is>
          <t>Cái</t>
        </is>
      </c>
      <c r="G2413" s="4" t="n">
        <v>1</v>
      </c>
      <c r="H2413" s="2">
        <f>XLOOKUP(B2413, '00_TONG_HOP_BAO_GIA'!B:B, '00_TONG_HOP_BAO_GIA'!G:G, 1)</f>
        <v/>
      </c>
      <c r="I2413" s="5">
        <f>G2413*H2413</f>
        <v/>
      </c>
      <c r="J2413" s="2">
        <f>XLOOKUP(E2413, '06_BANG_GIA_VAT_TU_AP_DUNG'!B:B, '06_BANG_GIA_VAT_TU_AP_DUNG'!C:C, "LỖI_MÃ_VT")</f>
        <v/>
      </c>
      <c r="K2413" s="2">
        <f>I2413*J2413</f>
        <v/>
      </c>
      <c r="L2413" t="inlineStr">
        <is>
          <t>Cầu chì kiểm định PCCC</t>
        </is>
      </c>
    </row>
    <row r="2414">
      <c r="A2414" t="inlineStr">
        <is>
          <t>SW-DAMPER-581-BODY</t>
        </is>
      </c>
      <c r="B2414" t="inlineStr">
        <is>
          <t>SW-DAMPER-581</t>
        </is>
      </c>
      <c r="C2414" t="inlineStr">
        <is>
          <t>Thân vỏ van FD bích TDF (0.95mm)</t>
        </is>
      </c>
      <c r="D2414" t="inlineStr">
        <is>
          <t>TÔN_CUỘN_MẠ_KẼM</t>
        </is>
      </c>
      <c r="E2414" t="inlineStr">
        <is>
          <t>MAT-STEEL-PN-0.95</t>
        </is>
      </c>
      <c r="F2414" t="inlineStr">
        <is>
          <t>kg</t>
        </is>
      </c>
      <c r="G2414" s="4" t="n">
        <v>10.6242528</v>
      </c>
      <c r="H2414" s="2">
        <f>XLOOKUP(B2414, '00_TONG_HOP_BAO_GIA'!B:B, '00_TONG_HOP_BAO_GIA'!G:G, 1)</f>
        <v/>
      </c>
      <c r="I2414" s="5">
        <f>G2414*H2414</f>
        <v/>
      </c>
      <c r="J2414" s="2">
        <f>XLOOKUP(E2414, '06_BANG_GIA_VAT_TU_AP_DUNG'!B:B, '06_BANG_GIA_VAT_TU_AP_DUNG'!C:C, "LỖI_MÃ_VT")</f>
        <v/>
      </c>
      <c r="K2414" s="2">
        <f>I2414*J2414</f>
        <v/>
      </c>
      <c r="L2414" t="inlineStr">
        <is>
          <t>Kích thước vỏ 1200.0x900.0x250mm</t>
        </is>
      </c>
    </row>
    <row r="2415">
      <c r="A2415" t="inlineStr">
        <is>
          <t>SW-DAMPER-581-BLADE</t>
        </is>
      </c>
      <c r="B2415" t="inlineStr">
        <is>
          <t>SW-DAMPER-581</t>
        </is>
      </c>
      <c r="C2415" t="inlineStr">
        <is>
          <t>Lá cánh van (5 cánh overlap)</t>
        </is>
      </c>
      <c r="D2415" t="inlineStr">
        <is>
          <t>TÔN_CUỘN_MẠ_KẼM</t>
        </is>
      </c>
      <c r="E2415" t="inlineStr">
        <is>
          <t>MAT-STEEL-PN-0.75</t>
        </is>
      </c>
      <c r="F2415" t="inlineStr">
        <is>
          <t>kg</t>
        </is>
      </c>
      <c r="G2415" s="4" t="n">
        <v>7.6302</v>
      </c>
      <c r="H2415" s="2">
        <f>XLOOKUP(B2415, '00_TONG_HOP_BAO_GIA'!B:B, '00_TONG_HOP_BAO_GIA'!G:G, 1)</f>
        <v/>
      </c>
      <c r="I2415" s="5">
        <f>G2415*H2415</f>
        <v/>
      </c>
      <c r="J2415" s="2">
        <f>XLOOKUP(E2415, '06_BANG_GIA_VAT_TU_AP_DUNG'!B:B, '06_BANG_GIA_VAT_TU_AP_DUNG'!C:C, "LỖI_MÃ_VT")</f>
        <v/>
      </c>
      <c r="K2415" s="2">
        <f>I2415*J2415</f>
        <v/>
      </c>
      <c r="L2415" t="inlineStr">
        <is>
          <t>5 cánh cao 200mm</t>
        </is>
      </c>
    </row>
    <row r="2416">
      <c r="A2416" t="inlineStr">
        <is>
          <t>SW-DAMPER-581-AXLE</t>
        </is>
      </c>
      <c r="B2416" t="inlineStr">
        <is>
          <t>SW-DAMPER-581</t>
        </is>
      </c>
      <c r="C2416" t="inlineStr">
        <is>
          <t>Trục Sus 201 D10</t>
        </is>
      </c>
      <c r="D2416" t="inlineStr">
        <is>
          <t>PHỤ_KIỆN_VAN</t>
        </is>
      </c>
      <c r="E2416" t="inlineStr">
        <is>
          <t>MAT-DAMPER-TRUC-SUS-201-D10</t>
        </is>
      </c>
      <c r="F2416" t="inlineStr">
        <is>
          <t>m</t>
        </is>
      </c>
      <c r="G2416" s="4" t="n">
        <v>6.3</v>
      </c>
      <c r="H2416" s="2">
        <f>XLOOKUP(B2416, '00_TONG_HOP_BAO_GIA'!B:B, '00_TONG_HOP_BAO_GIA'!G:G, 1)</f>
        <v/>
      </c>
      <c r="I2416" s="5">
        <f>G2416*H2416</f>
        <v/>
      </c>
      <c r="J2416" s="2">
        <f>XLOOKUP(E2416, '06_BANG_GIA_VAT_TU_AP_DUNG'!B:B, '06_BANG_GIA_VAT_TU_AP_DUNG'!C:C, "LỖI_MÃ_VT")</f>
        <v/>
      </c>
      <c r="K2416" s="2">
        <f>I2416*J2416</f>
        <v/>
      </c>
      <c r="L2416" t="inlineStr">
        <is>
          <t>5 trục dài 1260mm</t>
        </is>
      </c>
    </row>
    <row r="2417">
      <c r="A2417" t="inlineStr">
        <is>
          <t>SW-DAMPER-581-BEARING</t>
        </is>
      </c>
      <c r="B2417" t="inlineStr">
        <is>
          <t>SW-DAMPER-581</t>
        </is>
      </c>
      <c r="C2417" t="inlineStr">
        <is>
          <t>Bạc đồng D10</t>
        </is>
      </c>
      <c r="D2417" t="inlineStr">
        <is>
          <t>PHỤ_KIỆN_VAN</t>
        </is>
      </c>
      <c r="E2417" t="inlineStr">
        <is>
          <t>MAT-DAMPER-BAC-DONG-D10</t>
        </is>
      </c>
      <c r="F2417" t="inlineStr">
        <is>
          <t>Đôi</t>
        </is>
      </c>
      <c r="G2417" s="4" t="n">
        <v>5</v>
      </c>
      <c r="H2417" s="2">
        <f>XLOOKUP(B2417, '00_TONG_HOP_BAO_GIA'!B:B, '00_TONG_HOP_BAO_GIA'!G:G, 1)</f>
        <v/>
      </c>
      <c r="I2417" s="5">
        <f>G2417*H2417</f>
        <v/>
      </c>
      <c r="J2417" s="2">
        <f>XLOOKUP(E2417, '06_BANG_GIA_VAT_TU_AP_DUNG'!B:B, '06_BANG_GIA_VAT_TU_AP_DUNG'!C:C, "LỖI_MÃ_VT")</f>
        <v/>
      </c>
      <c r="K2417" s="2">
        <f>I2417*J2417</f>
        <v/>
      </c>
      <c r="L2417" t="inlineStr">
        <is>
          <t>5 đôi bạc đỡ 2 bên thân</t>
        </is>
      </c>
    </row>
    <row r="2418">
      <c r="A2418" t="inlineStr">
        <is>
          <t>SW-DAMPER-581-GEAR</t>
        </is>
      </c>
      <c r="B2418" t="inlineStr">
        <is>
          <t>SW-DAMPER-581</t>
        </is>
      </c>
      <c r="C2418" t="inlineStr">
        <is>
          <t>Bánh răng van nhôm</t>
        </is>
      </c>
      <c r="D2418" t="inlineStr">
        <is>
          <t>PHỤ_KIỆN_VAN</t>
        </is>
      </c>
      <c r="E2418" t="inlineStr">
        <is>
          <t>MAT-DAMPER-BANH-RANG-VAN-NHOM</t>
        </is>
      </c>
      <c r="F2418" t="inlineStr">
        <is>
          <t>Bộ</t>
        </is>
      </c>
      <c r="G2418" s="4" t="n">
        <v>1</v>
      </c>
      <c r="H2418" s="2">
        <f>XLOOKUP(B2418, '00_TONG_HOP_BAO_GIA'!B:B, '00_TONG_HOP_BAO_GIA'!G:G, 1)</f>
        <v/>
      </c>
      <c r="I2418" s="5">
        <f>G2418*H2418</f>
        <v/>
      </c>
      <c r="J2418" s="2">
        <f>XLOOKUP(E2418, '06_BANG_GIA_VAT_TU_AP_DUNG'!B:B, '06_BANG_GIA_VAT_TU_AP_DUNG'!C:C, "LỖI_MÃ_VT")</f>
        <v/>
      </c>
      <c r="K2418" s="2">
        <f>I2418*J2418</f>
        <v/>
      </c>
      <c r="L2418" t="inlineStr">
        <is>
          <t>Cơ cấu liên động bánh răng van</t>
        </is>
      </c>
    </row>
    <row r="2419">
      <c r="A2419" t="inlineStr">
        <is>
          <t>SW-DAMPER-581-FUSE</t>
        </is>
      </c>
      <c r="B2419" t="inlineStr">
        <is>
          <t>SW-DAMPER-581</t>
        </is>
      </c>
      <c r="C2419" t="inlineStr">
        <is>
          <t>Cầu chì nhiệt nóng chảy 70°C (Elsie/USA)</t>
        </is>
      </c>
      <c r="D2419" t="inlineStr">
        <is>
          <t>PHỤ_KIỆN_VAN</t>
        </is>
      </c>
      <c r="E2419" t="inlineStr">
        <is>
          <t>MAT-DAMPER-CAU-CHI-USA-2-400X400</t>
        </is>
      </c>
      <c r="F2419" t="inlineStr">
        <is>
          <t>Cái</t>
        </is>
      </c>
      <c r="G2419" s="4" t="n">
        <v>1</v>
      </c>
      <c r="H2419" s="2">
        <f>XLOOKUP(B2419, '00_TONG_HOP_BAO_GIA'!B:B, '00_TONG_HOP_BAO_GIA'!G:G, 1)</f>
        <v/>
      </c>
      <c r="I2419" s="5">
        <f>G2419*H2419</f>
        <v/>
      </c>
      <c r="J2419" s="2">
        <f>XLOOKUP(E2419, '06_BANG_GIA_VAT_TU_AP_DUNG'!B:B, '06_BANG_GIA_VAT_TU_AP_DUNG'!C:C, "LỖI_MÃ_VT")</f>
        <v/>
      </c>
      <c r="K2419" s="2">
        <f>I2419*J2419</f>
        <v/>
      </c>
      <c r="L2419" t="inlineStr">
        <is>
          <t>Cầu chì kiểm định PCCC</t>
        </is>
      </c>
    </row>
    <row r="2420">
      <c r="A2420" t="inlineStr">
        <is>
          <t>SW-DAMPER-585-BODY</t>
        </is>
      </c>
      <c r="B2420" t="inlineStr">
        <is>
          <t>SW-DAMPER-585</t>
        </is>
      </c>
      <c r="C2420" t="inlineStr">
        <is>
          <t>Thân vỏ van MD bích TDF (0.75mm)</t>
        </is>
      </c>
      <c r="D2420" t="inlineStr">
        <is>
          <t>TÔN_CUỘN_MẠ_KẼM</t>
        </is>
      </c>
      <c r="E2420" t="inlineStr">
        <is>
          <t>MAT-STEEL-PN-0.75</t>
        </is>
      </c>
      <c r="F2420" t="inlineStr">
        <is>
          <t>kg</t>
        </is>
      </c>
      <c r="G2420" s="4" t="n">
        <v>4.3965495</v>
      </c>
      <c r="H2420" s="2">
        <f>XLOOKUP(B2420, '00_TONG_HOP_BAO_GIA'!B:B, '00_TONG_HOP_BAO_GIA'!G:G, 1)</f>
        <v/>
      </c>
      <c r="I2420" s="5">
        <f>G2420*H2420</f>
        <v/>
      </c>
      <c r="J2420" s="2">
        <f>XLOOKUP(E2420, '06_BANG_GIA_VAT_TU_AP_DUNG'!B:B, '06_BANG_GIA_VAT_TU_AP_DUNG'!C:C, "LỖI_MÃ_VT")</f>
        <v/>
      </c>
      <c r="K2420" s="2">
        <f>I2420*J2420</f>
        <v/>
      </c>
      <c r="L2420" t="inlineStr">
        <is>
          <t>Kích thước vỏ 800.0x450.0x210mm</t>
        </is>
      </c>
    </row>
    <row r="2421">
      <c r="A2421" t="inlineStr">
        <is>
          <t>SW-DAMPER-585-BLADE</t>
        </is>
      </c>
      <c r="B2421" t="inlineStr">
        <is>
          <t>SW-DAMPER-585</t>
        </is>
      </c>
      <c r="C2421" t="inlineStr">
        <is>
          <t>Lá cánh van (3 cánh overlap)</t>
        </is>
      </c>
      <c r="D2421" t="inlineStr">
        <is>
          <t>TÔN_CUỘN_MẠ_KẼM</t>
        </is>
      </c>
      <c r="E2421" t="inlineStr">
        <is>
          <t>MAT-STEEL-PN-0.75</t>
        </is>
      </c>
      <c r="F2421" t="inlineStr">
        <is>
          <t>kg</t>
        </is>
      </c>
      <c r="G2421" s="4" t="n">
        <v>2.594268</v>
      </c>
      <c r="H2421" s="2">
        <f>XLOOKUP(B2421, '00_TONG_HOP_BAO_GIA'!B:B, '00_TONG_HOP_BAO_GIA'!G:G, 1)</f>
        <v/>
      </c>
      <c r="I2421" s="5">
        <f>G2421*H2421</f>
        <v/>
      </c>
      <c r="J2421" s="2">
        <f>XLOOKUP(E2421, '06_BANG_GIA_VAT_TU_AP_DUNG'!B:B, '06_BANG_GIA_VAT_TU_AP_DUNG'!C:C, "LỖI_MÃ_VT")</f>
        <v/>
      </c>
      <c r="K2421" s="2">
        <f>I2421*J2421</f>
        <v/>
      </c>
      <c r="L2421" t="inlineStr">
        <is>
          <t>3 cánh cao 170mm</t>
        </is>
      </c>
    </row>
    <row r="2422">
      <c r="A2422" t="inlineStr">
        <is>
          <t>SW-DAMPER-585-AXLE</t>
        </is>
      </c>
      <c r="B2422" t="inlineStr">
        <is>
          <t>SW-DAMPER-585</t>
        </is>
      </c>
      <c r="C2422" t="inlineStr">
        <is>
          <t>Trục Sus 201 D10</t>
        </is>
      </c>
      <c r="D2422" t="inlineStr">
        <is>
          <t>PHỤ_KIỆN_VAN</t>
        </is>
      </c>
      <c r="E2422" t="inlineStr">
        <is>
          <t>MAT-DAMPER-TRUC-SUS-201-D10</t>
        </is>
      </c>
      <c r="F2422" t="inlineStr">
        <is>
          <t>m</t>
        </is>
      </c>
      <c r="G2422" s="4" t="n">
        <v>2.58</v>
      </c>
      <c r="H2422" s="2">
        <f>XLOOKUP(B2422, '00_TONG_HOP_BAO_GIA'!B:B, '00_TONG_HOP_BAO_GIA'!G:G, 1)</f>
        <v/>
      </c>
      <c r="I2422" s="5">
        <f>G2422*H2422</f>
        <v/>
      </c>
      <c r="J2422" s="2">
        <f>XLOOKUP(E2422, '06_BANG_GIA_VAT_TU_AP_DUNG'!B:B, '06_BANG_GIA_VAT_TU_AP_DUNG'!C:C, "LỖI_MÃ_VT")</f>
        <v/>
      </c>
      <c r="K2422" s="2">
        <f>I2422*J2422</f>
        <v/>
      </c>
      <c r="L2422" t="inlineStr">
        <is>
          <t>3 trục dài 860mm</t>
        </is>
      </c>
    </row>
    <row r="2423">
      <c r="A2423" t="inlineStr">
        <is>
          <t>SW-DAMPER-585-BEARING</t>
        </is>
      </c>
      <c r="B2423" t="inlineStr">
        <is>
          <t>SW-DAMPER-585</t>
        </is>
      </c>
      <c r="C2423" t="inlineStr">
        <is>
          <t>Bạc đồng D10</t>
        </is>
      </c>
      <c r="D2423" t="inlineStr">
        <is>
          <t>PHỤ_KIỆN_VAN</t>
        </is>
      </c>
      <c r="E2423" t="inlineStr">
        <is>
          <t>MAT-DAMPER-BAC-DONG-D10</t>
        </is>
      </c>
      <c r="F2423" t="inlineStr">
        <is>
          <t>Đôi</t>
        </is>
      </c>
      <c r="G2423" s="4" t="n">
        <v>3</v>
      </c>
      <c r="H2423" s="2">
        <f>XLOOKUP(B2423, '00_TONG_HOP_BAO_GIA'!B:B, '00_TONG_HOP_BAO_GIA'!G:G, 1)</f>
        <v/>
      </c>
      <c r="I2423" s="5">
        <f>G2423*H2423</f>
        <v/>
      </c>
      <c r="J2423" s="2">
        <f>XLOOKUP(E2423, '06_BANG_GIA_VAT_TU_AP_DUNG'!B:B, '06_BANG_GIA_VAT_TU_AP_DUNG'!C:C, "LỖI_MÃ_VT")</f>
        <v/>
      </c>
      <c r="K2423" s="2">
        <f>I2423*J2423</f>
        <v/>
      </c>
      <c r="L2423" t="inlineStr">
        <is>
          <t>3 đôi bạc đỡ 2 bên thân</t>
        </is>
      </c>
    </row>
    <row r="2424">
      <c r="A2424" t="inlineStr">
        <is>
          <t>SW-DAMPER-585-GEAR</t>
        </is>
      </c>
      <c r="B2424" t="inlineStr">
        <is>
          <t>SW-DAMPER-585</t>
        </is>
      </c>
      <c r="C2424" t="inlineStr">
        <is>
          <t>Bánh răng van nhôm</t>
        </is>
      </c>
      <c r="D2424" t="inlineStr">
        <is>
          <t>PHỤ_KIỆN_VAN</t>
        </is>
      </c>
      <c r="E2424" t="inlineStr">
        <is>
          <t>MAT-DAMPER-BANH-RANG-VAN-NHOM</t>
        </is>
      </c>
      <c r="F2424" t="inlineStr">
        <is>
          <t>Bộ</t>
        </is>
      </c>
      <c r="G2424" s="4" t="n">
        <v>1</v>
      </c>
      <c r="H2424" s="2">
        <f>XLOOKUP(B2424, '00_TONG_HOP_BAO_GIA'!B:B, '00_TONG_HOP_BAO_GIA'!G:G, 1)</f>
        <v/>
      </c>
      <c r="I2424" s="5">
        <f>G2424*H2424</f>
        <v/>
      </c>
      <c r="J2424" s="2">
        <f>XLOOKUP(E2424, '06_BANG_GIA_VAT_TU_AP_DUNG'!B:B, '06_BANG_GIA_VAT_TU_AP_DUNG'!C:C, "LỖI_MÃ_VT")</f>
        <v/>
      </c>
      <c r="K2424" s="2">
        <f>I2424*J2424</f>
        <v/>
      </c>
      <c r="L2424" t="inlineStr">
        <is>
          <t>Cơ cấu liên động bánh răng van</t>
        </is>
      </c>
    </row>
    <row r="2425">
      <c r="A2425" t="inlineStr">
        <is>
          <t>SW-DAMPER-585-ACTUATOR</t>
        </is>
      </c>
      <c r="B2425" t="inlineStr">
        <is>
          <t>SW-DAMPER-585</t>
        </is>
      </c>
      <c r="C2425" t="inlineStr">
        <is>
          <t>Model: NACA 2-05 (5Nm, 220VAC)</t>
        </is>
      </c>
      <c r="D2425" t="inlineStr">
        <is>
          <t>ĐỘNG_CƠ_VÀ_CẢM_BIẾN</t>
        </is>
      </c>
      <c r="E2425" t="inlineStr">
        <is>
          <t>MAT-ACTUATOR-NACA-2-05</t>
        </is>
      </c>
      <c r="F2425" t="inlineStr">
        <is>
          <t>Cái</t>
        </is>
      </c>
      <c r="G2425" s="4" t="n">
        <v>1</v>
      </c>
      <c r="H2425" s="2">
        <f>XLOOKUP(B2425, '00_TONG_HOP_BAO_GIA'!B:B, '00_TONG_HOP_BAO_GIA'!G:G, 1)</f>
        <v/>
      </c>
      <c r="I2425" s="5">
        <f>G2425*H2425</f>
        <v/>
      </c>
      <c r="J2425" s="2">
        <f>XLOOKUP(E2425, '06_BANG_GIA_VAT_TU_AP_DUNG'!B:B, '06_BANG_GIA_VAT_TU_AP_DUNG'!C:C, "LỖI_MÃ_VT")</f>
        <v/>
      </c>
      <c r="K2425" s="2">
        <f>I2425*J2425</f>
        <v/>
      </c>
      <c r="L2425" t="inlineStr">
        <is>
          <t>Tiết diện van 0.36m2</t>
        </is>
      </c>
    </row>
    <row r="2426">
      <c r="A2426" t="inlineStr">
        <is>
          <t>SW-DAMPER-586-BODY</t>
        </is>
      </c>
      <c r="B2426" t="inlineStr">
        <is>
          <t>SW-DAMPER-586</t>
        </is>
      </c>
      <c r="C2426" t="inlineStr">
        <is>
          <t>Thân vỏ van MD bích TDF (0.75mm)</t>
        </is>
      </c>
      <c r="D2426" t="inlineStr">
        <is>
          <t>TÔN_CUỘN_MẠ_KẼM</t>
        </is>
      </c>
      <c r="E2426" t="inlineStr">
        <is>
          <t>MAT-STEEL-PN-0.75</t>
        </is>
      </c>
      <c r="F2426" t="inlineStr">
        <is>
          <t>kg</t>
        </is>
      </c>
      <c r="G2426" s="4" t="n">
        <v>4.0503645</v>
      </c>
      <c r="H2426" s="2">
        <f>XLOOKUP(B2426, '00_TONG_HOP_BAO_GIA'!B:B, '00_TONG_HOP_BAO_GIA'!G:G, 1)</f>
        <v/>
      </c>
      <c r="I2426" s="5">
        <f>G2426*H2426</f>
        <v/>
      </c>
      <c r="J2426" s="2">
        <f>XLOOKUP(E2426, '06_BANG_GIA_VAT_TU_AP_DUNG'!B:B, '06_BANG_GIA_VAT_TU_AP_DUNG'!C:C, "LỖI_MÃ_VT")</f>
        <v/>
      </c>
      <c r="K2426" s="2">
        <f>I2426*J2426</f>
        <v/>
      </c>
      <c r="L2426" t="inlineStr">
        <is>
          <t>Kích thước vỏ 800.0x350.0x210mm</t>
        </is>
      </c>
    </row>
    <row r="2427">
      <c r="A2427" t="inlineStr">
        <is>
          <t>SW-DAMPER-586-BLADE</t>
        </is>
      </c>
      <c r="B2427" t="inlineStr">
        <is>
          <t>SW-DAMPER-586</t>
        </is>
      </c>
      <c r="C2427" t="inlineStr">
        <is>
          <t>Lá cánh van (2 cánh overlap)</t>
        </is>
      </c>
      <c r="D2427" t="inlineStr">
        <is>
          <t>TÔN_CUỘN_MẠ_KẼM</t>
        </is>
      </c>
      <c r="E2427" t="inlineStr">
        <is>
          <t>MAT-STEEL-PN-0.75</t>
        </is>
      </c>
      <c r="F2427" t="inlineStr">
        <is>
          <t>kg</t>
        </is>
      </c>
      <c r="G2427" s="4" t="n">
        <v>1.983852</v>
      </c>
      <c r="H2427" s="2">
        <f>XLOOKUP(B2427, '00_TONG_HOP_BAO_GIA'!B:B, '00_TONG_HOP_BAO_GIA'!G:G, 1)</f>
        <v/>
      </c>
      <c r="I2427" s="5">
        <f>G2427*H2427</f>
        <v/>
      </c>
      <c r="J2427" s="2">
        <f>XLOOKUP(E2427, '06_BANG_GIA_VAT_TU_AP_DUNG'!B:B, '06_BANG_GIA_VAT_TU_AP_DUNG'!C:C, "LỖI_MÃ_VT")</f>
        <v/>
      </c>
      <c r="K2427" s="2">
        <f>I2427*J2427</f>
        <v/>
      </c>
      <c r="L2427" t="inlineStr">
        <is>
          <t>2 cánh cao 195mm</t>
        </is>
      </c>
    </row>
    <row r="2428">
      <c r="A2428" t="inlineStr">
        <is>
          <t>SW-DAMPER-586-AXLE</t>
        </is>
      </c>
      <c r="B2428" t="inlineStr">
        <is>
          <t>SW-DAMPER-586</t>
        </is>
      </c>
      <c r="C2428" t="inlineStr">
        <is>
          <t>Trục Sus 201 D10</t>
        </is>
      </c>
      <c r="D2428" t="inlineStr">
        <is>
          <t>PHỤ_KIỆN_VAN</t>
        </is>
      </c>
      <c r="E2428" t="inlineStr">
        <is>
          <t>MAT-DAMPER-TRUC-SUS-201-D10</t>
        </is>
      </c>
      <c r="F2428" t="inlineStr">
        <is>
          <t>m</t>
        </is>
      </c>
      <c r="G2428" s="4" t="n">
        <v>1.72</v>
      </c>
      <c r="H2428" s="2">
        <f>XLOOKUP(B2428, '00_TONG_HOP_BAO_GIA'!B:B, '00_TONG_HOP_BAO_GIA'!G:G, 1)</f>
        <v/>
      </c>
      <c r="I2428" s="5">
        <f>G2428*H2428</f>
        <v/>
      </c>
      <c r="J2428" s="2">
        <f>XLOOKUP(E2428, '06_BANG_GIA_VAT_TU_AP_DUNG'!B:B, '06_BANG_GIA_VAT_TU_AP_DUNG'!C:C, "LỖI_MÃ_VT")</f>
        <v/>
      </c>
      <c r="K2428" s="2">
        <f>I2428*J2428</f>
        <v/>
      </c>
      <c r="L2428" t="inlineStr">
        <is>
          <t>2 trục dài 860mm</t>
        </is>
      </c>
    </row>
    <row r="2429">
      <c r="A2429" t="inlineStr">
        <is>
          <t>SW-DAMPER-586-BEARING</t>
        </is>
      </c>
      <c r="B2429" t="inlineStr">
        <is>
          <t>SW-DAMPER-586</t>
        </is>
      </c>
      <c r="C2429" t="inlineStr">
        <is>
          <t>Bạc đồng D10</t>
        </is>
      </c>
      <c r="D2429" t="inlineStr">
        <is>
          <t>PHỤ_KIỆN_VAN</t>
        </is>
      </c>
      <c r="E2429" t="inlineStr">
        <is>
          <t>MAT-DAMPER-BAC-DONG-D10</t>
        </is>
      </c>
      <c r="F2429" t="inlineStr">
        <is>
          <t>Đôi</t>
        </is>
      </c>
      <c r="G2429" s="4" t="n">
        <v>2</v>
      </c>
      <c r="H2429" s="2">
        <f>XLOOKUP(B2429, '00_TONG_HOP_BAO_GIA'!B:B, '00_TONG_HOP_BAO_GIA'!G:G, 1)</f>
        <v/>
      </c>
      <c r="I2429" s="5">
        <f>G2429*H2429</f>
        <v/>
      </c>
      <c r="J2429" s="2">
        <f>XLOOKUP(E2429, '06_BANG_GIA_VAT_TU_AP_DUNG'!B:B, '06_BANG_GIA_VAT_TU_AP_DUNG'!C:C, "LỖI_MÃ_VT")</f>
        <v/>
      </c>
      <c r="K2429" s="2">
        <f>I2429*J2429</f>
        <v/>
      </c>
      <c r="L2429" t="inlineStr">
        <is>
          <t>2 đôi bạc đỡ 2 bên thân</t>
        </is>
      </c>
    </row>
    <row r="2430">
      <c r="A2430" t="inlineStr">
        <is>
          <t>SW-DAMPER-586-GEAR</t>
        </is>
      </c>
      <c r="B2430" t="inlineStr">
        <is>
          <t>SW-DAMPER-586</t>
        </is>
      </c>
      <c r="C2430" t="inlineStr">
        <is>
          <t>Bánh răng van nhôm</t>
        </is>
      </c>
      <c r="D2430" t="inlineStr">
        <is>
          <t>PHỤ_KIỆN_VAN</t>
        </is>
      </c>
      <c r="E2430" t="inlineStr">
        <is>
          <t>MAT-DAMPER-BANH-RANG-VAN-NHOM</t>
        </is>
      </c>
      <c r="F2430" t="inlineStr">
        <is>
          <t>Bộ</t>
        </is>
      </c>
      <c r="G2430" s="4" t="n">
        <v>1</v>
      </c>
      <c r="H2430" s="2">
        <f>XLOOKUP(B2430, '00_TONG_HOP_BAO_GIA'!B:B, '00_TONG_HOP_BAO_GIA'!G:G, 1)</f>
        <v/>
      </c>
      <c r="I2430" s="5">
        <f>G2430*H2430</f>
        <v/>
      </c>
      <c r="J2430" s="2">
        <f>XLOOKUP(E2430, '06_BANG_GIA_VAT_TU_AP_DUNG'!B:B, '06_BANG_GIA_VAT_TU_AP_DUNG'!C:C, "LỖI_MÃ_VT")</f>
        <v/>
      </c>
      <c r="K2430" s="2">
        <f>I2430*J2430</f>
        <v/>
      </c>
      <c r="L2430" t="inlineStr">
        <is>
          <t>Cơ cấu liên động bánh răng van</t>
        </is>
      </c>
    </row>
    <row r="2431">
      <c r="A2431" t="inlineStr">
        <is>
          <t>SW-DAMPER-586-ACTUATOR</t>
        </is>
      </c>
      <c r="B2431" t="inlineStr">
        <is>
          <t>SW-DAMPER-586</t>
        </is>
      </c>
      <c r="C2431" t="inlineStr">
        <is>
          <t>Model: NACA 2-05 (5Nm, 220VAC)</t>
        </is>
      </c>
      <c r="D2431" t="inlineStr">
        <is>
          <t>ĐỘNG_CƠ_VÀ_CẢM_BIẾN</t>
        </is>
      </c>
      <c r="E2431" t="inlineStr">
        <is>
          <t>MAT-ACTUATOR-NACA-2-05</t>
        </is>
      </c>
      <c r="F2431" t="inlineStr">
        <is>
          <t>Cái</t>
        </is>
      </c>
      <c r="G2431" s="4" t="n">
        <v>1</v>
      </c>
      <c r="H2431" s="2">
        <f>XLOOKUP(B2431, '00_TONG_HOP_BAO_GIA'!B:B, '00_TONG_HOP_BAO_GIA'!G:G, 1)</f>
        <v/>
      </c>
      <c r="I2431" s="5">
        <f>G2431*H2431</f>
        <v/>
      </c>
      <c r="J2431" s="2">
        <f>XLOOKUP(E2431, '06_BANG_GIA_VAT_TU_AP_DUNG'!B:B, '06_BANG_GIA_VAT_TU_AP_DUNG'!C:C, "LỖI_MÃ_VT")</f>
        <v/>
      </c>
      <c r="K2431" s="2">
        <f>I2431*J2431</f>
        <v/>
      </c>
      <c r="L2431" t="inlineStr">
        <is>
          <t>Tiết diện van 0.28m2</t>
        </is>
      </c>
    </row>
    <row r="2432">
      <c r="A2432" t="inlineStr">
        <is>
          <t>SW-DAMPER-587-BODY</t>
        </is>
      </c>
      <c r="B2432" t="inlineStr">
        <is>
          <t>SW-DAMPER-587</t>
        </is>
      </c>
      <c r="C2432" t="inlineStr">
        <is>
          <t>Thân vỏ van FD bích TDF (0.75mm)</t>
        </is>
      </c>
      <c r="D2432" t="inlineStr">
        <is>
          <t>TÔN_CUỘN_MẠ_KẼM</t>
        </is>
      </c>
      <c r="E2432" t="inlineStr">
        <is>
          <t>MAT-STEEL-PN-0.75</t>
        </is>
      </c>
      <c r="F2432" t="inlineStr">
        <is>
          <t>kg</t>
        </is>
      </c>
      <c r="G2432" s="4" t="n">
        <v>4.233348</v>
      </c>
      <c r="H2432" s="2">
        <f>XLOOKUP(B2432, '00_TONG_HOP_BAO_GIA'!B:B, '00_TONG_HOP_BAO_GIA'!G:G, 1)</f>
        <v/>
      </c>
      <c r="I2432" s="5">
        <f>G2432*H2432</f>
        <v/>
      </c>
      <c r="J2432" s="2">
        <f>XLOOKUP(E2432, '06_BANG_GIA_VAT_TU_AP_DUNG'!B:B, '06_BANG_GIA_VAT_TU_AP_DUNG'!C:C, "LỖI_MÃ_VT")</f>
        <v/>
      </c>
      <c r="K2432" s="2">
        <f>I2432*J2432</f>
        <v/>
      </c>
      <c r="L2432" t="inlineStr">
        <is>
          <t>Kích thước vỏ 600.0x450.0x250mm</t>
        </is>
      </c>
    </row>
    <row r="2433">
      <c r="A2433" t="inlineStr">
        <is>
          <t>SW-DAMPER-587-BLADE</t>
        </is>
      </c>
      <c r="B2433" t="inlineStr">
        <is>
          <t>SW-DAMPER-587</t>
        </is>
      </c>
      <c r="C2433" t="inlineStr">
        <is>
          <t>Lá cánh van (3 cánh overlap)</t>
        </is>
      </c>
      <c r="D2433" t="inlineStr">
        <is>
          <t>TÔN_CUỘN_MẠ_KẼM</t>
        </is>
      </c>
      <c r="E2433" t="inlineStr">
        <is>
          <t>MAT-STEEL-PN-0.75</t>
        </is>
      </c>
      <c r="F2433" t="inlineStr">
        <is>
          <t>kg</t>
        </is>
      </c>
      <c r="G2433" s="4" t="n">
        <v>1.945701</v>
      </c>
      <c r="H2433" s="2">
        <f>XLOOKUP(B2433, '00_TONG_HOP_BAO_GIA'!B:B, '00_TONG_HOP_BAO_GIA'!G:G, 1)</f>
        <v/>
      </c>
      <c r="I2433" s="5">
        <f>G2433*H2433</f>
        <v/>
      </c>
      <c r="J2433" s="2">
        <f>XLOOKUP(E2433, '06_BANG_GIA_VAT_TU_AP_DUNG'!B:B, '06_BANG_GIA_VAT_TU_AP_DUNG'!C:C, "LỖI_MÃ_VT")</f>
        <v/>
      </c>
      <c r="K2433" s="2">
        <f>I2433*J2433</f>
        <v/>
      </c>
      <c r="L2433" t="inlineStr">
        <is>
          <t>3 cánh cao 170mm</t>
        </is>
      </c>
    </row>
    <row r="2434">
      <c r="A2434" t="inlineStr">
        <is>
          <t>SW-DAMPER-587-AXLE</t>
        </is>
      </c>
      <c r="B2434" t="inlineStr">
        <is>
          <t>SW-DAMPER-587</t>
        </is>
      </c>
      <c r="C2434" t="inlineStr">
        <is>
          <t>Trục Sus 201 D10</t>
        </is>
      </c>
      <c r="D2434" t="inlineStr">
        <is>
          <t>PHỤ_KIỆN_VAN</t>
        </is>
      </c>
      <c r="E2434" t="inlineStr">
        <is>
          <t>MAT-DAMPER-TRUC-SUS-201-D10</t>
        </is>
      </c>
      <c r="F2434" t="inlineStr">
        <is>
          <t>m</t>
        </is>
      </c>
      <c r="G2434" s="4" t="n">
        <v>1.98</v>
      </c>
      <c r="H2434" s="2">
        <f>XLOOKUP(B2434, '00_TONG_HOP_BAO_GIA'!B:B, '00_TONG_HOP_BAO_GIA'!G:G, 1)</f>
        <v/>
      </c>
      <c r="I2434" s="5">
        <f>G2434*H2434</f>
        <v/>
      </c>
      <c r="J2434" s="2">
        <f>XLOOKUP(E2434, '06_BANG_GIA_VAT_TU_AP_DUNG'!B:B, '06_BANG_GIA_VAT_TU_AP_DUNG'!C:C, "LỖI_MÃ_VT")</f>
        <v/>
      </c>
      <c r="K2434" s="2">
        <f>I2434*J2434</f>
        <v/>
      </c>
      <c r="L2434" t="inlineStr">
        <is>
          <t>3 trục dài 660mm</t>
        </is>
      </c>
    </row>
    <row r="2435">
      <c r="A2435" t="inlineStr">
        <is>
          <t>SW-DAMPER-587-BEARING</t>
        </is>
      </c>
      <c r="B2435" t="inlineStr">
        <is>
          <t>SW-DAMPER-587</t>
        </is>
      </c>
      <c r="C2435" t="inlineStr">
        <is>
          <t>Bạc đồng D10</t>
        </is>
      </c>
      <c r="D2435" t="inlineStr">
        <is>
          <t>PHỤ_KIỆN_VAN</t>
        </is>
      </c>
      <c r="E2435" t="inlineStr">
        <is>
          <t>MAT-DAMPER-BAC-DONG-D10</t>
        </is>
      </c>
      <c r="F2435" t="inlineStr">
        <is>
          <t>Đôi</t>
        </is>
      </c>
      <c r="G2435" s="4" t="n">
        <v>3</v>
      </c>
      <c r="H2435" s="2">
        <f>XLOOKUP(B2435, '00_TONG_HOP_BAO_GIA'!B:B, '00_TONG_HOP_BAO_GIA'!G:G, 1)</f>
        <v/>
      </c>
      <c r="I2435" s="5">
        <f>G2435*H2435</f>
        <v/>
      </c>
      <c r="J2435" s="2">
        <f>XLOOKUP(E2435, '06_BANG_GIA_VAT_TU_AP_DUNG'!B:B, '06_BANG_GIA_VAT_TU_AP_DUNG'!C:C, "LỖI_MÃ_VT")</f>
        <v/>
      </c>
      <c r="K2435" s="2">
        <f>I2435*J2435</f>
        <v/>
      </c>
      <c r="L2435" t="inlineStr">
        <is>
          <t>3 đôi bạc đỡ 2 bên thân</t>
        </is>
      </c>
    </row>
    <row r="2436">
      <c r="A2436" t="inlineStr">
        <is>
          <t>SW-DAMPER-587-GEAR</t>
        </is>
      </c>
      <c r="B2436" t="inlineStr">
        <is>
          <t>SW-DAMPER-587</t>
        </is>
      </c>
      <c r="C2436" t="inlineStr">
        <is>
          <t>Bánh răng van nhôm</t>
        </is>
      </c>
      <c r="D2436" t="inlineStr">
        <is>
          <t>PHỤ_KIỆN_VAN</t>
        </is>
      </c>
      <c r="E2436" t="inlineStr">
        <is>
          <t>MAT-DAMPER-BANH-RANG-VAN-NHOM</t>
        </is>
      </c>
      <c r="F2436" t="inlineStr">
        <is>
          <t>Bộ</t>
        </is>
      </c>
      <c r="G2436" s="4" t="n">
        <v>1</v>
      </c>
      <c r="H2436" s="2">
        <f>XLOOKUP(B2436, '00_TONG_HOP_BAO_GIA'!B:B, '00_TONG_HOP_BAO_GIA'!G:G, 1)</f>
        <v/>
      </c>
      <c r="I2436" s="5">
        <f>G2436*H2436</f>
        <v/>
      </c>
      <c r="J2436" s="2">
        <f>XLOOKUP(E2436, '06_BANG_GIA_VAT_TU_AP_DUNG'!B:B, '06_BANG_GIA_VAT_TU_AP_DUNG'!C:C, "LỖI_MÃ_VT")</f>
        <v/>
      </c>
      <c r="K2436" s="2">
        <f>I2436*J2436</f>
        <v/>
      </c>
      <c r="L2436" t="inlineStr">
        <is>
          <t>Cơ cấu liên động bánh răng van</t>
        </is>
      </c>
    </row>
    <row r="2437">
      <c r="A2437" t="inlineStr">
        <is>
          <t>SW-DAMPER-587-FUSE</t>
        </is>
      </c>
      <c r="B2437" t="inlineStr">
        <is>
          <t>SW-DAMPER-587</t>
        </is>
      </c>
      <c r="C2437" t="inlineStr">
        <is>
          <t>Cầu chì nhiệt nóng chảy 70°C (Elsie/USA)</t>
        </is>
      </c>
      <c r="D2437" t="inlineStr">
        <is>
          <t>PHỤ_KIỆN_VAN</t>
        </is>
      </c>
      <c r="E2437" t="inlineStr">
        <is>
          <t>MAT-DAMPER-CAU-CHI-USA-2-400X400</t>
        </is>
      </c>
      <c r="F2437" t="inlineStr">
        <is>
          <t>Cái</t>
        </is>
      </c>
      <c r="G2437" s="4" t="n">
        <v>1</v>
      </c>
      <c r="H2437" s="2">
        <f>XLOOKUP(B2437, '00_TONG_HOP_BAO_GIA'!B:B, '00_TONG_HOP_BAO_GIA'!G:G, 1)</f>
        <v/>
      </c>
      <c r="I2437" s="5">
        <f>G2437*H2437</f>
        <v/>
      </c>
      <c r="J2437" s="2">
        <f>XLOOKUP(E2437, '06_BANG_GIA_VAT_TU_AP_DUNG'!B:B, '06_BANG_GIA_VAT_TU_AP_DUNG'!C:C, "LỖI_MÃ_VT")</f>
        <v/>
      </c>
      <c r="K2437" s="2">
        <f>I2437*J2437</f>
        <v/>
      </c>
      <c r="L2437" t="inlineStr">
        <is>
          <t>Cầu chì kiểm định PCCC</t>
        </is>
      </c>
    </row>
    <row r="2438">
      <c r="A2438" t="inlineStr">
        <is>
          <t>SW-DAMPER-590-BODY</t>
        </is>
      </c>
      <c r="B2438" t="inlineStr">
        <is>
          <t>SW-DAMPER-590</t>
        </is>
      </c>
      <c r="C2438" t="inlineStr">
        <is>
          <t>Thân vỏ van FD bích TDF (0.75mm)</t>
        </is>
      </c>
      <c r="D2438" t="inlineStr">
        <is>
          <t>TÔN_CUỘN_MẠ_KẼM</t>
        </is>
      </c>
      <c r="E2438" t="inlineStr">
        <is>
          <t>MAT-STEEL-PN-0.75</t>
        </is>
      </c>
      <c r="F2438" t="inlineStr">
        <is>
          <t>kg</t>
        </is>
      </c>
      <c r="G2438" s="4" t="n">
        <v>1.266048</v>
      </c>
      <c r="H2438" s="2">
        <f>XLOOKUP(B2438, '00_TONG_HOP_BAO_GIA'!B:B, '00_TONG_HOP_BAO_GIA'!G:G, 1)</f>
        <v/>
      </c>
      <c r="I2438" s="5">
        <f>G2438*H2438</f>
        <v/>
      </c>
      <c r="J2438" s="2">
        <f>XLOOKUP(E2438, '06_BANG_GIA_VAT_TU_AP_DUNG'!B:B, '06_BANG_GIA_VAT_TU_AP_DUNG'!C:C, "LỖI_MÃ_VT")</f>
        <v/>
      </c>
      <c r="K2438" s="2">
        <f>I2438*J2438</f>
        <v/>
      </c>
      <c r="L2438" t="inlineStr">
        <is>
          <t>Kích thước vỏ 150.0x150.0x250mm</t>
        </is>
      </c>
    </row>
    <row r="2439">
      <c r="A2439" t="inlineStr">
        <is>
          <t>SW-DAMPER-590-BLADE</t>
        </is>
      </c>
      <c r="B2439" t="inlineStr">
        <is>
          <t>SW-DAMPER-590</t>
        </is>
      </c>
      <c r="C2439" t="inlineStr">
        <is>
          <t>Lá cánh van (1 cánh overlap)</t>
        </is>
      </c>
      <c r="D2439" t="inlineStr">
        <is>
          <t>TÔN_CUỘN_MẠ_KẼM</t>
        </is>
      </c>
      <c r="E2439" t="inlineStr">
        <is>
          <t>MAT-STEEL-PN-0.75</t>
        </is>
      </c>
      <c r="F2439" t="inlineStr">
        <is>
          <t>kg</t>
        </is>
      </c>
      <c r="G2439" s="4" t="n">
        <v>0.16214175</v>
      </c>
      <c r="H2439" s="2">
        <f>XLOOKUP(B2439, '00_TONG_HOP_BAO_GIA'!B:B, '00_TONG_HOP_BAO_GIA'!G:G, 1)</f>
        <v/>
      </c>
      <c r="I2439" s="5">
        <f>G2439*H2439</f>
        <v/>
      </c>
      <c r="J2439" s="2">
        <f>XLOOKUP(E2439, '06_BANG_GIA_VAT_TU_AP_DUNG'!B:B, '06_BANG_GIA_VAT_TU_AP_DUNG'!C:C, "LỖI_MÃ_VT")</f>
        <v/>
      </c>
      <c r="K2439" s="2">
        <f>I2439*J2439</f>
        <v/>
      </c>
      <c r="L2439" t="inlineStr">
        <is>
          <t>1 cánh cao 170mm</t>
        </is>
      </c>
    </row>
    <row r="2440">
      <c r="A2440" t="inlineStr">
        <is>
          <t>SW-DAMPER-590-AXLE</t>
        </is>
      </c>
      <c r="B2440" t="inlineStr">
        <is>
          <t>SW-DAMPER-590</t>
        </is>
      </c>
      <c r="C2440" t="inlineStr">
        <is>
          <t>Trục Sus 201 D10</t>
        </is>
      </c>
      <c r="D2440" t="inlineStr">
        <is>
          <t>PHỤ_KIỆN_VAN</t>
        </is>
      </c>
      <c r="E2440" t="inlineStr">
        <is>
          <t>MAT-DAMPER-TRUC-SUS-201-D10</t>
        </is>
      </c>
      <c r="F2440" t="inlineStr">
        <is>
          <t>m</t>
        </is>
      </c>
      <c r="G2440" s="4" t="n">
        <v>0.21</v>
      </c>
      <c r="H2440" s="2">
        <f>XLOOKUP(B2440, '00_TONG_HOP_BAO_GIA'!B:B, '00_TONG_HOP_BAO_GIA'!G:G, 1)</f>
        <v/>
      </c>
      <c r="I2440" s="5">
        <f>G2440*H2440</f>
        <v/>
      </c>
      <c r="J2440" s="2">
        <f>XLOOKUP(E2440, '06_BANG_GIA_VAT_TU_AP_DUNG'!B:B, '06_BANG_GIA_VAT_TU_AP_DUNG'!C:C, "LỖI_MÃ_VT")</f>
        <v/>
      </c>
      <c r="K2440" s="2">
        <f>I2440*J2440</f>
        <v/>
      </c>
      <c r="L2440" t="inlineStr">
        <is>
          <t>1 trục dài 210mm</t>
        </is>
      </c>
    </row>
    <row r="2441">
      <c r="A2441" t="inlineStr">
        <is>
          <t>SW-DAMPER-590-BEARING</t>
        </is>
      </c>
      <c r="B2441" t="inlineStr">
        <is>
          <t>SW-DAMPER-590</t>
        </is>
      </c>
      <c r="C2441" t="inlineStr">
        <is>
          <t>Bạc đồng D10</t>
        </is>
      </c>
      <c r="D2441" t="inlineStr">
        <is>
          <t>PHỤ_KIỆN_VAN</t>
        </is>
      </c>
      <c r="E2441" t="inlineStr">
        <is>
          <t>MAT-DAMPER-BAC-DONG-D10</t>
        </is>
      </c>
      <c r="F2441" t="inlineStr">
        <is>
          <t>Đôi</t>
        </is>
      </c>
      <c r="G2441" s="4" t="n">
        <v>1</v>
      </c>
      <c r="H2441" s="2">
        <f>XLOOKUP(B2441, '00_TONG_HOP_BAO_GIA'!B:B, '00_TONG_HOP_BAO_GIA'!G:G, 1)</f>
        <v/>
      </c>
      <c r="I2441" s="5">
        <f>G2441*H2441</f>
        <v/>
      </c>
      <c r="J2441" s="2">
        <f>XLOOKUP(E2441, '06_BANG_GIA_VAT_TU_AP_DUNG'!B:B, '06_BANG_GIA_VAT_TU_AP_DUNG'!C:C, "LỖI_MÃ_VT")</f>
        <v/>
      </c>
      <c r="K2441" s="2">
        <f>I2441*J2441</f>
        <v/>
      </c>
      <c r="L2441" t="inlineStr">
        <is>
          <t>1 đôi bạc đỡ 2 bên thân</t>
        </is>
      </c>
    </row>
    <row r="2442">
      <c r="A2442" t="inlineStr">
        <is>
          <t>SW-DAMPER-590-FUSE</t>
        </is>
      </c>
      <c r="B2442" t="inlineStr">
        <is>
          <t>SW-DAMPER-590</t>
        </is>
      </c>
      <c r="C2442" t="inlineStr">
        <is>
          <t>Cầu chì nhiệt nóng chảy 70°C (Elsie/USA)</t>
        </is>
      </c>
      <c r="D2442" t="inlineStr">
        <is>
          <t>PHỤ_KIỆN_VAN</t>
        </is>
      </c>
      <c r="E2442" t="inlineStr">
        <is>
          <t>MAT-DAMPER-CAU-CHI-USA-1-400X400</t>
        </is>
      </c>
      <c r="F2442" t="inlineStr">
        <is>
          <t>Cái</t>
        </is>
      </c>
      <c r="G2442" s="4" t="n">
        <v>1</v>
      </c>
      <c r="H2442" s="2">
        <f>XLOOKUP(B2442, '00_TONG_HOP_BAO_GIA'!B:B, '00_TONG_HOP_BAO_GIA'!G:G, 1)</f>
        <v/>
      </c>
      <c r="I2442" s="5">
        <f>G2442*H2442</f>
        <v/>
      </c>
      <c r="J2442" s="2">
        <f>XLOOKUP(E2442, '06_BANG_GIA_VAT_TU_AP_DUNG'!B:B, '06_BANG_GIA_VAT_TU_AP_DUNG'!C:C, "LỖI_MÃ_VT")</f>
        <v/>
      </c>
      <c r="K2442" s="2">
        <f>I2442*J2442</f>
        <v/>
      </c>
      <c r="L2442" t="inlineStr">
        <is>
          <t>Cầu chì kiểm định PCCC</t>
        </is>
      </c>
    </row>
    <row r="2443">
      <c r="A2443" t="inlineStr">
        <is>
          <t>SW-DAMPER-591-BODY</t>
        </is>
      </c>
      <c r="B2443" t="inlineStr">
        <is>
          <t>SW-DAMPER-591</t>
        </is>
      </c>
      <c r="C2443" t="inlineStr">
        <is>
          <t>Thân vỏ van FD bích TDF (0.75mm)</t>
        </is>
      </c>
      <c r="D2443" t="inlineStr">
        <is>
          <t>TÔN_CUỘN_MẠ_KẼM</t>
        </is>
      </c>
      <c r="E2443" t="inlineStr">
        <is>
          <t>MAT-STEEL-PN-0.75</t>
        </is>
      </c>
      <c r="F2443" t="inlineStr">
        <is>
          <t>kg</t>
        </is>
      </c>
      <c r="G2443" s="4" t="n">
        <v>1.266048</v>
      </c>
      <c r="H2443" s="2">
        <f>XLOOKUP(B2443, '00_TONG_HOP_BAO_GIA'!B:B, '00_TONG_HOP_BAO_GIA'!G:G, 1)</f>
        <v/>
      </c>
      <c r="I2443" s="5">
        <f>G2443*H2443</f>
        <v/>
      </c>
      <c r="J2443" s="2">
        <f>XLOOKUP(E2443, '06_BANG_GIA_VAT_TU_AP_DUNG'!B:B, '06_BANG_GIA_VAT_TU_AP_DUNG'!C:C, "LỖI_MÃ_VT")</f>
        <v/>
      </c>
      <c r="K2443" s="2">
        <f>I2443*J2443</f>
        <v/>
      </c>
      <c r="L2443" t="inlineStr">
        <is>
          <t>Kích thước vỏ 150.0x150.0x250mm</t>
        </is>
      </c>
    </row>
    <row r="2444">
      <c r="A2444" t="inlineStr">
        <is>
          <t>SW-DAMPER-591-BLADE</t>
        </is>
      </c>
      <c r="B2444" t="inlineStr">
        <is>
          <t>SW-DAMPER-591</t>
        </is>
      </c>
      <c r="C2444" t="inlineStr">
        <is>
          <t>Lá cánh van (1 cánh overlap)</t>
        </is>
      </c>
      <c r="D2444" t="inlineStr">
        <is>
          <t>TÔN_CUỘN_MẠ_KẼM</t>
        </is>
      </c>
      <c r="E2444" t="inlineStr">
        <is>
          <t>MAT-STEEL-PN-0.75</t>
        </is>
      </c>
      <c r="F2444" t="inlineStr">
        <is>
          <t>kg</t>
        </is>
      </c>
      <c r="G2444" s="4" t="n">
        <v>0.16214175</v>
      </c>
      <c r="H2444" s="2">
        <f>XLOOKUP(B2444, '00_TONG_HOP_BAO_GIA'!B:B, '00_TONG_HOP_BAO_GIA'!G:G, 1)</f>
        <v/>
      </c>
      <c r="I2444" s="5">
        <f>G2444*H2444</f>
        <v/>
      </c>
      <c r="J2444" s="2">
        <f>XLOOKUP(E2444, '06_BANG_GIA_VAT_TU_AP_DUNG'!B:B, '06_BANG_GIA_VAT_TU_AP_DUNG'!C:C, "LỖI_MÃ_VT")</f>
        <v/>
      </c>
      <c r="K2444" s="2">
        <f>I2444*J2444</f>
        <v/>
      </c>
      <c r="L2444" t="inlineStr">
        <is>
          <t>1 cánh cao 170mm</t>
        </is>
      </c>
    </row>
    <row r="2445">
      <c r="A2445" t="inlineStr">
        <is>
          <t>SW-DAMPER-591-AXLE</t>
        </is>
      </c>
      <c r="B2445" t="inlineStr">
        <is>
          <t>SW-DAMPER-591</t>
        </is>
      </c>
      <c r="C2445" t="inlineStr">
        <is>
          <t>Trục Sus 201 D10</t>
        </is>
      </c>
      <c r="D2445" t="inlineStr">
        <is>
          <t>PHỤ_KIỆN_VAN</t>
        </is>
      </c>
      <c r="E2445" t="inlineStr">
        <is>
          <t>MAT-DAMPER-TRUC-SUS-201-D10</t>
        </is>
      </c>
      <c r="F2445" t="inlineStr">
        <is>
          <t>m</t>
        </is>
      </c>
      <c r="G2445" s="4" t="n">
        <v>0.21</v>
      </c>
      <c r="H2445" s="2">
        <f>XLOOKUP(B2445, '00_TONG_HOP_BAO_GIA'!B:B, '00_TONG_HOP_BAO_GIA'!G:G, 1)</f>
        <v/>
      </c>
      <c r="I2445" s="5">
        <f>G2445*H2445</f>
        <v/>
      </c>
      <c r="J2445" s="2">
        <f>XLOOKUP(E2445, '06_BANG_GIA_VAT_TU_AP_DUNG'!B:B, '06_BANG_GIA_VAT_TU_AP_DUNG'!C:C, "LỖI_MÃ_VT")</f>
        <v/>
      </c>
      <c r="K2445" s="2">
        <f>I2445*J2445</f>
        <v/>
      </c>
      <c r="L2445" t="inlineStr">
        <is>
          <t>1 trục dài 210mm</t>
        </is>
      </c>
    </row>
    <row r="2446">
      <c r="A2446" t="inlineStr">
        <is>
          <t>SW-DAMPER-591-BEARING</t>
        </is>
      </c>
      <c r="B2446" t="inlineStr">
        <is>
          <t>SW-DAMPER-591</t>
        </is>
      </c>
      <c r="C2446" t="inlineStr">
        <is>
          <t>Bạc đồng D10</t>
        </is>
      </c>
      <c r="D2446" t="inlineStr">
        <is>
          <t>PHỤ_KIỆN_VAN</t>
        </is>
      </c>
      <c r="E2446" t="inlineStr">
        <is>
          <t>MAT-DAMPER-BAC-DONG-D10</t>
        </is>
      </c>
      <c r="F2446" t="inlineStr">
        <is>
          <t>Đôi</t>
        </is>
      </c>
      <c r="G2446" s="4" t="n">
        <v>1</v>
      </c>
      <c r="H2446" s="2">
        <f>XLOOKUP(B2446, '00_TONG_HOP_BAO_GIA'!B:B, '00_TONG_HOP_BAO_GIA'!G:G, 1)</f>
        <v/>
      </c>
      <c r="I2446" s="5">
        <f>G2446*H2446</f>
        <v/>
      </c>
      <c r="J2446" s="2">
        <f>XLOOKUP(E2446, '06_BANG_GIA_VAT_TU_AP_DUNG'!B:B, '06_BANG_GIA_VAT_TU_AP_DUNG'!C:C, "LỖI_MÃ_VT")</f>
        <v/>
      </c>
      <c r="K2446" s="2">
        <f>I2446*J2446</f>
        <v/>
      </c>
      <c r="L2446" t="inlineStr">
        <is>
          <t>1 đôi bạc đỡ 2 bên thân</t>
        </is>
      </c>
    </row>
    <row r="2447">
      <c r="A2447" t="inlineStr">
        <is>
          <t>SW-DAMPER-591-FUSE</t>
        </is>
      </c>
      <c r="B2447" t="inlineStr">
        <is>
          <t>SW-DAMPER-591</t>
        </is>
      </c>
      <c r="C2447" t="inlineStr">
        <is>
          <t>Cầu chì nhiệt nóng chảy 70°C (Elsie/USA)</t>
        </is>
      </c>
      <c r="D2447" t="inlineStr">
        <is>
          <t>PHỤ_KIỆN_VAN</t>
        </is>
      </c>
      <c r="E2447" t="inlineStr">
        <is>
          <t>MAT-DAMPER-CAU-CHI-USA-1-400X400</t>
        </is>
      </c>
      <c r="F2447" t="inlineStr">
        <is>
          <t>Cái</t>
        </is>
      </c>
      <c r="G2447" s="4" t="n">
        <v>1</v>
      </c>
      <c r="H2447" s="2">
        <f>XLOOKUP(B2447, '00_TONG_HOP_BAO_GIA'!B:B, '00_TONG_HOP_BAO_GIA'!G:G, 1)</f>
        <v/>
      </c>
      <c r="I2447" s="5">
        <f>G2447*H2447</f>
        <v/>
      </c>
      <c r="J2447" s="2">
        <f>XLOOKUP(E2447, '06_BANG_GIA_VAT_TU_AP_DUNG'!B:B, '06_BANG_GIA_VAT_TU_AP_DUNG'!C:C, "LỖI_MÃ_VT")</f>
        <v/>
      </c>
      <c r="K2447" s="2">
        <f>I2447*J2447</f>
        <v/>
      </c>
      <c r="L2447" t="inlineStr">
        <is>
          <t>Cầu chì kiểm định PCCC</t>
        </is>
      </c>
    </row>
    <row r="2448">
      <c r="A2448" t="inlineStr">
        <is>
          <t>SW-DAMPER-592-BODY</t>
        </is>
      </c>
      <c r="B2448" t="inlineStr">
        <is>
          <t>SW-DAMPER-592</t>
        </is>
      </c>
      <c r="C2448" t="inlineStr">
        <is>
          <t>Thân vỏ van VCD bích TDF (0.75mm)</t>
        </is>
      </c>
      <c r="D2448" t="inlineStr">
        <is>
          <t>TÔN_CUỘN_MẠ_KẼM</t>
        </is>
      </c>
      <c r="E2448" t="inlineStr">
        <is>
          <t>MAT-STEEL-PN-0.75</t>
        </is>
      </c>
      <c r="F2448" t="inlineStr">
        <is>
          <t>kg</t>
        </is>
      </c>
      <c r="G2448" s="4" t="n">
        <v>0.9346995000000001</v>
      </c>
      <c r="H2448" s="2">
        <f>XLOOKUP(B2448, '00_TONG_HOP_BAO_GIA'!B:B, '00_TONG_HOP_BAO_GIA'!G:G, 1)</f>
        <v/>
      </c>
      <c r="I2448" s="5">
        <f>G2448*H2448</f>
        <v/>
      </c>
      <c r="J2448" s="2">
        <f>XLOOKUP(E2448, '06_BANG_GIA_VAT_TU_AP_DUNG'!B:B, '06_BANG_GIA_VAT_TU_AP_DUNG'!C:C, "LỖI_MÃ_VT")</f>
        <v/>
      </c>
      <c r="K2448" s="2">
        <f>I2448*J2448</f>
        <v/>
      </c>
      <c r="L2448" t="inlineStr">
        <is>
          <t>Kích thước vỏ 150.0x100.0x210mm</t>
        </is>
      </c>
    </row>
    <row r="2449">
      <c r="A2449" t="inlineStr">
        <is>
          <t>SW-DAMPER-592-BLADE</t>
        </is>
      </c>
      <c r="B2449" t="inlineStr">
        <is>
          <t>SW-DAMPER-592</t>
        </is>
      </c>
      <c r="C2449" t="inlineStr">
        <is>
          <t>Lá cánh van (1 cánh overlap)</t>
        </is>
      </c>
      <c r="D2449" t="inlineStr">
        <is>
          <t>TÔN_CUỘN_MẠ_KẼM</t>
        </is>
      </c>
      <c r="E2449" t="inlineStr">
        <is>
          <t>MAT-STEEL-PN-0.75</t>
        </is>
      </c>
      <c r="F2449" t="inlineStr">
        <is>
          <t>kg</t>
        </is>
      </c>
      <c r="G2449" s="4" t="n">
        <v>0.114453</v>
      </c>
      <c r="H2449" s="2">
        <f>XLOOKUP(B2449, '00_TONG_HOP_BAO_GIA'!B:B, '00_TONG_HOP_BAO_GIA'!G:G, 1)</f>
        <v/>
      </c>
      <c r="I2449" s="5">
        <f>G2449*H2449</f>
        <v/>
      </c>
      <c r="J2449" s="2">
        <f>XLOOKUP(E2449, '06_BANG_GIA_VAT_TU_AP_DUNG'!B:B, '06_BANG_GIA_VAT_TU_AP_DUNG'!C:C, "LỖI_MÃ_VT")</f>
        <v/>
      </c>
      <c r="K2449" s="2">
        <f>I2449*J2449</f>
        <v/>
      </c>
      <c r="L2449" t="inlineStr">
        <is>
          <t>1 cánh cao 120mm</t>
        </is>
      </c>
    </row>
    <row r="2450">
      <c r="A2450" t="inlineStr">
        <is>
          <t>SW-DAMPER-592-AXLE</t>
        </is>
      </c>
      <c r="B2450" t="inlineStr">
        <is>
          <t>SW-DAMPER-592</t>
        </is>
      </c>
      <c r="C2450" t="inlineStr">
        <is>
          <t>Trục Sus 201 D10</t>
        </is>
      </c>
      <c r="D2450" t="inlineStr">
        <is>
          <t>PHỤ_KIỆN_VAN</t>
        </is>
      </c>
      <c r="E2450" t="inlineStr">
        <is>
          <t>MAT-DAMPER-TRUC-SUS-201-D10</t>
        </is>
      </c>
      <c r="F2450" t="inlineStr">
        <is>
          <t>m</t>
        </is>
      </c>
      <c r="G2450" s="4" t="n">
        <v>0.21</v>
      </c>
      <c r="H2450" s="2">
        <f>XLOOKUP(B2450, '00_TONG_HOP_BAO_GIA'!B:B, '00_TONG_HOP_BAO_GIA'!G:G, 1)</f>
        <v/>
      </c>
      <c r="I2450" s="5">
        <f>G2450*H2450</f>
        <v/>
      </c>
      <c r="J2450" s="2">
        <f>XLOOKUP(E2450, '06_BANG_GIA_VAT_TU_AP_DUNG'!B:B, '06_BANG_GIA_VAT_TU_AP_DUNG'!C:C, "LỖI_MÃ_VT")</f>
        <v/>
      </c>
      <c r="K2450" s="2">
        <f>I2450*J2450</f>
        <v/>
      </c>
      <c r="L2450" t="inlineStr">
        <is>
          <t>1 trục dài 210mm</t>
        </is>
      </c>
    </row>
    <row r="2451">
      <c r="A2451" t="inlineStr">
        <is>
          <t>SW-DAMPER-592-BEARING</t>
        </is>
      </c>
      <c r="B2451" t="inlineStr">
        <is>
          <t>SW-DAMPER-592</t>
        </is>
      </c>
      <c r="C2451" t="inlineStr">
        <is>
          <t>Bạc đồng D10</t>
        </is>
      </c>
      <c r="D2451" t="inlineStr">
        <is>
          <t>PHỤ_KIỆN_VAN</t>
        </is>
      </c>
      <c r="E2451" t="inlineStr">
        <is>
          <t>MAT-DAMPER-BAC-DONG-D10</t>
        </is>
      </c>
      <c r="F2451" t="inlineStr">
        <is>
          <t>Đôi</t>
        </is>
      </c>
      <c r="G2451" s="4" t="n">
        <v>1</v>
      </c>
      <c r="H2451" s="2">
        <f>XLOOKUP(B2451, '00_TONG_HOP_BAO_GIA'!B:B, '00_TONG_HOP_BAO_GIA'!G:G, 1)</f>
        <v/>
      </c>
      <c r="I2451" s="5">
        <f>G2451*H2451</f>
        <v/>
      </c>
      <c r="J2451" s="2">
        <f>XLOOKUP(E2451, '06_BANG_GIA_VAT_TU_AP_DUNG'!B:B, '06_BANG_GIA_VAT_TU_AP_DUNG'!C:C, "LỖI_MÃ_VT")</f>
        <v/>
      </c>
      <c r="K2451" s="2">
        <f>I2451*J2451</f>
        <v/>
      </c>
      <c r="L2451" t="inlineStr">
        <is>
          <t>1 đôi bạc đỡ 2 bên thân</t>
        </is>
      </c>
    </row>
    <row r="2452">
      <c r="A2452" t="inlineStr">
        <is>
          <t>SW-DAMPER-592-HANDLE</t>
        </is>
      </c>
      <c r="B2452" t="inlineStr">
        <is>
          <t>SW-DAMPER-592</t>
        </is>
      </c>
      <c r="C2452" t="inlineStr">
        <is>
          <t>Tay gạt nhỏ</t>
        </is>
      </c>
      <c r="D2452" t="inlineStr">
        <is>
          <t>PHỤ_KIỆN_VAN</t>
        </is>
      </c>
      <c r="E2452" t="inlineStr">
        <is>
          <t>MAT-DAMPER-TAY-GAT-NHO</t>
        </is>
      </c>
      <c r="F2452" t="inlineStr">
        <is>
          <t>Bộ</t>
        </is>
      </c>
      <c r="G2452" s="4" t="n">
        <v>1</v>
      </c>
      <c r="H2452" s="2">
        <f>XLOOKUP(B2452, '00_TONG_HOP_BAO_GIA'!B:B, '00_TONG_HOP_BAO_GIA'!G:G, 1)</f>
        <v/>
      </c>
      <c r="I2452" s="5">
        <f>G2452*H2452</f>
        <v/>
      </c>
      <c r="J2452" s="2">
        <f>XLOOKUP(E2452, '06_BANG_GIA_VAT_TU_AP_DUNG'!B:B, '06_BANG_GIA_VAT_TU_AP_DUNG'!C:C, "LỖI_MÃ_VT")</f>
        <v/>
      </c>
      <c r="K2452" s="2">
        <f>I2452*J2452</f>
        <v/>
      </c>
      <c r="L2452" t="inlineStr">
        <is>
          <t>Tay gạt khóa vị trí nan (S=0.01m2)</t>
        </is>
      </c>
    </row>
    <row r="2453">
      <c r="A2453" t="inlineStr">
        <is>
          <t>SW-DAMPER-593-BODY</t>
        </is>
      </c>
      <c r="B2453" t="inlineStr">
        <is>
          <t>SW-DAMPER-593</t>
        </is>
      </c>
      <c r="C2453" t="inlineStr">
        <is>
          <t>Thân vỏ van VCD bích TDF (0.75mm)</t>
        </is>
      </c>
      <c r="D2453" t="inlineStr">
        <is>
          <t>TÔN_CUỘN_MẠ_KẼM</t>
        </is>
      </c>
      <c r="E2453" t="inlineStr">
        <is>
          <t>MAT-STEEL-PN-0.75</t>
        </is>
      </c>
      <c r="F2453" t="inlineStr">
        <is>
          <t>kg</t>
        </is>
      </c>
      <c r="G2453" s="4" t="n">
        <v>1.107792</v>
      </c>
      <c r="H2453" s="2">
        <f>XLOOKUP(B2453, '00_TONG_HOP_BAO_GIA'!B:B, '00_TONG_HOP_BAO_GIA'!G:G, 1)</f>
        <v/>
      </c>
      <c r="I2453" s="5">
        <f>G2453*H2453</f>
        <v/>
      </c>
      <c r="J2453" s="2">
        <f>XLOOKUP(E2453, '06_BANG_GIA_VAT_TU_AP_DUNG'!B:B, '06_BANG_GIA_VAT_TU_AP_DUNG'!C:C, "LỖI_MÃ_VT")</f>
        <v/>
      </c>
      <c r="K2453" s="2">
        <f>I2453*J2453</f>
        <v/>
      </c>
      <c r="L2453" t="inlineStr">
        <is>
          <t>Kích thước vỏ 150.0x150.0x210mm</t>
        </is>
      </c>
    </row>
    <row r="2454">
      <c r="A2454" t="inlineStr">
        <is>
          <t>SW-DAMPER-593-BLADE</t>
        </is>
      </c>
      <c r="B2454" t="inlineStr">
        <is>
          <t>SW-DAMPER-593</t>
        </is>
      </c>
      <c r="C2454" t="inlineStr">
        <is>
          <t>Lá cánh van (1 cánh overlap)</t>
        </is>
      </c>
      <c r="D2454" t="inlineStr">
        <is>
          <t>TÔN_CUỘN_MẠ_KẼM</t>
        </is>
      </c>
      <c r="E2454" t="inlineStr">
        <is>
          <t>MAT-STEEL-PN-0.75</t>
        </is>
      </c>
      <c r="F2454" t="inlineStr">
        <is>
          <t>kg</t>
        </is>
      </c>
      <c r="G2454" s="4" t="n">
        <v>0.16214175</v>
      </c>
      <c r="H2454" s="2">
        <f>XLOOKUP(B2454, '00_TONG_HOP_BAO_GIA'!B:B, '00_TONG_HOP_BAO_GIA'!G:G, 1)</f>
        <v/>
      </c>
      <c r="I2454" s="5">
        <f>G2454*H2454</f>
        <v/>
      </c>
      <c r="J2454" s="2">
        <f>XLOOKUP(E2454, '06_BANG_GIA_VAT_TU_AP_DUNG'!B:B, '06_BANG_GIA_VAT_TU_AP_DUNG'!C:C, "LỖI_MÃ_VT")</f>
        <v/>
      </c>
      <c r="K2454" s="2">
        <f>I2454*J2454</f>
        <v/>
      </c>
      <c r="L2454" t="inlineStr">
        <is>
          <t>1 cánh cao 170mm</t>
        </is>
      </c>
    </row>
    <row r="2455">
      <c r="A2455" t="inlineStr">
        <is>
          <t>SW-DAMPER-593-AXLE</t>
        </is>
      </c>
      <c r="B2455" t="inlineStr">
        <is>
          <t>SW-DAMPER-593</t>
        </is>
      </c>
      <c r="C2455" t="inlineStr">
        <is>
          <t>Trục Sus 201 D10</t>
        </is>
      </c>
      <c r="D2455" t="inlineStr">
        <is>
          <t>PHỤ_KIỆN_VAN</t>
        </is>
      </c>
      <c r="E2455" t="inlineStr">
        <is>
          <t>MAT-DAMPER-TRUC-SUS-201-D10</t>
        </is>
      </c>
      <c r="F2455" t="inlineStr">
        <is>
          <t>m</t>
        </is>
      </c>
      <c r="G2455" s="4" t="n">
        <v>0.21</v>
      </c>
      <c r="H2455" s="2">
        <f>XLOOKUP(B2455, '00_TONG_HOP_BAO_GIA'!B:B, '00_TONG_HOP_BAO_GIA'!G:G, 1)</f>
        <v/>
      </c>
      <c r="I2455" s="5">
        <f>G2455*H2455</f>
        <v/>
      </c>
      <c r="J2455" s="2">
        <f>XLOOKUP(E2455, '06_BANG_GIA_VAT_TU_AP_DUNG'!B:B, '06_BANG_GIA_VAT_TU_AP_DUNG'!C:C, "LỖI_MÃ_VT")</f>
        <v/>
      </c>
      <c r="K2455" s="2">
        <f>I2455*J2455</f>
        <v/>
      </c>
      <c r="L2455" t="inlineStr">
        <is>
          <t>1 trục dài 210mm</t>
        </is>
      </c>
    </row>
    <row r="2456">
      <c r="A2456" t="inlineStr">
        <is>
          <t>SW-DAMPER-593-BEARING</t>
        </is>
      </c>
      <c r="B2456" t="inlineStr">
        <is>
          <t>SW-DAMPER-593</t>
        </is>
      </c>
      <c r="C2456" t="inlineStr">
        <is>
          <t>Bạc đồng D10</t>
        </is>
      </c>
      <c r="D2456" t="inlineStr">
        <is>
          <t>PHỤ_KIỆN_VAN</t>
        </is>
      </c>
      <c r="E2456" t="inlineStr">
        <is>
          <t>MAT-DAMPER-BAC-DONG-D10</t>
        </is>
      </c>
      <c r="F2456" t="inlineStr">
        <is>
          <t>Đôi</t>
        </is>
      </c>
      <c r="G2456" s="4" t="n">
        <v>1</v>
      </c>
      <c r="H2456" s="2">
        <f>XLOOKUP(B2456, '00_TONG_HOP_BAO_GIA'!B:B, '00_TONG_HOP_BAO_GIA'!G:G, 1)</f>
        <v/>
      </c>
      <c r="I2456" s="5">
        <f>G2456*H2456</f>
        <v/>
      </c>
      <c r="J2456" s="2">
        <f>XLOOKUP(E2456, '06_BANG_GIA_VAT_TU_AP_DUNG'!B:B, '06_BANG_GIA_VAT_TU_AP_DUNG'!C:C, "LỖI_MÃ_VT")</f>
        <v/>
      </c>
      <c r="K2456" s="2">
        <f>I2456*J2456</f>
        <v/>
      </c>
      <c r="L2456" t="inlineStr">
        <is>
          <t>1 đôi bạc đỡ 2 bên thân</t>
        </is>
      </c>
    </row>
    <row r="2457">
      <c r="A2457" t="inlineStr">
        <is>
          <t>SW-DAMPER-593-HANDLE</t>
        </is>
      </c>
      <c r="B2457" t="inlineStr">
        <is>
          <t>SW-DAMPER-593</t>
        </is>
      </c>
      <c r="C2457" t="inlineStr">
        <is>
          <t>Tay gạt nhỏ</t>
        </is>
      </c>
      <c r="D2457" t="inlineStr">
        <is>
          <t>PHỤ_KIỆN_VAN</t>
        </is>
      </c>
      <c r="E2457" t="inlineStr">
        <is>
          <t>MAT-DAMPER-TAY-GAT-NHO</t>
        </is>
      </c>
      <c r="F2457" t="inlineStr">
        <is>
          <t>Bộ</t>
        </is>
      </c>
      <c r="G2457" s="4" t="n">
        <v>1</v>
      </c>
      <c r="H2457" s="2">
        <f>XLOOKUP(B2457, '00_TONG_HOP_BAO_GIA'!B:B, '00_TONG_HOP_BAO_GIA'!G:G, 1)</f>
        <v/>
      </c>
      <c r="I2457" s="5">
        <f>G2457*H2457</f>
        <v/>
      </c>
      <c r="J2457" s="2">
        <f>XLOOKUP(E2457, '06_BANG_GIA_VAT_TU_AP_DUNG'!B:B, '06_BANG_GIA_VAT_TU_AP_DUNG'!C:C, "LỖI_MÃ_VT")</f>
        <v/>
      </c>
      <c r="K2457" s="2">
        <f>I2457*J2457</f>
        <v/>
      </c>
      <c r="L2457" t="inlineStr">
        <is>
          <t>Tay gạt khóa vị trí nan (S=0.02m2)</t>
        </is>
      </c>
    </row>
    <row r="2458">
      <c r="A2458" t="inlineStr">
        <is>
          <t>SW-DAMPER-594-BODY</t>
        </is>
      </c>
      <c r="B2458" t="inlineStr">
        <is>
          <t>SW-DAMPER-594</t>
        </is>
      </c>
      <c r="C2458" t="inlineStr">
        <is>
          <t>Thân vỏ van MD bích TDF (0.75mm)</t>
        </is>
      </c>
      <c r="D2458" t="inlineStr">
        <is>
          <t>TÔN_CUỘN_MẠ_KẼM</t>
        </is>
      </c>
      <c r="E2458" t="inlineStr">
        <is>
          <t>MAT-STEEL-PN-0.75</t>
        </is>
      </c>
      <c r="F2458" t="inlineStr">
        <is>
          <t>kg</t>
        </is>
      </c>
      <c r="G2458" s="4" t="n">
        <v>0.9346995000000001</v>
      </c>
      <c r="H2458" s="2">
        <f>XLOOKUP(B2458, '00_TONG_HOP_BAO_GIA'!B:B, '00_TONG_HOP_BAO_GIA'!G:G, 1)</f>
        <v/>
      </c>
      <c r="I2458" s="5">
        <f>G2458*H2458</f>
        <v/>
      </c>
      <c r="J2458" s="2">
        <f>XLOOKUP(E2458, '06_BANG_GIA_VAT_TU_AP_DUNG'!B:B, '06_BANG_GIA_VAT_TU_AP_DUNG'!C:C, "LỖI_MÃ_VT")</f>
        <v/>
      </c>
      <c r="K2458" s="2">
        <f>I2458*J2458</f>
        <v/>
      </c>
      <c r="L2458" t="inlineStr">
        <is>
          <t>Kích thước vỏ 150.0x100.0x210mm</t>
        </is>
      </c>
    </row>
    <row r="2459">
      <c r="A2459" t="inlineStr">
        <is>
          <t>SW-DAMPER-594-BLADE</t>
        </is>
      </c>
      <c r="B2459" t="inlineStr">
        <is>
          <t>SW-DAMPER-594</t>
        </is>
      </c>
      <c r="C2459" t="inlineStr">
        <is>
          <t>Lá cánh van (1 cánh overlap)</t>
        </is>
      </c>
      <c r="D2459" t="inlineStr">
        <is>
          <t>TÔN_CUỘN_MẠ_KẼM</t>
        </is>
      </c>
      <c r="E2459" t="inlineStr">
        <is>
          <t>MAT-STEEL-PN-0.75</t>
        </is>
      </c>
      <c r="F2459" t="inlineStr">
        <is>
          <t>kg</t>
        </is>
      </c>
      <c r="G2459" s="4" t="n">
        <v>0.114453</v>
      </c>
      <c r="H2459" s="2">
        <f>XLOOKUP(B2459, '00_TONG_HOP_BAO_GIA'!B:B, '00_TONG_HOP_BAO_GIA'!G:G, 1)</f>
        <v/>
      </c>
      <c r="I2459" s="5">
        <f>G2459*H2459</f>
        <v/>
      </c>
      <c r="J2459" s="2">
        <f>XLOOKUP(E2459, '06_BANG_GIA_VAT_TU_AP_DUNG'!B:B, '06_BANG_GIA_VAT_TU_AP_DUNG'!C:C, "LỖI_MÃ_VT")</f>
        <v/>
      </c>
      <c r="K2459" s="2">
        <f>I2459*J2459</f>
        <v/>
      </c>
      <c r="L2459" t="inlineStr">
        <is>
          <t>1 cánh cao 120mm</t>
        </is>
      </c>
    </row>
    <row r="2460">
      <c r="A2460" t="inlineStr">
        <is>
          <t>SW-DAMPER-594-AXLE</t>
        </is>
      </c>
      <c r="B2460" t="inlineStr">
        <is>
          <t>SW-DAMPER-594</t>
        </is>
      </c>
      <c r="C2460" t="inlineStr">
        <is>
          <t>Trục Sus 201 D10</t>
        </is>
      </c>
      <c r="D2460" t="inlineStr">
        <is>
          <t>PHỤ_KIỆN_VAN</t>
        </is>
      </c>
      <c r="E2460" t="inlineStr">
        <is>
          <t>MAT-DAMPER-TRUC-SUS-201-D10</t>
        </is>
      </c>
      <c r="F2460" t="inlineStr">
        <is>
          <t>m</t>
        </is>
      </c>
      <c r="G2460" s="4" t="n">
        <v>0.21</v>
      </c>
      <c r="H2460" s="2">
        <f>XLOOKUP(B2460, '00_TONG_HOP_BAO_GIA'!B:B, '00_TONG_HOP_BAO_GIA'!G:G, 1)</f>
        <v/>
      </c>
      <c r="I2460" s="5">
        <f>G2460*H2460</f>
        <v/>
      </c>
      <c r="J2460" s="2">
        <f>XLOOKUP(E2460, '06_BANG_GIA_VAT_TU_AP_DUNG'!B:B, '06_BANG_GIA_VAT_TU_AP_DUNG'!C:C, "LỖI_MÃ_VT")</f>
        <v/>
      </c>
      <c r="K2460" s="2">
        <f>I2460*J2460</f>
        <v/>
      </c>
      <c r="L2460" t="inlineStr">
        <is>
          <t>1 trục dài 210mm</t>
        </is>
      </c>
    </row>
    <row r="2461">
      <c r="A2461" t="inlineStr">
        <is>
          <t>SW-DAMPER-594-BEARING</t>
        </is>
      </c>
      <c r="B2461" t="inlineStr">
        <is>
          <t>SW-DAMPER-594</t>
        </is>
      </c>
      <c r="C2461" t="inlineStr">
        <is>
          <t>Bạc đồng D10</t>
        </is>
      </c>
      <c r="D2461" t="inlineStr">
        <is>
          <t>PHỤ_KIỆN_VAN</t>
        </is>
      </c>
      <c r="E2461" t="inlineStr">
        <is>
          <t>MAT-DAMPER-BAC-DONG-D10</t>
        </is>
      </c>
      <c r="F2461" t="inlineStr">
        <is>
          <t>Đôi</t>
        </is>
      </c>
      <c r="G2461" s="4" t="n">
        <v>1</v>
      </c>
      <c r="H2461" s="2">
        <f>XLOOKUP(B2461, '00_TONG_HOP_BAO_GIA'!B:B, '00_TONG_HOP_BAO_GIA'!G:G, 1)</f>
        <v/>
      </c>
      <c r="I2461" s="5">
        <f>G2461*H2461</f>
        <v/>
      </c>
      <c r="J2461" s="2">
        <f>XLOOKUP(E2461, '06_BANG_GIA_VAT_TU_AP_DUNG'!B:B, '06_BANG_GIA_VAT_TU_AP_DUNG'!C:C, "LỖI_MÃ_VT")</f>
        <v/>
      </c>
      <c r="K2461" s="2">
        <f>I2461*J2461</f>
        <v/>
      </c>
      <c r="L2461" t="inlineStr">
        <is>
          <t>1 đôi bạc đỡ 2 bên thân</t>
        </is>
      </c>
    </row>
    <row r="2462">
      <c r="A2462" t="inlineStr">
        <is>
          <t>SW-DAMPER-594-ACTUATOR</t>
        </is>
      </c>
      <c r="B2462" t="inlineStr">
        <is>
          <t>SW-DAMPER-594</t>
        </is>
      </c>
      <c r="C2462" t="inlineStr">
        <is>
          <t>Model: NACA 2-05 (5Nm, 220VAC)</t>
        </is>
      </c>
      <c r="D2462" t="inlineStr">
        <is>
          <t>ĐỘNG_CƠ_VÀ_CẢM_BIẾN</t>
        </is>
      </c>
      <c r="E2462" t="inlineStr">
        <is>
          <t>MAT-ACTUATOR-NACA-2-05</t>
        </is>
      </c>
      <c r="F2462" t="inlineStr">
        <is>
          <t>Cái</t>
        </is>
      </c>
      <c r="G2462" s="4" t="n">
        <v>1</v>
      </c>
      <c r="H2462" s="2">
        <f>XLOOKUP(B2462, '00_TONG_HOP_BAO_GIA'!B:B, '00_TONG_HOP_BAO_GIA'!G:G, 1)</f>
        <v/>
      </c>
      <c r="I2462" s="5">
        <f>G2462*H2462</f>
        <v/>
      </c>
      <c r="J2462" s="2">
        <f>XLOOKUP(E2462, '06_BANG_GIA_VAT_TU_AP_DUNG'!B:B, '06_BANG_GIA_VAT_TU_AP_DUNG'!C:C, "LỖI_MÃ_VT")</f>
        <v/>
      </c>
      <c r="K2462" s="2">
        <f>I2462*J2462</f>
        <v/>
      </c>
      <c r="L2462" t="inlineStr">
        <is>
          <t>Tiết diện van 0.01m2</t>
        </is>
      </c>
    </row>
    <row r="2463">
      <c r="A2463" t="inlineStr">
        <is>
          <t>SW-DAMPER-595-BODY</t>
        </is>
      </c>
      <c r="B2463" t="inlineStr">
        <is>
          <t>SW-DAMPER-595</t>
        </is>
      </c>
      <c r="C2463" t="inlineStr">
        <is>
          <t>Thân vỏ van MD bích TDF (0.75mm)</t>
        </is>
      </c>
      <c r="D2463" t="inlineStr">
        <is>
          <t>TÔN_CUỘN_MẠ_KẼM</t>
        </is>
      </c>
      <c r="E2463" t="inlineStr">
        <is>
          <t>MAT-STEEL-PN-0.75</t>
        </is>
      </c>
      <c r="F2463" t="inlineStr">
        <is>
          <t>kg</t>
        </is>
      </c>
      <c r="G2463" s="4" t="n">
        <v>1.107792</v>
      </c>
      <c r="H2463" s="2">
        <f>XLOOKUP(B2463, '00_TONG_HOP_BAO_GIA'!B:B, '00_TONG_HOP_BAO_GIA'!G:G, 1)</f>
        <v/>
      </c>
      <c r="I2463" s="5">
        <f>G2463*H2463</f>
        <v/>
      </c>
      <c r="J2463" s="2">
        <f>XLOOKUP(E2463, '06_BANG_GIA_VAT_TU_AP_DUNG'!B:B, '06_BANG_GIA_VAT_TU_AP_DUNG'!C:C, "LỖI_MÃ_VT")</f>
        <v/>
      </c>
      <c r="K2463" s="2">
        <f>I2463*J2463</f>
        <v/>
      </c>
      <c r="L2463" t="inlineStr">
        <is>
          <t>Kích thước vỏ 150.0x150.0x210mm</t>
        </is>
      </c>
    </row>
    <row r="2464">
      <c r="A2464" t="inlineStr">
        <is>
          <t>SW-DAMPER-595-BLADE</t>
        </is>
      </c>
      <c r="B2464" t="inlineStr">
        <is>
          <t>SW-DAMPER-595</t>
        </is>
      </c>
      <c r="C2464" t="inlineStr">
        <is>
          <t>Lá cánh van (1 cánh overlap)</t>
        </is>
      </c>
      <c r="D2464" t="inlineStr">
        <is>
          <t>TÔN_CUỘN_MẠ_KẼM</t>
        </is>
      </c>
      <c r="E2464" t="inlineStr">
        <is>
          <t>MAT-STEEL-PN-0.75</t>
        </is>
      </c>
      <c r="F2464" t="inlineStr">
        <is>
          <t>kg</t>
        </is>
      </c>
      <c r="G2464" s="4" t="n">
        <v>0.16214175</v>
      </c>
      <c r="H2464" s="2">
        <f>XLOOKUP(B2464, '00_TONG_HOP_BAO_GIA'!B:B, '00_TONG_HOP_BAO_GIA'!G:G, 1)</f>
        <v/>
      </c>
      <c r="I2464" s="5">
        <f>G2464*H2464</f>
        <v/>
      </c>
      <c r="J2464" s="2">
        <f>XLOOKUP(E2464, '06_BANG_GIA_VAT_TU_AP_DUNG'!B:B, '06_BANG_GIA_VAT_TU_AP_DUNG'!C:C, "LỖI_MÃ_VT")</f>
        <v/>
      </c>
      <c r="K2464" s="2">
        <f>I2464*J2464</f>
        <v/>
      </c>
      <c r="L2464" t="inlineStr">
        <is>
          <t>1 cánh cao 170mm</t>
        </is>
      </c>
    </row>
    <row r="2465">
      <c r="A2465" t="inlineStr">
        <is>
          <t>SW-DAMPER-595-AXLE</t>
        </is>
      </c>
      <c r="B2465" t="inlineStr">
        <is>
          <t>SW-DAMPER-595</t>
        </is>
      </c>
      <c r="C2465" t="inlineStr">
        <is>
          <t>Trục Sus 201 D10</t>
        </is>
      </c>
      <c r="D2465" t="inlineStr">
        <is>
          <t>PHỤ_KIỆN_VAN</t>
        </is>
      </c>
      <c r="E2465" t="inlineStr">
        <is>
          <t>MAT-DAMPER-TRUC-SUS-201-D10</t>
        </is>
      </c>
      <c r="F2465" t="inlineStr">
        <is>
          <t>m</t>
        </is>
      </c>
      <c r="G2465" s="4" t="n">
        <v>0.21</v>
      </c>
      <c r="H2465" s="2">
        <f>XLOOKUP(B2465, '00_TONG_HOP_BAO_GIA'!B:B, '00_TONG_HOP_BAO_GIA'!G:G, 1)</f>
        <v/>
      </c>
      <c r="I2465" s="5">
        <f>G2465*H2465</f>
        <v/>
      </c>
      <c r="J2465" s="2">
        <f>XLOOKUP(E2465, '06_BANG_GIA_VAT_TU_AP_DUNG'!B:B, '06_BANG_GIA_VAT_TU_AP_DUNG'!C:C, "LỖI_MÃ_VT")</f>
        <v/>
      </c>
      <c r="K2465" s="2">
        <f>I2465*J2465</f>
        <v/>
      </c>
      <c r="L2465" t="inlineStr">
        <is>
          <t>1 trục dài 210mm</t>
        </is>
      </c>
    </row>
    <row r="2466">
      <c r="A2466" t="inlineStr">
        <is>
          <t>SW-DAMPER-595-BEARING</t>
        </is>
      </c>
      <c r="B2466" t="inlineStr">
        <is>
          <t>SW-DAMPER-595</t>
        </is>
      </c>
      <c r="C2466" t="inlineStr">
        <is>
          <t>Bạc đồng D10</t>
        </is>
      </c>
      <c r="D2466" t="inlineStr">
        <is>
          <t>PHỤ_KIỆN_VAN</t>
        </is>
      </c>
      <c r="E2466" t="inlineStr">
        <is>
          <t>MAT-DAMPER-BAC-DONG-D10</t>
        </is>
      </c>
      <c r="F2466" t="inlineStr">
        <is>
          <t>Đôi</t>
        </is>
      </c>
      <c r="G2466" s="4" t="n">
        <v>1</v>
      </c>
      <c r="H2466" s="2">
        <f>XLOOKUP(B2466, '00_TONG_HOP_BAO_GIA'!B:B, '00_TONG_HOP_BAO_GIA'!G:G, 1)</f>
        <v/>
      </c>
      <c r="I2466" s="5">
        <f>G2466*H2466</f>
        <v/>
      </c>
      <c r="J2466" s="2">
        <f>XLOOKUP(E2466, '06_BANG_GIA_VAT_TU_AP_DUNG'!B:B, '06_BANG_GIA_VAT_TU_AP_DUNG'!C:C, "LỖI_MÃ_VT")</f>
        <v/>
      </c>
      <c r="K2466" s="2">
        <f>I2466*J2466</f>
        <v/>
      </c>
      <c r="L2466" t="inlineStr">
        <is>
          <t>1 đôi bạc đỡ 2 bên thân</t>
        </is>
      </c>
    </row>
    <row r="2467">
      <c r="A2467" t="inlineStr">
        <is>
          <t>SW-DAMPER-595-ACTUATOR</t>
        </is>
      </c>
      <c r="B2467" t="inlineStr">
        <is>
          <t>SW-DAMPER-595</t>
        </is>
      </c>
      <c r="C2467" t="inlineStr">
        <is>
          <t>Model: NACA 2-05 (5Nm, 220VAC)</t>
        </is>
      </c>
      <c r="D2467" t="inlineStr">
        <is>
          <t>ĐỘNG_CƠ_VÀ_CẢM_BIẾN</t>
        </is>
      </c>
      <c r="E2467" t="inlineStr">
        <is>
          <t>MAT-ACTUATOR-NACA-2-05</t>
        </is>
      </c>
      <c r="F2467" t="inlineStr">
        <is>
          <t>Cái</t>
        </is>
      </c>
      <c r="G2467" s="4" t="n">
        <v>1</v>
      </c>
      <c r="H2467" s="2">
        <f>XLOOKUP(B2467, '00_TONG_HOP_BAO_GIA'!B:B, '00_TONG_HOP_BAO_GIA'!G:G, 1)</f>
        <v/>
      </c>
      <c r="I2467" s="5">
        <f>G2467*H2467</f>
        <v/>
      </c>
      <c r="J2467" s="2">
        <f>XLOOKUP(E2467, '06_BANG_GIA_VAT_TU_AP_DUNG'!B:B, '06_BANG_GIA_VAT_TU_AP_DUNG'!C:C, "LỖI_MÃ_VT")</f>
        <v/>
      </c>
      <c r="K2467" s="2">
        <f>I2467*J2467</f>
        <v/>
      </c>
      <c r="L2467" t="inlineStr">
        <is>
          <t>Tiết diện van 0.02m2</t>
        </is>
      </c>
    </row>
    <row r="2468">
      <c r="A2468" t="inlineStr">
        <is>
          <t>SW-DAMPER-597-BODY</t>
        </is>
      </c>
      <c r="B2468" t="inlineStr">
        <is>
          <t>SW-DAMPER-597</t>
        </is>
      </c>
      <c r="C2468" t="inlineStr">
        <is>
          <t>Thân vỏ van FD bích TDF (0.75mm)</t>
        </is>
      </c>
      <c r="D2468" t="inlineStr">
        <is>
          <t>TÔN_CUỘN_MẠ_KẼM</t>
        </is>
      </c>
      <c r="E2468" t="inlineStr">
        <is>
          <t>MAT-STEEL-PN-0.75</t>
        </is>
      </c>
      <c r="F2468" t="inlineStr">
        <is>
          <t>kg</t>
        </is>
      </c>
      <c r="G2468" s="4" t="n">
        <v>1.266048</v>
      </c>
      <c r="H2468" s="2">
        <f>XLOOKUP(B2468, '00_TONG_HOP_BAO_GIA'!B:B, '00_TONG_HOP_BAO_GIA'!G:G, 1)</f>
        <v/>
      </c>
      <c r="I2468" s="5">
        <f>G2468*H2468</f>
        <v/>
      </c>
      <c r="J2468" s="2">
        <f>XLOOKUP(E2468, '06_BANG_GIA_VAT_TU_AP_DUNG'!B:B, '06_BANG_GIA_VAT_TU_AP_DUNG'!C:C, "LỖI_MÃ_VT")</f>
        <v/>
      </c>
      <c r="K2468" s="2">
        <f>I2468*J2468</f>
        <v/>
      </c>
      <c r="L2468" t="inlineStr">
        <is>
          <t>Kích thước vỏ 150.0x150.0x250mm</t>
        </is>
      </c>
    </row>
    <row r="2469">
      <c r="A2469" t="inlineStr">
        <is>
          <t>SW-DAMPER-597-BLADE</t>
        </is>
      </c>
      <c r="B2469" t="inlineStr">
        <is>
          <t>SW-DAMPER-597</t>
        </is>
      </c>
      <c r="C2469" t="inlineStr">
        <is>
          <t>Lá cánh van (1 cánh overlap)</t>
        </is>
      </c>
      <c r="D2469" t="inlineStr">
        <is>
          <t>TÔN_CUỘN_MẠ_KẼM</t>
        </is>
      </c>
      <c r="E2469" t="inlineStr">
        <is>
          <t>MAT-STEEL-PN-0.75</t>
        </is>
      </c>
      <c r="F2469" t="inlineStr">
        <is>
          <t>kg</t>
        </is>
      </c>
      <c r="G2469" s="4" t="n">
        <v>0.16214175</v>
      </c>
      <c r="H2469" s="2">
        <f>XLOOKUP(B2469, '00_TONG_HOP_BAO_GIA'!B:B, '00_TONG_HOP_BAO_GIA'!G:G, 1)</f>
        <v/>
      </c>
      <c r="I2469" s="5">
        <f>G2469*H2469</f>
        <v/>
      </c>
      <c r="J2469" s="2">
        <f>XLOOKUP(E2469, '06_BANG_GIA_VAT_TU_AP_DUNG'!B:B, '06_BANG_GIA_VAT_TU_AP_DUNG'!C:C, "LỖI_MÃ_VT")</f>
        <v/>
      </c>
      <c r="K2469" s="2">
        <f>I2469*J2469</f>
        <v/>
      </c>
      <c r="L2469" t="inlineStr">
        <is>
          <t>1 cánh cao 170mm</t>
        </is>
      </c>
    </row>
    <row r="2470">
      <c r="A2470" t="inlineStr">
        <is>
          <t>SW-DAMPER-597-AXLE</t>
        </is>
      </c>
      <c r="B2470" t="inlineStr">
        <is>
          <t>SW-DAMPER-597</t>
        </is>
      </c>
      <c r="C2470" t="inlineStr">
        <is>
          <t>Trục Sus 201 D10</t>
        </is>
      </c>
      <c r="D2470" t="inlineStr">
        <is>
          <t>PHỤ_KIỆN_VAN</t>
        </is>
      </c>
      <c r="E2470" t="inlineStr">
        <is>
          <t>MAT-DAMPER-TRUC-SUS-201-D10</t>
        </is>
      </c>
      <c r="F2470" t="inlineStr">
        <is>
          <t>m</t>
        </is>
      </c>
      <c r="G2470" s="4" t="n">
        <v>0.21</v>
      </c>
      <c r="H2470" s="2">
        <f>XLOOKUP(B2470, '00_TONG_HOP_BAO_GIA'!B:B, '00_TONG_HOP_BAO_GIA'!G:G, 1)</f>
        <v/>
      </c>
      <c r="I2470" s="5">
        <f>G2470*H2470</f>
        <v/>
      </c>
      <c r="J2470" s="2">
        <f>XLOOKUP(E2470, '06_BANG_GIA_VAT_TU_AP_DUNG'!B:B, '06_BANG_GIA_VAT_TU_AP_DUNG'!C:C, "LỖI_MÃ_VT")</f>
        <v/>
      </c>
      <c r="K2470" s="2">
        <f>I2470*J2470</f>
        <v/>
      </c>
      <c r="L2470" t="inlineStr">
        <is>
          <t>1 trục dài 210mm</t>
        </is>
      </c>
    </row>
    <row r="2471">
      <c r="A2471" t="inlineStr">
        <is>
          <t>SW-DAMPER-597-BEARING</t>
        </is>
      </c>
      <c r="B2471" t="inlineStr">
        <is>
          <t>SW-DAMPER-597</t>
        </is>
      </c>
      <c r="C2471" t="inlineStr">
        <is>
          <t>Bạc đồng D10</t>
        </is>
      </c>
      <c r="D2471" t="inlineStr">
        <is>
          <t>PHỤ_KIỆN_VAN</t>
        </is>
      </c>
      <c r="E2471" t="inlineStr">
        <is>
          <t>MAT-DAMPER-BAC-DONG-D10</t>
        </is>
      </c>
      <c r="F2471" t="inlineStr">
        <is>
          <t>Đôi</t>
        </is>
      </c>
      <c r="G2471" s="4" t="n">
        <v>1</v>
      </c>
      <c r="H2471" s="2">
        <f>XLOOKUP(B2471, '00_TONG_HOP_BAO_GIA'!B:B, '00_TONG_HOP_BAO_GIA'!G:G, 1)</f>
        <v/>
      </c>
      <c r="I2471" s="5">
        <f>G2471*H2471</f>
        <v/>
      </c>
      <c r="J2471" s="2">
        <f>XLOOKUP(E2471, '06_BANG_GIA_VAT_TU_AP_DUNG'!B:B, '06_BANG_GIA_VAT_TU_AP_DUNG'!C:C, "LỖI_MÃ_VT")</f>
        <v/>
      </c>
      <c r="K2471" s="2">
        <f>I2471*J2471</f>
        <v/>
      </c>
      <c r="L2471" t="inlineStr">
        <is>
          <t>1 đôi bạc đỡ 2 bên thân</t>
        </is>
      </c>
    </row>
    <row r="2472">
      <c r="A2472" t="inlineStr">
        <is>
          <t>SW-DAMPER-597-FUSE</t>
        </is>
      </c>
      <c r="B2472" t="inlineStr">
        <is>
          <t>SW-DAMPER-597</t>
        </is>
      </c>
      <c r="C2472" t="inlineStr">
        <is>
          <t>Cầu chì nhiệt nóng chảy 70°C (Elsie/USA)</t>
        </is>
      </c>
      <c r="D2472" t="inlineStr">
        <is>
          <t>PHỤ_KIỆN_VAN</t>
        </is>
      </c>
      <c r="E2472" t="inlineStr">
        <is>
          <t>MAT-DAMPER-CAU-CHI-USA-1-400X400</t>
        </is>
      </c>
      <c r="F2472" t="inlineStr">
        <is>
          <t>Cái</t>
        </is>
      </c>
      <c r="G2472" s="4" t="n">
        <v>1</v>
      </c>
      <c r="H2472" s="2">
        <f>XLOOKUP(B2472, '00_TONG_HOP_BAO_GIA'!B:B, '00_TONG_HOP_BAO_GIA'!G:G, 1)</f>
        <v/>
      </c>
      <c r="I2472" s="5">
        <f>G2472*H2472</f>
        <v/>
      </c>
      <c r="J2472" s="2">
        <f>XLOOKUP(E2472, '06_BANG_GIA_VAT_TU_AP_DUNG'!B:B, '06_BANG_GIA_VAT_TU_AP_DUNG'!C:C, "LỖI_MÃ_VT")</f>
        <v/>
      </c>
      <c r="K2472" s="2">
        <f>I2472*J2472</f>
        <v/>
      </c>
      <c r="L2472" t="inlineStr">
        <is>
          <t>Cầu chì kiểm định PCCC</t>
        </is>
      </c>
    </row>
    <row r="2473">
      <c r="A2473" t="inlineStr">
        <is>
          <t>SW-DAMPER-598-BODY</t>
        </is>
      </c>
      <c r="B2473" t="inlineStr">
        <is>
          <t>SW-DAMPER-598</t>
        </is>
      </c>
      <c r="C2473" t="inlineStr">
        <is>
          <t>Thân vỏ van FD bích TDF (0.75mm)</t>
        </is>
      </c>
      <c r="D2473" t="inlineStr">
        <is>
          <t>TÔN_CUỘN_MẠ_KẼM</t>
        </is>
      </c>
      <c r="E2473" t="inlineStr">
        <is>
          <t>MAT-STEEL-PN-0.75</t>
        </is>
      </c>
      <c r="F2473" t="inlineStr">
        <is>
          <t>kg</t>
        </is>
      </c>
      <c r="G2473" s="4" t="n">
        <v>1.266048</v>
      </c>
      <c r="H2473" s="2">
        <f>XLOOKUP(B2473, '00_TONG_HOP_BAO_GIA'!B:B, '00_TONG_HOP_BAO_GIA'!G:G, 1)</f>
        <v/>
      </c>
      <c r="I2473" s="5">
        <f>G2473*H2473</f>
        <v/>
      </c>
      <c r="J2473" s="2">
        <f>XLOOKUP(E2473, '06_BANG_GIA_VAT_TU_AP_DUNG'!B:B, '06_BANG_GIA_VAT_TU_AP_DUNG'!C:C, "LỖI_MÃ_VT")</f>
        <v/>
      </c>
      <c r="K2473" s="2">
        <f>I2473*J2473</f>
        <v/>
      </c>
      <c r="L2473" t="inlineStr">
        <is>
          <t>Kích thước vỏ 150.0x150.0x250mm</t>
        </is>
      </c>
    </row>
    <row r="2474">
      <c r="A2474" t="inlineStr">
        <is>
          <t>SW-DAMPER-598-BLADE</t>
        </is>
      </c>
      <c r="B2474" t="inlineStr">
        <is>
          <t>SW-DAMPER-598</t>
        </is>
      </c>
      <c r="C2474" t="inlineStr">
        <is>
          <t>Lá cánh van (1 cánh overlap)</t>
        </is>
      </c>
      <c r="D2474" t="inlineStr">
        <is>
          <t>TÔN_CUỘN_MẠ_KẼM</t>
        </is>
      </c>
      <c r="E2474" t="inlineStr">
        <is>
          <t>MAT-STEEL-PN-0.75</t>
        </is>
      </c>
      <c r="F2474" t="inlineStr">
        <is>
          <t>kg</t>
        </is>
      </c>
      <c r="G2474" s="4" t="n">
        <v>0.16214175</v>
      </c>
      <c r="H2474" s="2">
        <f>XLOOKUP(B2474, '00_TONG_HOP_BAO_GIA'!B:B, '00_TONG_HOP_BAO_GIA'!G:G, 1)</f>
        <v/>
      </c>
      <c r="I2474" s="5">
        <f>G2474*H2474</f>
        <v/>
      </c>
      <c r="J2474" s="2">
        <f>XLOOKUP(E2474, '06_BANG_GIA_VAT_TU_AP_DUNG'!B:B, '06_BANG_GIA_VAT_TU_AP_DUNG'!C:C, "LỖI_MÃ_VT")</f>
        <v/>
      </c>
      <c r="K2474" s="2">
        <f>I2474*J2474</f>
        <v/>
      </c>
      <c r="L2474" t="inlineStr">
        <is>
          <t>1 cánh cao 170mm</t>
        </is>
      </c>
    </row>
    <row r="2475">
      <c r="A2475" t="inlineStr">
        <is>
          <t>SW-DAMPER-598-AXLE</t>
        </is>
      </c>
      <c r="B2475" t="inlineStr">
        <is>
          <t>SW-DAMPER-598</t>
        </is>
      </c>
      <c r="C2475" t="inlineStr">
        <is>
          <t>Trục Sus 201 D10</t>
        </is>
      </c>
      <c r="D2475" t="inlineStr">
        <is>
          <t>PHỤ_KIỆN_VAN</t>
        </is>
      </c>
      <c r="E2475" t="inlineStr">
        <is>
          <t>MAT-DAMPER-TRUC-SUS-201-D10</t>
        </is>
      </c>
      <c r="F2475" t="inlineStr">
        <is>
          <t>m</t>
        </is>
      </c>
      <c r="G2475" s="4" t="n">
        <v>0.21</v>
      </c>
      <c r="H2475" s="2">
        <f>XLOOKUP(B2475, '00_TONG_HOP_BAO_GIA'!B:B, '00_TONG_HOP_BAO_GIA'!G:G, 1)</f>
        <v/>
      </c>
      <c r="I2475" s="5">
        <f>G2475*H2475</f>
        <v/>
      </c>
      <c r="J2475" s="2">
        <f>XLOOKUP(E2475, '06_BANG_GIA_VAT_TU_AP_DUNG'!B:B, '06_BANG_GIA_VAT_TU_AP_DUNG'!C:C, "LỖI_MÃ_VT")</f>
        <v/>
      </c>
      <c r="K2475" s="2">
        <f>I2475*J2475</f>
        <v/>
      </c>
      <c r="L2475" t="inlineStr">
        <is>
          <t>1 trục dài 210mm</t>
        </is>
      </c>
    </row>
    <row r="2476">
      <c r="A2476" t="inlineStr">
        <is>
          <t>SW-DAMPER-598-BEARING</t>
        </is>
      </c>
      <c r="B2476" t="inlineStr">
        <is>
          <t>SW-DAMPER-598</t>
        </is>
      </c>
      <c r="C2476" t="inlineStr">
        <is>
          <t>Bạc đồng D10</t>
        </is>
      </c>
      <c r="D2476" t="inlineStr">
        <is>
          <t>PHỤ_KIỆN_VAN</t>
        </is>
      </c>
      <c r="E2476" t="inlineStr">
        <is>
          <t>MAT-DAMPER-BAC-DONG-D10</t>
        </is>
      </c>
      <c r="F2476" t="inlineStr">
        <is>
          <t>Đôi</t>
        </is>
      </c>
      <c r="G2476" s="4" t="n">
        <v>1</v>
      </c>
      <c r="H2476" s="2">
        <f>XLOOKUP(B2476, '00_TONG_HOP_BAO_GIA'!B:B, '00_TONG_HOP_BAO_GIA'!G:G, 1)</f>
        <v/>
      </c>
      <c r="I2476" s="5">
        <f>G2476*H2476</f>
        <v/>
      </c>
      <c r="J2476" s="2">
        <f>XLOOKUP(E2476, '06_BANG_GIA_VAT_TU_AP_DUNG'!B:B, '06_BANG_GIA_VAT_TU_AP_DUNG'!C:C, "LỖI_MÃ_VT")</f>
        <v/>
      </c>
      <c r="K2476" s="2">
        <f>I2476*J2476</f>
        <v/>
      </c>
      <c r="L2476" t="inlineStr">
        <is>
          <t>1 đôi bạc đỡ 2 bên thân</t>
        </is>
      </c>
    </row>
    <row r="2477">
      <c r="A2477" t="inlineStr">
        <is>
          <t>SW-DAMPER-598-FUSE</t>
        </is>
      </c>
      <c r="B2477" t="inlineStr">
        <is>
          <t>SW-DAMPER-598</t>
        </is>
      </c>
      <c r="C2477" t="inlineStr">
        <is>
          <t>Cầu chì nhiệt nóng chảy 70°C (Elsie/USA)</t>
        </is>
      </c>
      <c r="D2477" t="inlineStr">
        <is>
          <t>PHỤ_KIỆN_VAN</t>
        </is>
      </c>
      <c r="E2477" t="inlineStr">
        <is>
          <t>MAT-DAMPER-CAU-CHI-USA-1-400X400</t>
        </is>
      </c>
      <c r="F2477" t="inlineStr">
        <is>
          <t>Cái</t>
        </is>
      </c>
      <c r="G2477" s="4" t="n">
        <v>1</v>
      </c>
      <c r="H2477" s="2">
        <f>XLOOKUP(B2477, '00_TONG_HOP_BAO_GIA'!B:B, '00_TONG_HOP_BAO_GIA'!G:G, 1)</f>
        <v/>
      </c>
      <c r="I2477" s="5">
        <f>G2477*H2477</f>
        <v/>
      </c>
      <c r="J2477" s="2">
        <f>XLOOKUP(E2477, '06_BANG_GIA_VAT_TU_AP_DUNG'!B:B, '06_BANG_GIA_VAT_TU_AP_DUNG'!C:C, "LỖI_MÃ_VT")</f>
        <v/>
      </c>
      <c r="K2477" s="2">
        <f>I2477*J2477</f>
        <v/>
      </c>
      <c r="L2477" t="inlineStr">
        <is>
          <t>Cầu chì kiểm định PCCC</t>
        </is>
      </c>
    </row>
    <row r="2478">
      <c r="A2478" t="inlineStr">
        <is>
          <t>SW-DAMPER-599-BODY</t>
        </is>
      </c>
      <c r="B2478" t="inlineStr">
        <is>
          <t>SW-DAMPER-599</t>
        </is>
      </c>
      <c r="C2478" t="inlineStr">
        <is>
          <t>Thân vỏ van VCD bích TDF (0.75mm)</t>
        </is>
      </c>
      <c r="D2478" t="inlineStr">
        <is>
          <t>TÔN_CUỘN_MẠ_KẼM</t>
        </is>
      </c>
      <c r="E2478" t="inlineStr">
        <is>
          <t>MAT-STEEL-PN-0.75</t>
        </is>
      </c>
      <c r="F2478" t="inlineStr">
        <is>
          <t>kg</t>
        </is>
      </c>
      <c r="G2478" s="4" t="n">
        <v>2.146347</v>
      </c>
      <c r="H2478" s="2">
        <f>XLOOKUP(B2478, '00_TONG_HOP_BAO_GIA'!B:B, '00_TONG_HOP_BAO_GIA'!G:G, 1)</f>
        <v/>
      </c>
      <c r="I2478" s="5">
        <f>G2478*H2478</f>
        <v/>
      </c>
      <c r="J2478" s="2">
        <f>XLOOKUP(E2478, '06_BANG_GIA_VAT_TU_AP_DUNG'!B:B, '06_BANG_GIA_VAT_TU_AP_DUNG'!C:C, "LỖI_MÃ_VT")</f>
        <v/>
      </c>
      <c r="K2478" s="2">
        <f>I2478*J2478</f>
        <v/>
      </c>
      <c r="L2478" t="inlineStr">
        <is>
          <t>Kích thước vỏ 300x300x210mm</t>
        </is>
      </c>
    </row>
    <row r="2479">
      <c r="A2479" t="inlineStr">
        <is>
          <t>SW-DAMPER-599-BLADE</t>
        </is>
      </c>
      <c r="B2479" t="inlineStr">
        <is>
          <t>SW-DAMPER-599</t>
        </is>
      </c>
      <c r="C2479" t="inlineStr">
        <is>
          <t>Lá cánh van (2 cánh overlap)</t>
        </is>
      </c>
      <c r="D2479" t="inlineStr">
        <is>
          <t>TÔN_CUỘN_MẠ_KẼM</t>
        </is>
      </c>
      <c r="E2479" t="inlineStr">
        <is>
          <t>MAT-STEEL-PN-0.75</t>
        </is>
      </c>
      <c r="F2479" t="inlineStr">
        <is>
          <t>kg</t>
        </is>
      </c>
      <c r="G2479" s="4" t="n">
        <v>0.648567</v>
      </c>
      <c r="H2479" s="2">
        <f>XLOOKUP(B2479, '00_TONG_HOP_BAO_GIA'!B:B, '00_TONG_HOP_BAO_GIA'!G:G, 1)</f>
        <v/>
      </c>
      <c r="I2479" s="5">
        <f>G2479*H2479</f>
        <v/>
      </c>
      <c r="J2479" s="2">
        <f>XLOOKUP(E2479, '06_BANG_GIA_VAT_TU_AP_DUNG'!B:B, '06_BANG_GIA_VAT_TU_AP_DUNG'!C:C, "LỖI_MÃ_VT")</f>
        <v/>
      </c>
      <c r="K2479" s="2">
        <f>I2479*J2479</f>
        <v/>
      </c>
      <c r="L2479" t="inlineStr">
        <is>
          <t>2 cánh cao 170mm</t>
        </is>
      </c>
    </row>
    <row r="2480">
      <c r="A2480" t="inlineStr">
        <is>
          <t>SW-DAMPER-599-AXLE</t>
        </is>
      </c>
      <c r="B2480" t="inlineStr">
        <is>
          <t>SW-DAMPER-599</t>
        </is>
      </c>
      <c r="C2480" t="inlineStr">
        <is>
          <t>Trục Sus 201 D10</t>
        </is>
      </c>
      <c r="D2480" t="inlineStr">
        <is>
          <t>PHỤ_KIỆN_VAN</t>
        </is>
      </c>
      <c r="E2480" t="inlineStr">
        <is>
          <t>MAT-DAMPER-TRUC-SUS-201-D10</t>
        </is>
      </c>
      <c r="F2480" t="inlineStr">
        <is>
          <t>m</t>
        </is>
      </c>
      <c r="G2480" s="4" t="n">
        <v>0.72</v>
      </c>
      <c r="H2480" s="2">
        <f>XLOOKUP(B2480, '00_TONG_HOP_BAO_GIA'!B:B, '00_TONG_HOP_BAO_GIA'!G:G, 1)</f>
        <v/>
      </c>
      <c r="I2480" s="5">
        <f>G2480*H2480</f>
        <v/>
      </c>
      <c r="J2480" s="2">
        <f>XLOOKUP(E2480, '06_BANG_GIA_VAT_TU_AP_DUNG'!B:B, '06_BANG_GIA_VAT_TU_AP_DUNG'!C:C, "LỖI_MÃ_VT")</f>
        <v/>
      </c>
      <c r="K2480" s="2">
        <f>I2480*J2480</f>
        <v/>
      </c>
      <c r="L2480" t="inlineStr">
        <is>
          <t>2 trục dài 360mm</t>
        </is>
      </c>
    </row>
    <row r="2481">
      <c r="A2481" t="inlineStr">
        <is>
          <t>SW-DAMPER-599-BEARING</t>
        </is>
      </c>
      <c r="B2481" t="inlineStr">
        <is>
          <t>SW-DAMPER-599</t>
        </is>
      </c>
      <c r="C2481" t="inlineStr">
        <is>
          <t>Bạc đồng D10</t>
        </is>
      </c>
      <c r="D2481" t="inlineStr">
        <is>
          <t>PHỤ_KIỆN_VAN</t>
        </is>
      </c>
      <c r="E2481" t="inlineStr">
        <is>
          <t>MAT-DAMPER-BAC-DONG-D10</t>
        </is>
      </c>
      <c r="F2481" t="inlineStr">
        <is>
          <t>Đôi</t>
        </is>
      </c>
      <c r="G2481" s="4" t="n">
        <v>2</v>
      </c>
      <c r="H2481" s="2">
        <f>XLOOKUP(B2481, '00_TONG_HOP_BAO_GIA'!B:B, '00_TONG_HOP_BAO_GIA'!G:G, 1)</f>
        <v/>
      </c>
      <c r="I2481" s="5">
        <f>G2481*H2481</f>
        <v/>
      </c>
      <c r="J2481" s="2">
        <f>XLOOKUP(E2481, '06_BANG_GIA_VAT_TU_AP_DUNG'!B:B, '06_BANG_GIA_VAT_TU_AP_DUNG'!C:C, "LỖI_MÃ_VT")</f>
        <v/>
      </c>
      <c r="K2481" s="2">
        <f>I2481*J2481</f>
        <v/>
      </c>
      <c r="L2481" t="inlineStr">
        <is>
          <t>2 đôi bạc đỡ 2 bên thân</t>
        </is>
      </c>
    </row>
    <row r="2482">
      <c r="A2482" t="inlineStr">
        <is>
          <t>SW-DAMPER-599-GEAR</t>
        </is>
      </c>
      <c r="B2482" t="inlineStr">
        <is>
          <t>SW-DAMPER-599</t>
        </is>
      </c>
      <c r="C2482" t="inlineStr">
        <is>
          <t>Bánh răng van nhôm</t>
        </is>
      </c>
      <c r="D2482" t="inlineStr">
        <is>
          <t>PHỤ_KIỆN_VAN</t>
        </is>
      </c>
      <c r="E2482" t="inlineStr">
        <is>
          <t>MAT-DAMPER-BANH-RANG-VAN-NHOM</t>
        </is>
      </c>
      <c r="F2482" t="inlineStr">
        <is>
          <t>Bộ</t>
        </is>
      </c>
      <c r="G2482" s="4" t="n">
        <v>1</v>
      </c>
      <c r="H2482" s="2">
        <f>XLOOKUP(B2482, '00_TONG_HOP_BAO_GIA'!B:B, '00_TONG_HOP_BAO_GIA'!G:G, 1)</f>
        <v/>
      </c>
      <c r="I2482" s="5">
        <f>G2482*H2482</f>
        <v/>
      </c>
      <c r="J2482" s="2">
        <f>XLOOKUP(E2482, '06_BANG_GIA_VAT_TU_AP_DUNG'!B:B, '06_BANG_GIA_VAT_TU_AP_DUNG'!C:C, "LỖI_MÃ_VT")</f>
        <v/>
      </c>
      <c r="K2482" s="2">
        <f>I2482*J2482</f>
        <v/>
      </c>
      <c r="L2482" t="inlineStr">
        <is>
          <t>Cơ cấu liên động bánh răng van</t>
        </is>
      </c>
    </row>
    <row r="2483">
      <c r="A2483" t="inlineStr">
        <is>
          <t>SW-DAMPER-599-HANDLE</t>
        </is>
      </c>
      <c r="B2483" t="inlineStr">
        <is>
          <t>SW-DAMPER-599</t>
        </is>
      </c>
      <c r="C2483" t="inlineStr">
        <is>
          <t>Tay gạt nhỏ</t>
        </is>
      </c>
      <c r="D2483" t="inlineStr">
        <is>
          <t>PHỤ_KIỆN_VAN</t>
        </is>
      </c>
      <c r="E2483" t="inlineStr">
        <is>
          <t>MAT-DAMPER-TAY-GAT-NHO</t>
        </is>
      </c>
      <c r="F2483" t="inlineStr">
        <is>
          <t>Bộ</t>
        </is>
      </c>
      <c r="G2483" s="4" t="n">
        <v>1</v>
      </c>
      <c r="H2483" s="2">
        <f>XLOOKUP(B2483, '00_TONG_HOP_BAO_GIA'!B:B, '00_TONG_HOP_BAO_GIA'!G:G, 1)</f>
        <v/>
      </c>
      <c r="I2483" s="5">
        <f>G2483*H2483</f>
        <v/>
      </c>
      <c r="J2483" s="2">
        <f>XLOOKUP(E2483, '06_BANG_GIA_VAT_TU_AP_DUNG'!B:B, '06_BANG_GIA_VAT_TU_AP_DUNG'!C:C, "LỖI_MÃ_VT")</f>
        <v/>
      </c>
      <c r="K2483" s="2">
        <f>I2483*J2483</f>
        <v/>
      </c>
      <c r="L2483" t="inlineStr">
        <is>
          <t>Tay gạt khóa vị trí nan (S=0.09m2)</t>
        </is>
      </c>
    </row>
    <row r="2484">
      <c r="A2484" t="inlineStr">
        <is>
          <t>SW-DAMPER-600-BODY</t>
        </is>
      </c>
      <c r="B2484" t="inlineStr">
        <is>
          <t>SW-DAMPER-600</t>
        </is>
      </c>
      <c r="C2484" t="inlineStr">
        <is>
          <t>Thân vỏ van VCD bích TDF (0.75mm)</t>
        </is>
      </c>
      <c r="D2484" t="inlineStr">
        <is>
          <t>TÔN_CUỘN_MẠ_KẼM</t>
        </is>
      </c>
      <c r="E2484" t="inlineStr">
        <is>
          <t>MAT-STEEL-PN-0.75</t>
        </is>
      </c>
      <c r="F2484" t="inlineStr">
        <is>
          <t>kg</t>
        </is>
      </c>
      <c r="G2484" s="4" t="n">
        <v>0.9346995000000001</v>
      </c>
      <c r="H2484" s="2">
        <f>XLOOKUP(B2484, '00_TONG_HOP_BAO_GIA'!B:B, '00_TONG_HOP_BAO_GIA'!G:G, 1)</f>
        <v/>
      </c>
      <c r="I2484" s="5">
        <f>G2484*H2484</f>
        <v/>
      </c>
      <c r="J2484" s="2">
        <f>XLOOKUP(E2484, '06_BANG_GIA_VAT_TU_AP_DUNG'!B:B, '06_BANG_GIA_VAT_TU_AP_DUNG'!C:C, "LỖI_MÃ_VT")</f>
        <v/>
      </c>
      <c r="K2484" s="2">
        <f>I2484*J2484</f>
        <v/>
      </c>
      <c r="L2484" t="inlineStr">
        <is>
          <t>Kích thước vỏ 150.0x100.0x210mm</t>
        </is>
      </c>
    </row>
    <row r="2485">
      <c r="A2485" t="inlineStr">
        <is>
          <t>SW-DAMPER-600-BLADE</t>
        </is>
      </c>
      <c r="B2485" t="inlineStr">
        <is>
          <t>SW-DAMPER-600</t>
        </is>
      </c>
      <c r="C2485" t="inlineStr">
        <is>
          <t>Lá cánh van (1 cánh overlap)</t>
        </is>
      </c>
      <c r="D2485" t="inlineStr">
        <is>
          <t>TÔN_CUỘN_MẠ_KẼM</t>
        </is>
      </c>
      <c r="E2485" t="inlineStr">
        <is>
          <t>MAT-STEEL-PN-0.75</t>
        </is>
      </c>
      <c r="F2485" t="inlineStr">
        <is>
          <t>kg</t>
        </is>
      </c>
      <c r="G2485" s="4" t="n">
        <v>0.114453</v>
      </c>
      <c r="H2485" s="2">
        <f>XLOOKUP(B2485, '00_TONG_HOP_BAO_GIA'!B:B, '00_TONG_HOP_BAO_GIA'!G:G, 1)</f>
        <v/>
      </c>
      <c r="I2485" s="5">
        <f>G2485*H2485</f>
        <v/>
      </c>
      <c r="J2485" s="2">
        <f>XLOOKUP(E2485, '06_BANG_GIA_VAT_TU_AP_DUNG'!B:B, '06_BANG_GIA_VAT_TU_AP_DUNG'!C:C, "LỖI_MÃ_VT")</f>
        <v/>
      </c>
      <c r="K2485" s="2">
        <f>I2485*J2485</f>
        <v/>
      </c>
      <c r="L2485" t="inlineStr">
        <is>
          <t>1 cánh cao 120mm</t>
        </is>
      </c>
    </row>
    <row r="2486">
      <c r="A2486" t="inlineStr">
        <is>
          <t>SW-DAMPER-600-AXLE</t>
        </is>
      </c>
      <c r="B2486" t="inlineStr">
        <is>
          <t>SW-DAMPER-600</t>
        </is>
      </c>
      <c r="C2486" t="inlineStr">
        <is>
          <t>Trục Sus 201 D10</t>
        </is>
      </c>
      <c r="D2486" t="inlineStr">
        <is>
          <t>PHỤ_KIỆN_VAN</t>
        </is>
      </c>
      <c r="E2486" t="inlineStr">
        <is>
          <t>MAT-DAMPER-TRUC-SUS-201-D10</t>
        </is>
      </c>
      <c r="F2486" t="inlineStr">
        <is>
          <t>m</t>
        </is>
      </c>
      <c r="G2486" s="4" t="n">
        <v>0.21</v>
      </c>
      <c r="H2486" s="2">
        <f>XLOOKUP(B2486, '00_TONG_HOP_BAO_GIA'!B:B, '00_TONG_HOP_BAO_GIA'!G:G, 1)</f>
        <v/>
      </c>
      <c r="I2486" s="5">
        <f>G2486*H2486</f>
        <v/>
      </c>
      <c r="J2486" s="2">
        <f>XLOOKUP(E2486, '06_BANG_GIA_VAT_TU_AP_DUNG'!B:B, '06_BANG_GIA_VAT_TU_AP_DUNG'!C:C, "LỖI_MÃ_VT")</f>
        <v/>
      </c>
      <c r="K2486" s="2">
        <f>I2486*J2486</f>
        <v/>
      </c>
      <c r="L2486" t="inlineStr">
        <is>
          <t>1 trục dài 210mm</t>
        </is>
      </c>
    </row>
    <row r="2487">
      <c r="A2487" t="inlineStr">
        <is>
          <t>SW-DAMPER-600-BEARING</t>
        </is>
      </c>
      <c r="B2487" t="inlineStr">
        <is>
          <t>SW-DAMPER-600</t>
        </is>
      </c>
      <c r="C2487" t="inlineStr">
        <is>
          <t>Bạc đồng D10</t>
        </is>
      </c>
      <c r="D2487" t="inlineStr">
        <is>
          <t>PHỤ_KIỆN_VAN</t>
        </is>
      </c>
      <c r="E2487" t="inlineStr">
        <is>
          <t>MAT-DAMPER-BAC-DONG-D10</t>
        </is>
      </c>
      <c r="F2487" t="inlineStr">
        <is>
          <t>Đôi</t>
        </is>
      </c>
      <c r="G2487" s="4" t="n">
        <v>1</v>
      </c>
      <c r="H2487" s="2">
        <f>XLOOKUP(B2487, '00_TONG_HOP_BAO_GIA'!B:B, '00_TONG_HOP_BAO_GIA'!G:G, 1)</f>
        <v/>
      </c>
      <c r="I2487" s="5">
        <f>G2487*H2487</f>
        <v/>
      </c>
      <c r="J2487" s="2">
        <f>XLOOKUP(E2487, '06_BANG_GIA_VAT_TU_AP_DUNG'!B:B, '06_BANG_GIA_VAT_TU_AP_DUNG'!C:C, "LỖI_MÃ_VT")</f>
        <v/>
      </c>
      <c r="K2487" s="2">
        <f>I2487*J2487</f>
        <v/>
      </c>
      <c r="L2487" t="inlineStr">
        <is>
          <t>1 đôi bạc đỡ 2 bên thân</t>
        </is>
      </c>
    </row>
    <row r="2488">
      <c r="A2488" t="inlineStr">
        <is>
          <t>SW-DAMPER-600-HANDLE</t>
        </is>
      </c>
      <c r="B2488" t="inlineStr">
        <is>
          <t>SW-DAMPER-600</t>
        </is>
      </c>
      <c r="C2488" t="inlineStr">
        <is>
          <t>Tay gạt nhỏ</t>
        </is>
      </c>
      <c r="D2488" t="inlineStr">
        <is>
          <t>PHỤ_KIỆN_VAN</t>
        </is>
      </c>
      <c r="E2488" t="inlineStr">
        <is>
          <t>MAT-DAMPER-TAY-GAT-NHO</t>
        </is>
      </c>
      <c r="F2488" t="inlineStr">
        <is>
          <t>Bộ</t>
        </is>
      </c>
      <c r="G2488" s="4" t="n">
        <v>1</v>
      </c>
      <c r="H2488" s="2">
        <f>XLOOKUP(B2488, '00_TONG_HOP_BAO_GIA'!B:B, '00_TONG_HOP_BAO_GIA'!G:G, 1)</f>
        <v/>
      </c>
      <c r="I2488" s="5">
        <f>G2488*H2488</f>
        <v/>
      </c>
      <c r="J2488" s="2">
        <f>XLOOKUP(E2488, '06_BANG_GIA_VAT_TU_AP_DUNG'!B:B, '06_BANG_GIA_VAT_TU_AP_DUNG'!C:C, "LỖI_MÃ_VT")</f>
        <v/>
      </c>
      <c r="K2488" s="2">
        <f>I2488*J2488</f>
        <v/>
      </c>
      <c r="L2488" t="inlineStr">
        <is>
          <t>Tay gạt khóa vị trí nan (S=0.01m2)</t>
        </is>
      </c>
    </row>
    <row r="2489">
      <c r="A2489" t="inlineStr">
        <is>
          <t>SW-DAMPER-601-BODY</t>
        </is>
      </c>
      <c r="B2489" t="inlineStr">
        <is>
          <t>SW-DAMPER-601</t>
        </is>
      </c>
      <c r="C2489" t="inlineStr">
        <is>
          <t>Thân vỏ van VCD bích TDF (0.75mm)</t>
        </is>
      </c>
      <c r="D2489" t="inlineStr">
        <is>
          <t>TÔN_CUỘN_MẠ_KẼM</t>
        </is>
      </c>
      <c r="E2489" t="inlineStr">
        <is>
          <t>MAT-STEEL-PN-0.75</t>
        </is>
      </c>
      <c r="F2489" t="inlineStr">
        <is>
          <t>kg</t>
        </is>
      </c>
      <c r="G2489" s="4" t="n">
        <v>1.107792</v>
      </c>
      <c r="H2489" s="2">
        <f>XLOOKUP(B2489, '00_TONG_HOP_BAO_GIA'!B:B, '00_TONG_HOP_BAO_GIA'!G:G, 1)</f>
        <v/>
      </c>
      <c r="I2489" s="5">
        <f>G2489*H2489</f>
        <v/>
      </c>
      <c r="J2489" s="2">
        <f>XLOOKUP(E2489, '06_BANG_GIA_VAT_TU_AP_DUNG'!B:B, '06_BANG_GIA_VAT_TU_AP_DUNG'!C:C, "LỖI_MÃ_VT")</f>
        <v/>
      </c>
      <c r="K2489" s="2">
        <f>I2489*J2489</f>
        <v/>
      </c>
      <c r="L2489" t="inlineStr">
        <is>
          <t>Kích thước vỏ 150.0x150.0x210mm</t>
        </is>
      </c>
    </row>
    <row r="2490">
      <c r="A2490" t="inlineStr">
        <is>
          <t>SW-DAMPER-601-BLADE</t>
        </is>
      </c>
      <c r="B2490" t="inlineStr">
        <is>
          <t>SW-DAMPER-601</t>
        </is>
      </c>
      <c r="C2490" t="inlineStr">
        <is>
          <t>Lá cánh van (1 cánh overlap)</t>
        </is>
      </c>
      <c r="D2490" t="inlineStr">
        <is>
          <t>TÔN_CUỘN_MẠ_KẼM</t>
        </is>
      </c>
      <c r="E2490" t="inlineStr">
        <is>
          <t>MAT-STEEL-PN-0.75</t>
        </is>
      </c>
      <c r="F2490" t="inlineStr">
        <is>
          <t>kg</t>
        </is>
      </c>
      <c r="G2490" s="4" t="n">
        <v>0.16214175</v>
      </c>
      <c r="H2490" s="2">
        <f>XLOOKUP(B2490, '00_TONG_HOP_BAO_GIA'!B:B, '00_TONG_HOP_BAO_GIA'!G:G, 1)</f>
        <v/>
      </c>
      <c r="I2490" s="5">
        <f>G2490*H2490</f>
        <v/>
      </c>
      <c r="J2490" s="2">
        <f>XLOOKUP(E2490, '06_BANG_GIA_VAT_TU_AP_DUNG'!B:B, '06_BANG_GIA_VAT_TU_AP_DUNG'!C:C, "LỖI_MÃ_VT")</f>
        <v/>
      </c>
      <c r="K2490" s="2">
        <f>I2490*J2490</f>
        <v/>
      </c>
      <c r="L2490" t="inlineStr">
        <is>
          <t>1 cánh cao 170mm</t>
        </is>
      </c>
    </row>
    <row r="2491">
      <c r="A2491" t="inlineStr">
        <is>
          <t>SW-DAMPER-601-AXLE</t>
        </is>
      </c>
      <c r="B2491" t="inlineStr">
        <is>
          <t>SW-DAMPER-601</t>
        </is>
      </c>
      <c r="C2491" t="inlineStr">
        <is>
          <t>Trục Sus 201 D10</t>
        </is>
      </c>
      <c r="D2491" t="inlineStr">
        <is>
          <t>PHỤ_KIỆN_VAN</t>
        </is>
      </c>
      <c r="E2491" t="inlineStr">
        <is>
          <t>MAT-DAMPER-TRUC-SUS-201-D10</t>
        </is>
      </c>
      <c r="F2491" t="inlineStr">
        <is>
          <t>m</t>
        </is>
      </c>
      <c r="G2491" s="4" t="n">
        <v>0.21</v>
      </c>
      <c r="H2491" s="2">
        <f>XLOOKUP(B2491, '00_TONG_HOP_BAO_GIA'!B:B, '00_TONG_HOP_BAO_GIA'!G:G, 1)</f>
        <v/>
      </c>
      <c r="I2491" s="5">
        <f>G2491*H2491</f>
        <v/>
      </c>
      <c r="J2491" s="2">
        <f>XLOOKUP(E2491, '06_BANG_GIA_VAT_TU_AP_DUNG'!B:B, '06_BANG_GIA_VAT_TU_AP_DUNG'!C:C, "LỖI_MÃ_VT")</f>
        <v/>
      </c>
      <c r="K2491" s="2">
        <f>I2491*J2491</f>
        <v/>
      </c>
      <c r="L2491" t="inlineStr">
        <is>
          <t>1 trục dài 210mm</t>
        </is>
      </c>
    </row>
    <row r="2492">
      <c r="A2492" t="inlineStr">
        <is>
          <t>SW-DAMPER-601-BEARING</t>
        </is>
      </c>
      <c r="B2492" t="inlineStr">
        <is>
          <t>SW-DAMPER-601</t>
        </is>
      </c>
      <c r="C2492" t="inlineStr">
        <is>
          <t>Bạc đồng D10</t>
        </is>
      </c>
      <c r="D2492" t="inlineStr">
        <is>
          <t>PHỤ_KIỆN_VAN</t>
        </is>
      </c>
      <c r="E2492" t="inlineStr">
        <is>
          <t>MAT-DAMPER-BAC-DONG-D10</t>
        </is>
      </c>
      <c r="F2492" t="inlineStr">
        <is>
          <t>Đôi</t>
        </is>
      </c>
      <c r="G2492" s="4" t="n">
        <v>1</v>
      </c>
      <c r="H2492" s="2">
        <f>XLOOKUP(B2492, '00_TONG_HOP_BAO_GIA'!B:B, '00_TONG_HOP_BAO_GIA'!G:G, 1)</f>
        <v/>
      </c>
      <c r="I2492" s="5">
        <f>G2492*H2492</f>
        <v/>
      </c>
      <c r="J2492" s="2">
        <f>XLOOKUP(E2492, '06_BANG_GIA_VAT_TU_AP_DUNG'!B:B, '06_BANG_GIA_VAT_TU_AP_DUNG'!C:C, "LỖI_MÃ_VT")</f>
        <v/>
      </c>
      <c r="K2492" s="2">
        <f>I2492*J2492</f>
        <v/>
      </c>
      <c r="L2492" t="inlineStr">
        <is>
          <t>1 đôi bạc đỡ 2 bên thân</t>
        </is>
      </c>
    </row>
    <row r="2493">
      <c r="A2493" t="inlineStr">
        <is>
          <t>SW-DAMPER-601-HANDLE</t>
        </is>
      </c>
      <c r="B2493" t="inlineStr">
        <is>
          <t>SW-DAMPER-601</t>
        </is>
      </c>
      <c r="C2493" t="inlineStr">
        <is>
          <t>Tay gạt nhỏ</t>
        </is>
      </c>
      <c r="D2493" t="inlineStr">
        <is>
          <t>PHỤ_KIỆN_VAN</t>
        </is>
      </c>
      <c r="E2493" t="inlineStr">
        <is>
          <t>MAT-DAMPER-TAY-GAT-NHO</t>
        </is>
      </c>
      <c r="F2493" t="inlineStr">
        <is>
          <t>Bộ</t>
        </is>
      </c>
      <c r="G2493" s="4" t="n">
        <v>1</v>
      </c>
      <c r="H2493" s="2">
        <f>XLOOKUP(B2493, '00_TONG_HOP_BAO_GIA'!B:B, '00_TONG_HOP_BAO_GIA'!G:G, 1)</f>
        <v/>
      </c>
      <c r="I2493" s="5">
        <f>G2493*H2493</f>
        <v/>
      </c>
      <c r="J2493" s="2">
        <f>XLOOKUP(E2493, '06_BANG_GIA_VAT_TU_AP_DUNG'!B:B, '06_BANG_GIA_VAT_TU_AP_DUNG'!C:C, "LỖI_MÃ_VT")</f>
        <v/>
      </c>
      <c r="K2493" s="2">
        <f>I2493*J2493</f>
        <v/>
      </c>
      <c r="L2493" t="inlineStr">
        <is>
          <t>Tay gạt khóa vị trí nan (S=0.02m2)</t>
        </is>
      </c>
    </row>
    <row r="2494">
      <c r="A2494" t="inlineStr">
        <is>
          <t>SW-DAMPER-602-BODY</t>
        </is>
      </c>
      <c r="B2494" t="inlineStr">
        <is>
          <t>SW-DAMPER-602</t>
        </is>
      </c>
      <c r="C2494" t="inlineStr">
        <is>
          <t>Thân vỏ van MD bích TDF (0.75mm)</t>
        </is>
      </c>
      <c r="D2494" t="inlineStr">
        <is>
          <t>TÔN_CUỘN_MẠ_KẼM</t>
        </is>
      </c>
      <c r="E2494" t="inlineStr">
        <is>
          <t>MAT-STEEL-PN-0.75</t>
        </is>
      </c>
      <c r="F2494" t="inlineStr">
        <is>
          <t>kg</t>
        </is>
      </c>
      <c r="G2494" s="4" t="n">
        <v>0.9346995000000001</v>
      </c>
      <c r="H2494" s="2">
        <f>XLOOKUP(B2494, '00_TONG_HOP_BAO_GIA'!B:B, '00_TONG_HOP_BAO_GIA'!G:G, 1)</f>
        <v/>
      </c>
      <c r="I2494" s="5">
        <f>G2494*H2494</f>
        <v/>
      </c>
      <c r="J2494" s="2">
        <f>XLOOKUP(E2494, '06_BANG_GIA_VAT_TU_AP_DUNG'!B:B, '06_BANG_GIA_VAT_TU_AP_DUNG'!C:C, "LỖI_MÃ_VT")</f>
        <v/>
      </c>
      <c r="K2494" s="2">
        <f>I2494*J2494</f>
        <v/>
      </c>
      <c r="L2494" t="inlineStr">
        <is>
          <t>Kích thước vỏ 150.0x100.0x210mm</t>
        </is>
      </c>
    </row>
    <row r="2495">
      <c r="A2495" t="inlineStr">
        <is>
          <t>SW-DAMPER-602-BLADE</t>
        </is>
      </c>
      <c r="B2495" t="inlineStr">
        <is>
          <t>SW-DAMPER-602</t>
        </is>
      </c>
      <c r="C2495" t="inlineStr">
        <is>
          <t>Lá cánh van (1 cánh overlap)</t>
        </is>
      </c>
      <c r="D2495" t="inlineStr">
        <is>
          <t>TÔN_CUỘN_MẠ_KẼM</t>
        </is>
      </c>
      <c r="E2495" t="inlineStr">
        <is>
          <t>MAT-STEEL-PN-0.75</t>
        </is>
      </c>
      <c r="F2495" t="inlineStr">
        <is>
          <t>kg</t>
        </is>
      </c>
      <c r="G2495" s="4" t="n">
        <v>0.114453</v>
      </c>
      <c r="H2495" s="2">
        <f>XLOOKUP(B2495, '00_TONG_HOP_BAO_GIA'!B:B, '00_TONG_HOP_BAO_GIA'!G:G, 1)</f>
        <v/>
      </c>
      <c r="I2495" s="5">
        <f>G2495*H2495</f>
        <v/>
      </c>
      <c r="J2495" s="2">
        <f>XLOOKUP(E2495, '06_BANG_GIA_VAT_TU_AP_DUNG'!B:B, '06_BANG_GIA_VAT_TU_AP_DUNG'!C:C, "LỖI_MÃ_VT")</f>
        <v/>
      </c>
      <c r="K2495" s="2">
        <f>I2495*J2495</f>
        <v/>
      </c>
      <c r="L2495" t="inlineStr">
        <is>
          <t>1 cánh cao 120mm</t>
        </is>
      </c>
    </row>
    <row r="2496">
      <c r="A2496" t="inlineStr">
        <is>
          <t>SW-DAMPER-602-AXLE</t>
        </is>
      </c>
      <c r="B2496" t="inlineStr">
        <is>
          <t>SW-DAMPER-602</t>
        </is>
      </c>
      <c r="C2496" t="inlineStr">
        <is>
          <t>Trục Sus 201 D10</t>
        </is>
      </c>
      <c r="D2496" t="inlineStr">
        <is>
          <t>PHỤ_KIỆN_VAN</t>
        </is>
      </c>
      <c r="E2496" t="inlineStr">
        <is>
          <t>MAT-DAMPER-TRUC-SUS-201-D10</t>
        </is>
      </c>
      <c r="F2496" t="inlineStr">
        <is>
          <t>m</t>
        </is>
      </c>
      <c r="G2496" s="4" t="n">
        <v>0.21</v>
      </c>
      <c r="H2496" s="2">
        <f>XLOOKUP(B2496, '00_TONG_HOP_BAO_GIA'!B:B, '00_TONG_HOP_BAO_GIA'!G:G, 1)</f>
        <v/>
      </c>
      <c r="I2496" s="5">
        <f>G2496*H2496</f>
        <v/>
      </c>
      <c r="J2496" s="2">
        <f>XLOOKUP(E2496, '06_BANG_GIA_VAT_TU_AP_DUNG'!B:B, '06_BANG_GIA_VAT_TU_AP_DUNG'!C:C, "LỖI_MÃ_VT")</f>
        <v/>
      </c>
      <c r="K2496" s="2">
        <f>I2496*J2496</f>
        <v/>
      </c>
      <c r="L2496" t="inlineStr">
        <is>
          <t>1 trục dài 210mm</t>
        </is>
      </c>
    </row>
    <row r="2497">
      <c r="A2497" t="inlineStr">
        <is>
          <t>SW-DAMPER-602-BEARING</t>
        </is>
      </c>
      <c r="B2497" t="inlineStr">
        <is>
          <t>SW-DAMPER-602</t>
        </is>
      </c>
      <c r="C2497" t="inlineStr">
        <is>
          <t>Bạc đồng D10</t>
        </is>
      </c>
      <c r="D2497" t="inlineStr">
        <is>
          <t>PHỤ_KIỆN_VAN</t>
        </is>
      </c>
      <c r="E2497" t="inlineStr">
        <is>
          <t>MAT-DAMPER-BAC-DONG-D10</t>
        </is>
      </c>
      <c r="F2497" t="inlineStr">
        <is>
          <t>Đôi</t>
        </is>
      </c>
      <c r="G2497" s="4" t="n">
        <v>1</v>
      </c>
      <c r="H2497" s="2">
        <f>XLOOKUP(B2497, '00_TONG_HOP_BAO_GIA'!B:B, '00_TONG_HOP_BAO_GIA'!G:G, 1)</f>
        <v/>
      </c>
      <c r="I2497" s="5">
        <f>G2497*H2497</f>
        <v/>
      </c>
      <c r="J2497" s="2">
        <f>XLOOKUP(E2497, '06_BANG_GIA_VAT_TU_AP_DUNG'!B:B, '06_BANG_GIA_VAT_TU_AP_DUNG'!C:C, "LỖI_MÃ_VT")</f>
        <v/>
      </c>
      <c r="K2497" s="2">
        <f>I2497*J2497</f>
        <v/>
      </c>
      <c r="L2497" t="inlineStr">
        <is>
          <t>1 đôi bạc đỡ 2 bên thân</t>
        </is>
      </c>
    </row>
    <row r="2498">
      <c r="A2498" t="inlineStr">
        <is>
          <t>SW-DAMPER-602-ACTUATOR</t>
        </is>
      </c>
      <c r="B2498" t="inlineStr">
        <is>
          <t>SW-DAMPER-602</t>
        </is>
      </c>
      <c r="C2498" t="inlineStr">
        <is>
          <t>Model: NACA 2-05 (5Nm, 220VAC)</t>
        </is>
      </c>
      <c r="D2498" t="inlineStr">
        <is>
          <t>ĐỘNG_CƠ_VÀ_CẢM_BIẾN</t>
        </is>
      </c>
      <c r="E2498" t="inlineStr">
        <is>
          <t>MAT-ACTUATOR-NACA-2-05</t>
        </is>
      </c>
      <c r="F2498" t="inlineStr">
        <is>
          <t>Cái</t>
        </is>
      </c>
      <c r="G2498" s="4" t="n">
        <v>1</v>
      </c>
      <c r="H2498" s="2">
        <f>XLOOKUP(B2498, '00_TONG_HOP_BAO_GIA'!B:B, '00_TONG_HOP_BAO_GIA'!G:G, 1)</f>
        <v/>
      </c>
      <c r="I2498" s="5">
        <f>G2498*H2498</f>
        <v/>
      </c>
      <c r="J2498" s="2">
        <f>XLOOKUP(E2498, '06_BANG_GIA_VAT_TU_AP_DUNG'!B:B, '06_BANG_GIA_VAT_TU_AP_DUNG'!C:C, "LỖI_MÃ_VT")</f>
        <v/>
      </c>
      <c r="K2498" s="2">
        <f>I2498*J2498</f>
        <v/>
      </c>
      <c r="L2498" t="inlineStr">
        <is>
          <t>Tiết diện van 0.01m2</t>
        </is>
      </c>
    </row>
    <row r="2499">
      <c r="A2499" t="inlineStr">
        <is>
          <t>SW-DAMPER-603-BODY</t>
        </is>
      </c>
      <c r="B2499" t="inlineStr">
        <is>
          <t>SW-DAMPER-603</t>
        </is>
      </c>
      <c r="C2499" t="inlineStr">
        <is>
          <t>Thân vỏ van MD bích TDF (0.75mm)</t>
        </is>
      </c>
      <c r="D2499" t="inlineStr">
        <is>
          <t>TÔN_CUỘN_MẠ_KẼM</t>
        </is>
      </c>
      <c r="E2499" t="inlineStr">
        <is>
          <t>MAT-STEEL-PN-0.75</t>
        </is>
      </c>
      <c r="F2499" t="inlineStr">
        <is>
          <t>kg</t>
        </is>
      </c>
      <c r="G2499" s="4" t="n">
        <v>1.107792</v>
      </c>
      <c r="H2499" s="2">
        <f>XLOOKUP(B2499, '00_TONG_HOP_BAO_GIA'!B:B, '00_TONG_HOP_BAO_GIA'!G:G, 1)</f>
        <v/>
      </c>
      <c r="I2499" s="5">
        <f>G2499*H2499</f>
        <v/>
      </c>
      <c r="J2499" s="2">
        <f>XLOOKUP(E2499, '06_BANG_GIA_VAT_TU_AP_DUNG'!B:B, '06_BANG_GIA_VAT_TU_AP_DUNG'!C:C, "LỖI_MÃ_VT")</f>
        <v/>
      </c>
      <c r="K2499" s="2">
        <f>I2499*J2499</f>
        <v/>
      </c>
      <c r="L2499" t="inlineStr">
        <is>
          <t>Kích thước vỏ 150.0x150.0x210mm</t>
        </is>
      </c>
    </row>
    <row r="2500">
      <c r="A2500" t="inlineStr">
        <is>
          <t>SW-DAMPER-603-BLADE</t>
        </is>
      </c>
      <c r="B2500" t="inlineStr">
        <is>
          <t>SW-DAMPER-603</t>
        </is>
      </c>
      <c r="C2500" t="inlineStr">
        <is>
          <t>Lá cánh van (1 cánh overlap)</t>
        </is>
      </c>
      <c r="D2500" t="inlineStr">
        <is>
          <t>TÔN_CUỘN_MẠ_KẼM</t>
        </is>
      </c>
      <c r="E2500" t="inlineStr">
        <is>
          <t>MAT-STEEL-PN-0.75</t>
        </is>
      </c>
      <c r="F2500" t="inlineStr">
        <is>
          <t>kg</t>
        </is>
      </c>
      <c r="G2500" s="4" t="n">
        <v>0.16214175</v>
      </c>
      <c r="H2500" s="2">
        <f>XLOOKUP(B2500, '00_TONG_HOP_BAO_GIA'!B:B, '00_TONG_HOP_BAO_GIA'!G:G, 1)</f>
        <v/>
      </c>
      <c r="I2500" s="5">
        <f>G2500*H2500</f>
        <v/>
      </c>
      <c r="J2500" s="2">
        <f>XLOOKUP(E2500, '06_BANG_GIA_VAT_TU_AP_DUNG'!B:B, '06_BANG_GIA_VAT_TU_AP_DUNG'!C:C, "LỖI_MÃ_VT")</f>
        <v/>
      </c>
      <c r="K2500" s="2">
        <f>I2500*J2500</f>
        <v/>
      </c>
      <c r="L2500" t="inlineStr">
        <is>
          <t>1 cánh cao 170mm</t>
        </is>
      </c>
    </row>
    <row r="2501">
      <c r="A2501" t="inlineStr">
        <is>
          <t>SW-DAMPER-603-AXLE</t>
        </is>
      </c>
      <c r="B2501" t="inlineStr">
        <is>
          <t>SW-DAMPER-603</t>
        </is>
      </c>
      <c r="C2501" t="inlineStr">
        <is>
          <t>Trục Sus 201 D10</t>
        </is>
      </c>
      <c r="D2501" t="inlineStr">
        <is>
          <t>PHỤ_KIỆN_VAN</t>
        </is>
      </c>
      <c r="E2501" t="inlineStr">
        <is>
          <t>MAT-DAMPER-TRUC-SUS-201-D10</t>
        </is>
      </c>
      <c r="F2501" t="inlineStr">
        <is>
          <t>m</t>
        </is>
      </c>
      <c r="G2501" s="4" t="n">
        <v>0.21</v>
      </c>
      <c r="H2501" s="2">
        <f>XLOOKUP(B2501, '00_TONG_HOP_BAO_GIA'!B:B, '00_TONG_HOP_BAO_GIA'!G:G, 1)</f>
        <v/>
      </c>
      <c r="I2501" s="5">
        <f>G2501*H2501</f>
        <v/>
      </c>
      <c r="J2501" s="2">
        <f>XLOOKUP(E2501, '06_BANG_GIA_VAT_TU_AP_DUNG'!B:B, '06_BANG_GIA_VAT_TU_AP_DUNG'!C:C, "LỖI_MÃ_VT")</f>
        <v/>
      </c>
      <c r="K2501" s="2">
        <f>I2501*J2501</f>
        <v/>
      </c>
      <c r="L2501" t="inlineStr">
        <is>
          <t>1 trục dài 210mm</t>
        </is>
      </c>
    </row>
    <row r="2502">
      <c r="A2502" t="inlineStr">
        <is>
          <t>SW-DAMPER-603-BEARING</t>
        </is>
      </c>
      <c r="B2502" t="inlineStr">
        <is>
          <t>SW-DAMPER-603</t>
        </is>
      </c>
      <c r="C2502" t="inlineStr">
        <is>
          <t>Bạc đồng D10</t>
        </is>
      </c>
      <c r="D2502" t="inlineStr">
        <is>
          <t>PHỤ_KIỆN_VAN</t>
        </is>
      </c>
      <c r="E2502" t="inlineStr">
        <is>
          <t>MAT-DAMPER-BAC-DONG-D10</t>
        </is>
      </c>
      <c r="F2502" t="inlineStr">
        <is>
          <t>Đôi</t>
        </is>
      </c>
      <c r="G2502" s="4" t="n">
        <v>1</v>
      </c>
      <c r="H2502" s="2">
        <f>XLOOKUP(B2502, '00_TONG_HOP_BAO_GIA'!B:B, '00_TONG_HOP_BAO_GIA'!G:G, 1)</f>
        <v/>
      </c>
      <c r="I2502" s="5">
        <f>G2502*H2502</f>
        <v/>
      </c>
      <c r="J2502" s="2">
        <f>XLOOKUP(E2502, '06_BANG_GIA_VAT_TU_AP_DUNG'!B:B, '06_BANG_GIA_VAT_TU_AP_DUNG'!C:C, "LỖI_MÃ_VT")</f>
        <v/>
      </c>
      <c r="K2502" s="2">
        <f>I2502*J2502</f>
        <v/>
      </c>
      <c r="L2502" t="inlineStr">
        <is>
          <t>1 đôi bạc đỡ 2 bên thân</t>
        </is>
      </c>
    </row>
    <row r="2503">
      <c r="A2503" t="inlineStr">
        <is>
          <t>SW-DAMPER-603-ACTUATOR</t>
        </is>
      </c>
      <c r="B2503" t="inlineStr">
        <is>
          <t>SW-DAMPER-603</t>
        </is>
      </c>
      <c r="C2503" t="inlineStr">
        <is>
          <t>Model: NACA 2-05 (5Nm, 220VAC)</t>
        </is>
      </c>
      <c r="D2503" t="inlineStr">
        <is>
          <t>ĐỘNG_CƠ_VÀ_CẢM_BIẾN</t>
        </is>
      </c>
      <c r="E2503" t="inlineStr">
        <is>
          <t>MAT-ACTUATOR-NACA-2-05</t>
        </is>
      </c>
      <c r="F2503" t="inlineStr">
        <is>
          <t>Cái</t>
        </is>
      </c>
      <c r="G2503" s="4" t="n">
        <v>1</v>
      </c>
      <c r="H2503" s="2">
        <f>XLOOKUP(B2503, '00_TONG_HOP_BAO_GIA'!B:B, '00_TONG_HOP_BAO_GIA'!G:G, 1)</f>
        <v/>
      </c>
      <c r="I2503" s="5">
        <f>G2503*H2503</f>
        <v/>
      </c>
      <c r="J2503" s="2">
        <f>XLOOKUP(E2503, '06_BANG_GIA_VAT_TU_AP_DUNG'!B:B, '06_BANG_GIA_VAT_TU_AP_DUNG'!C:C, "LỖI_MÃ_VT")</f>
        <v/>
      </c>
      <c r="K2503" s="2">
        <f>I2503*J2503</f>
        <v/>
      </c>
      <c r="L2503" t="inlineStr">
        <is>
          <t>Tiết diện van 0.02m2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STT</t>
        </is>
      </c>
      <c r="B1" s="1" t="inlineStr">
        <is>
          <t>MAT_ID</t>
        </is>
      </c>
      <c r="C1" s="1" t="inlineStr">
        <is>
          <t>PHÂN LOẠI</t>
        </is>
      </c>
      <c r="D1" s="1" t="inlineStr">
        <is>
          <t>TÊN VẬT TƯ</t>
        </is>
      </c>
      <c r="E1" s="1" t="inlineStr">
        <is>
          <t>ĐVT</t>
        </is>
      </c>
      <c r="F1" s="1" t="inlineStr">
        <is>
          <t>BAREM KỸ THUẬT</t>
        </is>
      </c>
      <c r="G1" s="1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MAT-STEEL-PN-1.38</t>
        </is>
      </c>
      <c r="C28" t="inlineStr">
        <is>
          <t>TÔN_CUỘN_MẠ_KẼM</t>
        </is>
      </c>
      <c r="D28" t="inlineStr">
        <is>
          <t>TÔN PHƯƠNG NAM 1.38mm</t>
        </is>
      </c>
      <c r="E28" t="inlineStr">
        <is>
          <t>kg</t>
        </is>
      </c>
      <c r="F28" t="inlineStr">
        <is>
          <t>10.833 kg/m2</t>
        </is>
      </c>
      <c r="G28" t="inlineStr">
        <is>
          <t>Vat tu tôn!R10C14</t>
        </is>
      </c>
    </row>
    <row r="29">
      <c r="A29" t="n">
        <v>28</v>
      </c>
      <c r="B29" t="inlineStr">
        <is>
          <t>MAT-STEEL-PN-1.48</t>
        </is>
      </c>
      <c r="C29" t="inlineStr">
        <is>
          <t>TÔN_CUỘN_MẠ_KẼM</t>
        </is>
      </c>
      <c r="D29" t="inlineStr">
        <is>
          <t>TÔN PHƯƠNG NAM 1.48mm</t>
        </is>
      </c>
      <c r="E29" t="inlineStr">
        <is>
          <t>kg</t>
        </is>
      </c>
      <c r="F29" t="inlineStr">
        <is>
          <t>11.618 kg/m2</t>
        </is>
      </c>
      <c r="G29" t="inlineStr">
        <is>
          <t>Vat tu tôn!R11C14</t>
        </is>
      </c>
    </row>
    <row r="30">
      <c r="A30" t="n">
        <v>29</v>
      </c>
      <c r="B30" t="inlineStr">
        <is>
          <t>MAT-STEEL-HOASEN-0.48</t>
        </is>
      </c>
      <c r="C30" t="inlineStr">
        <is>
          <t>TÔN_CUỘN_MẠ_KẼM</t>
        </is>
      </c>
      <c r="D30" t="inlineStr">
        <is>
          <t>TÔN HOA SEN 0.48mm</t>
        </is>
      </c>
      <c r="E30" t="inlineStr">
        <is>
          <t>kg</t>
        </is>
      </c>
      <c r="F30" t="inlineStr">
        <is>
          <t>3.768 kg/m2</t>
        </is>
      </c>
      <c r="G30" t="inlineStr">
        <is>
          <t>Vat tu tôn!R5C19</t>
        </is>
      </c>
    </row>
    <row r="31">
      <c r="A31" t="n">
        <v>30</v>
      </c>
      <c r="B31" t="inlineStr">
        <is>
          <t>MAT-STEEL-HOASEN-0.58</t>
        </is>
      </c>
      <c r="C31" t="inlineStr">
        <is>
          <t>TÔN_CUỘN_MẠ_KẼM</t>
        </is>
      </c>
      <c r="D31" t="inlineStr">
        <is>
          <t>TÔN HOA SEN 0.58mm</t>
        </is>
      </c>
      <c r="E31" t="inlineStr">
        <is>
          <t>kg</t>
        </is>
      </c>
      <c r="F31" t="inlineStr">
        <is>
          <t>4.553 kg/m2</t>
        </is>
      </c>
      <c r="G31" t="inlineStr">
        <is>
          <t>Vat tu tôn!R6C19</t>
        </is>
      </c>
    </row>
    <row r="32">
      <c r="A32" t="n">
        <v>31</v>
      </c>
      <c r="B32" t="inlineStr">
        <is>
          <t>MAT-STEEL-HOASEN-0.75</t>
        </is>
      </c>
      <c r="C32" t="inlineStr">
        <is>
          <t>TÔN_CUỘN_MẠ_KẼM</t>
        </is>
      </c>
      <c r="D32" t="inlineStr">
        <is>
          <t>TÔN HOA SEN 0.75mm</t>
        </is>
      </c>
      <c r="E32" t="inlineStr">
        <is>
          <t>kg</t>
        </is>
      </c>
      <c r="F32" t="inlineStr">
        <is>
          <t>5.887 kg/m2</t>
        </is>
      </c>
      <c r="G32" t="inlineStr">
        <is>
          <t>Vat tu tôn!R7C19</t>
        </is>
      </c>
    </row>
    <row r="33">
      <c r="A33" t="n">
        <v>32</v>
      </c>
      <c r="B33" t="inlineStr">
        <is>
          <t>MAT-STEEL-HOASEN-0.95</t>
        </is>
      </c>
      <c r="C33" t="inlineStr">
        <is>
          <t>TÔN_CUỘN_MẠ_KẼM</t>
        </is>
      </c>
      <c r="D33" t="inlineStr">
        <is>
          <t>TÔN HOA SEN 0.95mm</t>
        </is>
      </c>
      <c r="E33" t="inlineStr">
        <is>
          <t>kg</t>
        </is>
      </c>
      <c r="F33" t="inlineStr">
        <is>
          <t>7.457 kg/m2</t>
        </is>
      </c>
      <c r="G33" t="inlineStr">
        <is>
          <t>Vat tu tôn!R8C19</t>
        </is>
      </c>
    </row>
    <row r="34">
      <c r="A34" t="n">
        <v>33</v>
      </c>
      <c r="B34" t="inlineStr">
        <is>
          <t>MAT-STEEL-HOASEN-1.15</t>
        </is>
      </c>
      <c r="C34" t="inlineStr">
        <is>
          <t>TÔN_CUỘN_MẠ_KẼM</t>
        </is>
      </c>
      <c r="D34" t="inlineStr">
        <is>
          <t>TÔN HOA SEN 1.15mm</t>
        </is>
      </c>
      <c r="E34" t="inlineStr">
        <is>
          <t>kg</t>
        </is>
      </c>
      <c r="F34" t="inlineStr">
        <is>
          <t>9.027 kg/m2</t>
        </is>
      </c>
      <c r="G34" t="inlineStr">
        <is>
          <t>Vat tu tôn!R9C19</t>
        </is>
      </c>
    </row>
    <row r="35">
      <c r="A35" t="n">
        <v>34</v>
      </c>
      <c r="B35" t="inlineStr">
        <is>
          <t>MAT-STEEL-HOASEN-1.50</t>
        </is>
      </c>
      <c r="C35" t="inlineStr">
        <is>
          <t>TÔN_CUỘN_MẠ_KẼM</t>
        </is>
      </c>
      <c r="D35" t="inlineStr">
        <is>
          <t>TÔN HOA SEN 1.50mm</t>
        </is>
      </c>
      <c r="E35" t="inlineStr">
        <is>
          <t>kg</t>
        </is>
      </c>
      <c r="F35" t="inlineStr">
        <is>
          <t>11.775 kg/m2</t>
        </is>
      </c>
      <c r="G35" t="inlineStr">
        <is>
          <t>Vat tu tôn!R10C19</t>
        </is>
      </c>
    </row>
    <row r="36">
      <c r="A36" t="n">
        <v>35</v>
      </c>
      <c r="B36" t="inlineStr">
        <is>
          <t>MAT-STEEL-HOASEN-0.58</t>
        </is>
      </c>
      <c r="C36" t="inlineStr">
        <is>
          <t>TÔN_CUỘN_MẠ_KẼM</t>
        </is>
      </c>
      <c r="D36" t="inlineStr">
        <is>
          <t>TÔN HOA SEN 0.58mm</t>
        </is>
      </c>
      <c r="E36" t="inlineStr">
        <is>
          <t>kg</t>
        </is>
      </c>
      <c r="F36" t="inlineStr">
        <is>
          <t>4.553 kg/m2</t>
        </is>
      </c>
      <c r="G36" t="inlineStr">
        <is>
          <t>Vat tu tôn!R15C19</t>
        </is>
      </c>
    </row>
    <row r="37">
      <c r="A37" t="n">
        <v>36</v>
      </c>
      <c r="B37" t="inlineStr">
        <is>
          <t>MAT-STEEL-HOASEN-0.75</t>
        </is>
      </c>
      <c r="C37" t="inlineStr">
        <is>
          <t>TÔN_CUỘN_MẠ_KẼM</t>
        </is>
      </c>
      <c r="D37" t="inlineStr">
        <is>
          <t>TÔN HOA SEN 0.75mm</t>
        </is>
      </c>
      <c r="E37" t="inlineStr">
        <is>
          <t>kg</t>
        </is>
      </c>
      <c r="F37" t="inlineStr">
        <is>
          <t>5.887 kg/m2</t>
        </is>
      </c>
      <c r="G37" t="inlineStr">
        <is>
          <t>Vat tu tôn!R16C19</t>
        </is>
      </c>
    </row>
    <row r="38">
      <c r="A38" t="n">
        <v>37</v>
      </c>
      <c r="B38" t="inlineStr">
        <is>
          <t>MAT-STEEL-HOASEN-0.95</t>
        </is>
      </c>
      <c r="C38" t="inlineStr">
        <is>
          <t>TÔN_CUỘN_MẠ_KẼM</t>
        </is>
      </c>
      <c r="D38" t="inlineStr">
        <is>
          <t>TÔN HOA SEN 0.95mm</t>
        </is>
      </c>
      <c r="E38" t="inlineStr">
        <is>
          <t>kg</t>
        </is>
      </c>
      <c r="F38" t="inlineStr">
        <is>
          <t>7.457 kg/m2</t>
        </is>
      </c>
      <c r="G38" t="inlineStr">
        <is>
          <t>Vat tu tôn!R17C19</t>
        </is>
      </c>
    </row>
    <row r="39">
      <c r="A39" t="n">
        <v>38</v>
      </c>
      <c r="B39" t="inlineStr">
        <is>
          <t>MAT-STEEL-HOASEN-1.15</t>
        </is>
      </c>
      <c r="C39" t="inlineStr">
        <is>
          <t>TÔN_CUỘN_MẠ_KẼM</t>
        </is>
      </c>
      <c r="D39" t="inlineStr">
        <is>
          <t>TÔN HOA SEN 1.15mm</t>
        </is>
      </c>
      <c r="E39" t="inlineStr">
        <is>
          <t>kg</t>
        </is>
      </c>
      <c r="F39" t="inlineStr">
        <is>
          <t>9.027 kg/m2</t>
        </is>
      </c>
      <c r="G39" t="inlineStr">
        <is>
          <t>Vat tu tôn!R18C19</t>
        </is>
      </c>
    </row>
    <row r="40">
      <c r="A40" t="n">
        <v>39</v>
      </c>
      <c r="B40" t="inlineStr">
        <is>
          <t>MAT-STEEL-BLUESCOPE-0.47</t>
        </is>
      </c>
      <c r="C40" t="inlineStr">
        <is>
          <t>TÔN_CUỘN_MẠ_KẼM</t>
        </is>
      </c>
      <c r="D40" t="inlineStr">
        <is>
          <t>TÔN BLUESCOPE 0.47mm</t>
        </is>
      </c>
      <c r="E40" t="inlineStr">
        <is>
          <t>kg</t>
        </is>
      </c>
      <c r="F40" t="inlineStr">
        <is>
          <t>3.689 kg/m2</t>
        </is>
      </c>
      <c r="G40" t="inlineStr">
        <is>
          <t>Vat tu tôn!R5C24</t>
        </is>
      </c>
    </row>
    <row r="41">
      <c r="A41" t="n">
        <v>40</v>
      </c>
      <c r="B41" t="inlineStr">
        <is>
          <t>MAT-STEEL-BLUESCOPE-0.57</t>
        </is>
      </c>
      <c r="C41" t="inlineStr">
        <is>
          <t>TÔN_CUỘN_MẠ_KẼM</t>
        </is>
      </c>
      <c r="D41" t="inlineStr">
        <is>
          <t>TÔN BLUESCOPE 0.57mm</t>
        </is>
      </c>
      <c r="E41" t="inlineStr">
        <is>
          <t>kg</t>
        </is>
      </c>
      <c r="F41" t="inlineStr">
        <is>
          <t>4.474 kg/m2</t>
        </is>
      </c>
      <c r="G41" t="inlineStr">
        <is>
          <t>Vat tu tôn!R6C24</t>
        </is>
      </c>
    </row>
    <row r="42">
      <c r="A42" t="n">
        <v>41</v>
      </c>
      <c r="B42" t="inlineStr">
        <is>
          <t>MAT-STEEL-BLUESCOPE-0.77</t>
        </is>
      </c>
      <c r="C42" t="inlineStr">
        <is>
          <t>TÔN_CUỘN_MẠ_KẼM</t>
        </is>
      </c>
      <c r="D42" t="inlineStr">
        <is>
          <t>TÔN BLUESCOPE 0.77mm</t>
        </is>
      </c>
      <c r="E42" t="inlineStr">
        <is>
          <t>kg</t>
        </is>
      </c>
      <c r="F42" t="inlineStr">
        <is>
          <t>6.045 kg/m2</t>
        </is>
      </c>
      <c r="G42" t="inlineStr">
        <is>
          <t>Vat tu tôn!R7C24</t>
        </is>
      </c>
    </row>
    <row r="43">
      <c r="A43" t="n">
        <v>42</v>
      </c>
      <c r="B43" t="inlineStr">
        <is>
          <t>MAT-STEEL-BLUESCOPE-0.95</t>
        </is>
      </c>
      <c r="C43" t="inlineStr">
        <is>
          <t>TÔN_CUỘN_MẠ_KẼM</t>
        </is>
      </c>
      <c r="D43" t="inlineStr">
        <is>
          <t>TÔN BLUESCOPE 0.95mm</t>
        </is>
      </c>
      <c r="E43" t="inlineStr">
        <is>
          <t>kg</t>
        </is>
      </c>
      <c r="F43" t="inlineStr">
        <is>
          <t>7.457 kg/m2</t>
        </is>
      </c>
      <c r="G43" t="inlineStr">
        <is>
          <t>Vat tu tôn!R8C24</t>
        </is>
      </c>
    </row>
    <row r="44">
      <c r="A44" t="n">
        <v>43</v>
      </c>
      <c r="B44" t="inlineStr">
        <is>
          <t>MAT-STEEL-BLUESCOPE-1.15</t>
        </is>
      </c>
      <c r="C44" t="inlineStr">
        <is>
          <t>TÔN_CUỘN_MẠ_KẼM</t>
        </is>
      </c>
      <c r="D44" t="inlineStr">
        <is>
          <t>TÔN BLUESCOPE 1.15mm</t>
        </is>
      </c>
      <c r="E44" t="inlineStr">
        <is>
          <t>kg</t>
        </is>
      </c>
      <c r="F44" t="inlineStr">
        <is>
          <t>9.027 kg/m2</t>
        </is>
      </c>
      <c r="G44" t="inlineStr">
        <is>
          <t>Vat tu tôn!R9C24</t>
        </is>
      </c>
    </row>
    <row r="45">
      <c r="A45" t="n">
        <v>44</v>
      </c>
      <c r="B45" t="inlineStr">
        <is>
          <t>MAT-INOX-SUS304-0-5</t>
        </is>
      </c>
      <c r="C45" t="inlineStr">
        <is>
          <t>INOX</t>
        </is>
      </c>
      <c r="D45" t="inlineStr">
        <is>
          <t>Inox Sus304-0.5</t>
        </is>
      </c>
      <c r="E45" t="inlineStr">
        <is>
          <t>kg</t>
        </is>
      </c>
      <c r="F45" t="inlineStr"/>
      <c r="G45" t="inlineStr">
        <is>
          <t>Vat tu tôn!R5C29</t>
        </is>
      </c>
    </row>
    <row r="46">
      <c r="A46" t="n">
        <v>45</v>
      </c>
      <c r="B46" t="inlineStr">
        <is>
          <t>MAT-INOX-SUS304-0-6</t>
        </is>
      </c>
      <c r="C46" t="inlineStr">
        <is>
          <t>INOX</t>
        </is>
      </c>
      <c r="D46" t="inlineStr">
        <is>
          <t>Inox Sus304-0.6</t>
        </is>
      </c>
      <c r="E46" t="inlineStr">
        <is>
          <t>kg</t>
        </is>
      </c>
      <c r="F46" t="inlineStr"/>
      <c r="G46" t="inlineStr">
        <is>
          <t>Vat tu tôn!R6C29</t>
        </is>
      </c>
    </row>
    <row r="47">
      <c r="A47" t="n">
        <v>46</v>
      </c>
      <c r="B47" t="inlineStr">
        <is>
          <t>MAT-INOX-SUS304-0-7</t>
        </is>
      </c>
      <c r="C47" t="inlineStr">
        <is>
          <t>INOX</t>
        </is>
      </c>
      <c r="D47" t="inlineStr">
        <is>
          <t>Inox Sus304-0.7</t>
        </is>
      </c>
      <c r="E47" t="inlineStr">
        <is>
          <t>kg</t>
        </is>
      </c>
      <c r="F47" t="inlineStr"/>
      <c r="G47" t="inlineStr">
        <is>
          <t>Vat tu tôn!R7C29</t>
        </is>
      </c>
    </row>
    <row r="48">
      <c r="A48" t="n">
        <v>47</v>
      </c>
      <c r="B48" t="inlineStr">
        <is>
          <t>MAT-INOX-SUS304-0-8</t>
        </is>
      </c>
      <c r="C48" t="inlineStr">
        <is>
          <t>INOX</t>
        </is>
      </c>
      <c r="D48" t="inlineStr">
        <is>
          <t>Inox Sus304-0.8</t>
        </is>
      </c>
      <c r="E48" t="inlineStr">
        <is>
          <t>kg</t>
        </is>
      </c>
      <c r="F48" t="inlineStr"/>
      <c r="G48" t="inlineStr">
        <is>
          <t>Vat tu tôn!R8C29</t>
        </is>
      </c>
    </row>
    <row r="49">
      <c r="A49" t="n">
        <v>48</v>
      </c>
      <c r="B49" t="inlineStr">
        <is>
          <t>MAT-INOX-SUS304-0-9</t>
        </is>
      </c>
      <c r="C49" t="inlineStr">
        <is>
          <t>INOX</t>
        </is>
      </c>
      <c r="D49" t="inlineStr">
        <is>
          <t>Inox Sus304-0.9</t>
        </is>
      </c>
      <c r="E49" t="inlineStr">
        <is>
          <t>kg</t>
        </is>
      </c>
      <c r="F49" t="inlineStr"/>
      <c r="G49" t="inlineStr">
        <is>
          <t>Vat tu tôn!R9C29</t>
        </is>
      </c>
    </row>
    <row r="50">
      <c r="A50" t="n">
        <v>49</v>
      </c>
      <c r="B50" t="inlineStr">
        <is>
          <t>MAT-INOX-SUS304-1-0</t>
        </is>
      </c>
      <c r="C50" t="inlineStr">
        <is>
          <t>INOX</t>
        </is>
      </c>
      <c r="D50" t="inlineStr">
        <is>
          <t>Inox Sus304-1,0</t>
        </is>
      </c>
      <c r="E50" t="inlineStr">
        <is>
          <t>kg</t>
        </is>
      </c>
      <c r="F50" t="inlineStr"/>
      <c r="G50" t="inlineStr">
        <is>
          <t>Vat tu tôn!R10C29</t>
        </is>
      </c>
    </row>
    <row r="51">
      <c r="A51" t="n">
        <v>50</v>
      </c>
      <c r="B51" t="inlineStr">
        <is>
          <t>MAT-INOX-SUS304-1-2</t>
        </is>
      </c>
      <c r="C51" t="inlineStr">
        <is>
          <t>INOX</t>
        </is>
      </c>
      <c r="D51" t="inlineStr">
        <is>
          <t>Inox Sus304-1,2</t>
        </is>
      </c>
      <c r="E51" t="inlineStr">
        <is>
          <t>kg</t>
        </is>
      </c>
      <c r="F51" t="inlineStr"/>
      <c r="G51" t="inlineStr">
        <is>
          <t>Vat tu tôn!R11C29</t>
        </is>
      </c>
    </row>
    <row r="52">
      <c r="A52" t="n">
        <v>51</v>
      </c>
      <c r="B52" t="inlineStr">
        <is>
          <t>MAT-INOX-SUS430-0-5</t>
        </is>
      </c>
      <c r="C52" t="inlineStr">
        <is>
          <t>INOX</t>
        </is>
      </c>
      <c r="D52" t="inlineStr">
        <is>
          <t>Inox Sus430-0.5</t>
        </is>
      </c>
      <c r="E52" t="inlineStr">
        <is>
          <t>kg</t>
        </is>
      </c>
      <c r="F52" t="inlineStr"/>
      <c r="G52" t="inlineStr">
        <is>
          <t>Vat tu tôn!R12C29</t>
        </is>
      </c>
    </row>
    <row r="53">
      <c r="A53" t="n">
        <v>52</v>
      </c>
      <c r="B53" t="inlineStr">
        <is>
          <t>MAT-INOX-SUS430-0-6</t>
        </is>
      </c>
      <c r="C53" t="inlineStr">
        <is>
          <t>INOX</t>
        </is>
      </c>
      <c r="D53" t="inlineStr">
        <is>
          <t>Inox Sus430-0.6</t>
        </is>
      </c>
      <c r="E53" t="inlineStr">
        <is>
          <t>kg</t>
        </is>
      </c>
      <c r="F53" t="inlineStr"/>
      <c r="G53" t="inlineStr">
        <is>
          <t>Vat tu tôn!R13C29</t>
        </is>
      </c>
    </row>
    <row r="54">
      <c r="A54" t="n">
        <v>53</v>
      </c>
      <c r="B54" t="inlineStr">
        <is>
          <t>MAT-INOX-SUS430-0-7</t>
        </is>
      </c>
      <c r="C54" t="inlineStr">
        <is>
          <t>INOX</t>
        </is>
      </c>
      <c r="D54" t="inlineStr">
        <is>
          <t>Inox Sus430-0.7</t>
        </is>
      </c>
      <c r="E54" t="inlineStr">
        <is>
          <t>kg</t>
        </is>
      </c>
      <c r="F54" t="inlineStr"/>
      <c r="G54" t="inlineStr">
        <is>
          <t>Vat tu tôn!R14C29</t>
        </is>
      </c>
    </row>
    <row r="55">
      <c r="A55" t="n">
        <v>54</v>
      </c>
      <c r="B55" t="inlineStr">
        <is>
          <t>MAT-INOX-SUS430-0-8</t>
        </is>
      </c>
      <c r="C55" t="inlineStr">
        <is>
          <t>INOX</t>
        </is>
      </c>
      <c r="D55" t="inlineStr">
        <is>
          <t>Inox Sus430-0.8</t>
        </is>
      </c>
      <c r="E55" t="inlineStr">
        <is>
          <t>kg</t>
        </is>
      </c>
      <c r="F55" t="inlineStr"/>
      <c r="G55" t="inlineStr">
        <is>
          <t>Vat tu tôn!R15C29</t>
        </is>
      </c>
    </row>
    <row r="56">
      <c r="A56" t="n">
        <v>55</v>
      </c>
      <c r="B56" t="inlineStr">
        <is>
          <t>MAT-INOX-SUS430-0-9</t>
        </is>
      </c>
      <c r="C56" t="inlineStr">
        <is>
          <t>INOX</t>
        </is>
      </c>
      <c r="D56" t="inlineStr">
        <is>
          <t>Inox Sus430-0.9</t>
        </is>
      </c>
      <c r="E56" t="inlineStr">
        <is>
          <t>kg</t>
        </is>
      </c>
      <c r="F56" t="inlineStr"/>
      <c r="G56" t="inlineStr">
        <is>
          <t>Vat tu tôn!R16C29</t>
        </is>
      </c>
    </row>
    <row r="57">
      <c r="A57" t="n">
        <v>56</v>
      </c>
      <c r="B57" t="inlineStr">
        <is>
          <t>MAT-INOX-SUS430-1-0</t>
        </is>
      </c>
      <c r="C57" t="inlineStr">
        <is>
          <t>INOX</t>
        </is>
      </c>
      <c r="D57" t="inlineStr">
        <is>
          <t>Inox Sus430-1,0</t>
        </is>
      </c>
      <c r="E57" t="inlineStr">
        <is>
          <t>kg</t>
        </is>
      </c>
      <c r="F57" t="inlineStr"/>
      <c r="G57" t="inlineStr">
        <is>
          <t>Vat tu tôn!R17C29</t>
        </is>
      </c>
    </row>
    <row r="58">
      <c r="A58" t="n">
        <v>57</v>
      </c>
      <c r="B58" t="inlineStr">
        <is>
          <t>MAT-INOX-SUS430-1-1</t>
        </is>
      </c>
      <c r="C58" t="inlineStr">
        <is>
          <t>INOX</t>
        </is>
      </c>
      <c r="D58" t="inlineStr">
        <is>
          <t>Inox Sus430-1,1</t>
        </is>
      </c>
      <c r="E58" t="inlineStr">
        <is>
          <t>kg</t>
        </is>
      </c>
      <c r="F58" t="inlineStr"/>
      <c r="G58" t="inlineStr">
        <is>
          <t>Vat tu tôn!R18C29</t>
        </is>
      </c>
    </row>
    <row r="59">
      <c r="A59" t="n">
        <v>58</v>
      </c>
      <c r="B59" t="inlineStr">
        <is>
          <t>MAT-INOX-SUS430-1-2</t>
        </is>
      </c>
      <c r="C59" t="inlineStr">
        <is>
          <t>INOX</t>
        </is>
      </c>
      <c r="D59" t="inlineStr">
        <is>
          <t>Inox Sus430-1,2</t>
        </is>
      </c>
      <c r="E59" t="inlineStr">
        <is>
          <t>kg</t>
        </is>
      </c>
      <c r="F59" t="inlineStr"/>
      <c r="G59" t="inlineStr">
        <is>
          <t>Vat tu tôn!R19C29</t>
        </is>
      </c>
    </row>
    <row r="60">
      <c r="A60" t="n">
        <v>59</v>
      </c>
      <c r="B60" t="inlineStr">
        <is>
          <t>MAT-INOX-SUS201-0-4</t>
        </is>
      </c>
      <c r="C60" t="inlineStr">
        <is>
          <t>INOX</t>
        </is>
      </c>
      <c r="D60" t="inlineStr">
        <is>
          <t>Inox Sus201-0.4</t>
        </is>
      </c>
      <c r="E60" t="inlineStr">
        <is>
          <t>kg</t>
        </is>
      </c>
      <c r="F60" t="inlineStr"/>
      <c r="G60" t="inlineStr">
        <is>
          <t>Vat tu tôn!R20C29</t>
        </is>
      </c>
    </row>
    <row r="61">
      <c r="A61" t="n">
        <v>60</v>
      </c>
      <c r="B61" t="inlineStr">
        <is>
          <t>MAT-INOX-SUS201-0-5</t>
        </is>
      </c>
      <c r="C61" t="inlineStr">
        <is>
          <t>INOX</t>
        </is>
      </c>
      <c r="D61" t="inlineStr">
        <is>
          <t>Inox Sus201-0.5</t>
        </is>
      </c>
      <c r="E61" t="inlineStr">
        <is>
          <t>kg</t>
        </is>
      </c>
      <c r="F61" t="inlineStr"/>
      <c r="G61" t="inlineStr">
        <is>
          <t>Vat tu tôn!R21C29</t>
        </is>
      </c>
    </row>
    <row r="62">
      <c r="A62" t="n">
        <v>61</v>
      </c>
      <c r="B62" t="inlineStr">
        <is>
          <t>MAT-INOX-SUS201-0-6</t>
        </is>
      </c>
      <c r="C62" t="inlineStr">
        <is>
          <t>INOX</t>
        </is>
      </c>
      <c r="D62" t="inlineStr">
        <is>
          <t>Inox Sus201-0.6</t>
        </is>
      </c>
      <c r="E62" t="inlineStr">
        <is>
          <t>kg</t>
        </is>
      </c>
      <c r="F62" t="inlineStr"/>
      <c r="G62" t="inlineStr">
        <is>
          <t>Vat tu tôn!R22C29</t>
        </is>
      </c>
    </row>
    <row r="63">
      <c r="A63" t="n">
        <v>62</v>
      </c>
      <c r="B63" t="inlineStr">
        <is>
          <t>MAT-INOX-SUS201-0-7</t>
        </is>
      </c>
      <c r="C63" t="inlineStr">
        <is>
          <t>INOX</t>
        </is>
      </c>
      <c r="D63" t="inlineStr">
        <is>
          <t>Inox Sus201-0.7</t>
        </is>
      </c>
      <c r="E63" t="inlineStr">
        <is>
          <t>kg</t>
        </is>
      </c>
      <c r="F63" t="inlineStr"/>
      <c r="G63" t="inlineStr">
        <is>
          <t>Vat tu tôn!R23C29</t>
        </is>
      </c>
    </row>
    <row r="64">
      <c r="A64" t="n">
        <v>63</v>
      </c>
      <c r="B64" t="inlineStr">
        <is>
          <t>MAT-INOX-SUS201-0-8</t>
        </is>
      </c>
      <c r="C64" t="inlineStr">
        <is>
          <t>INOX</t>
        </is>
      </c>
      <c r="D64" t="inlineStr">
        <is>
          <t>Inox Sus201-0.8</t>
        </is>
      </c>
      <c r="E64" t="inlineStr">
        <is>
          <t>kg</t>
        </is>
      </c>
      <c r="F64" t="inlineStr"/>
      <c r="G64" t="inlineStr">
        <is>
          <t>Vat tu tôn!R24C29</t>
        </is>
      </c>
    </row>
    <row r="65">
      <c r="A65" t="n">
        <v>64</v>
      </c>
      <c r="B65" t="inlineStr">
        <is>
          <t>MAT-DAMPER-TRUC-SUS-201-D10</t>
        </is>
      </c>
      <c r="C65" t="inlineStr">
        <is>
          <t>PHỤ_KIỆN_VAN</t>
        </is>
      </c>
      <c r="D65" t="inlineStr">
        <is>
          <t>Trục Sus 201 D10</t>
        </is>
      </c>
      <c r="E65" t="inlineStr">
        <is>
          <t>m</t>
        </is>
      </c>
      <c r="F65" t="inlineStr"/>
      <c r="G65" t="inlineStr">
        <is>
          <t>Vat tu tôn!R5C33</t>
        </is>
      </c>
    </row>
    <row r="66">
      <c r="A66" t="n">
        <v>65</v>
      </c>
      <c r="B66" t="inlineStr">
        <is>
          <t>MAT-DAMPER-TRUC-SUS-201-D12</t>
        </is>
      </c>
      <c r="C66" t="inlineStr">
        <is>
          <t>PHỤ_KIỆN_VAN</t>
        </is>
      </c>
      <c r="D66" t="inlineStr">
        <is>
          <t>Trục Sus 201 D12</t>
        </is>
      </c>
      <c r="E66" t="inlineStr">
        <is>
          <t>m</t>
        </is>
      </c>
      <c r="F66" t="inlineStr"/>
      <c r="G66" t="inlineStr">
        <is>
          <t>Vat tu tôn!R6C33</t>
        </is>
      </c>
    </row>
    <row r="67">
      <c r="A67" t="n">
        <v>66</v>
      </c>
      <c r="B67" t="inlineStr">
        <is>
          <t>MAT-DAMPER-TRUC-SUS-201-D14</t>
        </is>
      </c>
      <c r="C67" t="inlineStr">
        <is>
          <t>PHỤ_KIỆN_VAN</t>
        </is>
      </c>
      <c r="D67" t="inlineStr">
        <is>
          <t>Trục Sus 201 D14</t>
        </is>
      </c>
      <c r="E67" t="inlineStr">
        <is>
          <t>m</t>
        </is>
      </c>
      <c r="F67" t="inlineStr"/>
      <c r="G67" t="inlineStr">
        <is>
          <t>Vat tu tôn!R7C33</t>
        </is>
      </c>
    </row>
    <row r="68">
      <c r="A68" t="n">
        <v>67</v>
      </c>
      <c r="B68" t="inlineStr">
        <is>
          <t>MAT-DAMPER-BAC-DONG-D10</t>
        </is>
      </c>
      <c r="C68" t="inlineStr">
        <is>
          <t>PHỤ_KIỆN_VAN</t>
        </is>
      </c>
      <c r="D68" t="inlineStr">
        <is>
          <t>Bạc đồng D10</t>
        </is>
      </c>
      <c r="E68" t="inlineStr">
        <is>
          <t>Đôi</t>
        </is>
      </c>
      <c r="F68" t="inlineStr"/>
      <c r="G68" t="inlineStr">
        <is>
          <t>Vat tu tôn!R8C33</t>
        </is>
      </c>
    </row>
    <row r="69">
      <c r="A69" t="n">
        <v>68</v>
      </c>
      <c r="B69" t="inlineStr">
        <is>
          <t>MAT-DAMPER-BAC-DONG-D12</t>
        </is>
      </c>
      <c r="C69" t="inlineStr">
        <is>
          <t>PHỤ_KIỆN_VAN</t>
        </is>
      </c>
      <c r="D69" t="inlineStr">
        <is>
          <t>Bạc đồng D12</t>
        </is>
      </c>
      <c r="E69" t="inlineStr">
        <is>
          <t>Đôi</t>
        </is>
      </c>
      <c r="F69" t="inlineStr"/>
      <c r="G69" t="inlineStr">
        <is>
          <t>Vat tu tôn!R9C33</t>
        </is>
      </c>
    </row>
    <row r="70">
      <c r="A70" t="n">
        <v>69</v>
      </c>
      <c r="B70" t="inlineStr">
        <is>
          <t>MAT-DAMPER-BAC-DONG-D14</t>
        </is>
      </c>
      <c r="C70" t="inlineStr">
        <is>
          <t>PHỤ_KIỆN_VAN</t>
        </is>
      </c>
      <c r="D70" t="inlineStr">
        <is>
          <t>Bạc đồng D14</t>
        </is>
      </c>
      <c r="E70" t="inlineStr">
        <is>
          <t>Đôi</t>
        </is>
      </c>
      <c r="F70" t="inlineStr"/>
      <c r="G70" t="inlineStr">
        <is>
          <t>Vat tu tôn!R10C33</t>
        </is>
      </c>
    </row>
    <row r="71">
      <c r="A71" t="n">
        <v>70</v>
      </c>
      <c r="B71" t="inlineStr">
        <is>
          <t>MAT-DAMPER-TAY-GAT-1-1M2</t>
        </is>
      </c>
      <c r="C71" t="inlineStr">
        <is>
          <t>PHỤ_KIỆN_VAN</t>
        </is>
      </c>
      <c r="D71" t="inlineStr">
        <is>
          <t>Tay gạt 1 &gt;1m2</t>
        </is>
      </c>
      <c r="E71" t="inlineStr">
        <is>
          <t>Cái</t>
        </is>
      </c>
      <c r="F71" t="inlineStr"/>
      <c r="G71" t="inlineStr">
        <is>
          <t>Vat tu tôn!R11C33</t>
        </is>
      </c>
    </row>
    <row r="72">
      <c r="A72" t="n">
        <v>71</v>
      </c>
      <c r="B72" t="inlineStr">
        <is>
          <t>MAT-DAMPER-GIANG-TAY-GAT-1</t>
        </is>
      </c>
      <c r="C72" t="inlineStr">
        <is>
          <t>PHỤ_KIỆN_VAN</t>
        </is>
      </c>
      <c r="D72" t="inlineStr">
        <is>
          <t>Giằng tay gạt 1</t>
        </is>
      </c>
      <c r="E72" t="inlineStr">
        <is>
          <t>Cái</t>
        </is>
      </c>
      <c r="F72" t="inlineStr"/>
      <c r="G72" t="inlineStr">
        <is>
          <t>Vat tu tôn!R12C33</t>
        </is>
      </c>
    </row>
    <row r="73">
      <c r="A73" t="n">
        <v>72</v>
      </c>
      <c r="B73" t="inlineStr">
        <is>
          <t>MAT-DAMPER-GIANG-TAY-GAT-2</t>
        </is>
      </c>
      <c r="C73" t="inlineStr">
        <is>
          <t>PHỤ_KIỆN_VAN</t>
        </is>
      </c>
      <c r="D73" t="inlineStr">
        <is>
          <t>Giằng tay gạt 2</t>
        </is>
      </c>
      <c r="E73" t="inlineStr">
        <is>
          <t>Cái</t>
        </is>
      </c>
      <c r="F73" t="inlineStr"/>
      <c r="G73" t="inlineStr">
        <is>
          <t>Vat tu tôn!R13C33</t>
        </is>
      </c>
    </row>
    <row r="74">
      <c r="A74" t="n">
        <v>73</v>
      </c>
      <c r="B74" t="inlineStr">
        <is>
          <t>MAT-DAMPER-CAU-CHI-1-400X400</t>
        </is>
      </c>
      <c r="C74" t="inlineStr">
        <is>
          <t>PHỤ_KIỆN_VAN</t>
        </is>
      </c>
      <c r="D74" t="inlineStr">
        <is>
          <t>Cầu chì 1 &lt;400x400</t>
        </is>
      </c>
      <c r="E74" t="inlineStr">
        <is>
          <t>Cái</t>
        </is>
      </c>
      <c r="F74" t="inlineStr"/>
      <c r="G74" t="inlineStr">
        <is>
          <t>Vat tu tôn!R14C33</t>
        </is>
      </c>
    </row>
    <row r="75">
      <c r="A75" t="n">
        <v>74</v>
      </c>
      <c r="B75" t="inlineStr">
        <is>
          <t>MAT-DAMPER-CAU-CHI-2-400X400</t>
        </is>
      </c>
      <c r="C75" t="inlineStr">
        <is>
          <t>PHỤ_KIỆN_VAN</t>
        </is>
      </c>
      <c r="D75" t="inlineStr">
        <is>
          <t>Cầu chì 2&gt;400x400</t>
        </is>
      </c>
      <c r="E75" t="inlineStr">
        <is>
          <t>Cái</t>
        </is>
      </c>
      <c r="F75" t="inlineStr"/>
      <c r="G75" t="inlineStr">
        <is>
          <t>Vat tu tôn!R15C33</t>
        </is>
      </c>
    </row>
    <row r="76">
      <c r="A76" t="n">
        <v>75</v>
      </c>
      <c r="B76" t="inlineStr">
        <is>
          <t>MAT-DAMPER-TRUC-VIT-1</t>
        </is>
      </c>
      <c r="C76" t="inlineStr">
        <is>
          <t>PHỤ_KIỆN_VAN</t>
        </is>
      </c>
      <c r="D76" t="inlineStr">
        <is>
          <t>Trục vít 1</t>
        </is>
      </c>
      <c r="E76" t="inlineStr">
        <is>
          <t>Cái</t>
        </is>
      </c>
      <c r="F76" t="inlineStr"/>
      <c r="G76" t="inlineStr">
        <is>
          <t>Vat tu tôn!R16C33</t>
        </is>
      </c>
    </row>
    <row r="77">
      <c r="A77" t="n">
        <v>76</v>
      </c>
      <c r="B77" t="inlineStr">
        <is>
          <t>MAT-DAMPER-BAC-DONG-8</t>
        </is>
      </c>
      <c r="C77" t="inlineStr">
        <is>
          <t>PHỤ_KIỆN_VAN</t>
        </is>
      </c>
      <c r="D77" t="inlineStr">
        <is>
          <t>Bạc đồng 8</t>
        </is>
      </c>
      <c r="E77" t="inlineStr">
        <is>
          <t>cặp</t>
        </is>
      </c>
      <c r="F77" t="inlineStr"/>
      <c r="G77" t="inlineStr">
        <is>
          <t>Vat tu tôn!R18C33</t>
        </is>
      </c>
    </row>
    <row r="78">
      <c r="A78" t="n">
        <v>77</v>
      </c>
      <c r="B78" t="inlineStr">
        <is>
          <t>MAT-DAMPER-BANH-RANG-VAN-NHOM</t>
        </is>
      </c>
      <c r="C78" t="inlineStr">
        <is>
          <t>PHỤ_KIỆN_VAN</t>
        </is>
      </c>
      <c r="D78" t="inlineStr">
        <is>
          <t>Bánh răng van nhôm</t>
        </is>
      </c>
      <c r="E78" t="inlineStr">
        <is>
          <t>Bộ</t>
        </is>
      </c>
      <c r="F78" t="inlineStr"/>
      <c r="G78" t="inlineStr">
        <is>
          <t>Vat tu tôn!R19C33</t>
        </is>
      </c>
    </row>
    <row r="79">
      <c r="A79" t="n">
        <v>78</v>
      </c>
      <c r="B79" t="inlineStr">
        <is>
          <t>MAT-DAMPER-TAY-VAN-NHUA-1M2</t>
        </is>
      </c>
      <c r="C79" t="inlineStr">
        <is>
          <t>PHỤ_KIỆN_VAN</t>
        </is>
      </c>
      <c r="D79" t="inlineStr">
        <is>
          <t>Tay van nhựa &gt;1m2</t>
        </is>
      </c>
      <c r="E79" t="inlineStr">
        <is>
          <t>Bộ</t>
        </is>
      </c>
      <c r="F79" t="inlineStr"/>
      <c r="G79" t="inlineStr">
        <is>
          <t>Vat tu tôn!R20C33</t>
        </is>
      </c>
    </row>
    <row r="80">
      <c r="A80" t="n">
        <v>79</v>
      </c>
      <c r="B80" t="inlineStr">
        <is>
          <t>MAT-DAMPER-TAY-VAN-INOX-1M2</t>
        </is>
      </c>
      <c r="C80" t="inlineStr">
        <is>
          <t>PHỤ_KIỆN_VAN</t>
        </is>
      </c>
      <c r="D80" t="inlineStr">
        <is>
          <t>Tay van Inox &gt;1m2</t>
        </is>
      </c>
      <c r="E80" t="inlineStr">
        <is>
          <t>Bộ</t>
        </is>
      </c>
      <c r="F80" t="inlineStr"/>
      <c r="G80" t="inlineStr">
        <is>
          <t>Vat tu tôn!R21C33</t>
        </is>
      </c>
    </row>
    <row r="81">
      <c r="A81" t="n">
        <v>80</v>
      </c>
      <c r="B81" t="inlineStr">
        <is>
          <t>MAT-DAMPER-TAY-VAN-NHOM</t>
        </is>
      </c>
      <c r="C81" t="inlineStr">
        <is>
          <t>PHỤ_KIỆN_VAN</t>
        </is>
      </c>
      <c r="D81" t="inlineStr">
        <is>
          <t>Tay van nhôm</t>
        </is>
      </c>
      <c r="E81" t="inlineStr">
        <is>
          <t>Bộ</t>
        </is>
      </c>
      <c r="F81" t="inlineStr"/>
      <c r="G81" t="inlineStr">
        <is>
          <t>Vat tu tôn!R22C33</t>
        </is>
      </c>
    </row>
    <row r="82">
      <c r="A82" t="n">
        <v>81</v>
      </c>
      <c r="B82" t="inlineStr">
        <is>
          <t>MAT-DAMPER-GIOANG-CAO-SU-VAN-NHOM</t>
        </is>
      </c>
      <c r="C82" t="inlineStr">
        <is>
          <t>PHỤ_KIỆN_VAN</t>
        </is>
      </c>
      <c r="D82" t="inlineStr">
        <is>
          <t>Gioăng cao su van nhôm</t>
        </is>
      </c>
      <c r="E82" t="inlineStr">
        <is>
          <t>M</t>
        </is>
      </c>
      <c r="F82" t="inlineStr"/>
      <c r="G82" t="inlineStr">
        <is>
          <t>Vat tu tôn!R23C33</t>
        </is>
      </c>
    </row>
    <row r="83">
      <c r="A83" t="n">
        <v>82</v>
      </c>
      <c r="B83" t="inlineStr">
        <is>
          <t>MAT-DAMPER-TAY-GAT-NHO</t>
        </is>
      </c>
      <c r="C83" t="inlineStr">
        <is>
          <t>PHỤ_KIỆN_VAN</t>
        </is>
      </c>
      <c r="D83" t="inlineStr">
        <is>
          <t>Tay gạt nhỏ</t>
        </is>
      </c>
      <c r="E83" t="inlineStr">
        <is>
          <t>Bộ</t>
        </is>
      </c>
      <c r="F83" t="inlineStr"/>
      <c r="G83" t="inlineStr">
        <is>
          <t>Vat tu tôn!R24C33</t>
        </is>
      </c>
    </row>
    <row r="84">
      <c r="A84" t="n">
        <v>83</v>
      </c>
      <c r="B84" t="inlineStr">
        <is>
          <t>MAT-DAMPER-TAY-GAT-TRUNG-BINH</t>
        </is>
      </c>
      <c r="C84" t="inlineStr">
        <is>
          <t>PHỤ_KIỆN_VAN</t>
        </is>
      </c>
      <c r="D84" t="inlineStr">
        <is>
          <t>Tay gạt trung bình</t>
        </is>
      </c>
      <c r="E84" t="inlineStr">
        <is>
          <t>Bộ</t>
        </is>
      </c>
      <c r="F84" t="inlineStr"/>
      <c r="G84" t="inlineStr">
        <is>
          <t>Vat tu tôn!R25C33</t>
        </is>
      </c>
    </row>
    <row r="85">
      <c r="A85" t="n">
        <v>84</v>
      </c>
      <c r="B85" t="inlineStr">
        <is>
          <t>MAT-DAMPER-MOTOR-NENUTEC-THUY-SY-300X300</t>
        </is>
      </c>
      <c r="C85" t="inlineStr">
        <is>
          <t>PHỤ_KIỆN_VAN</t>
        </is>
      </c>
      <c r="D85" t="inlineStr">
        <is>
          <t>Motor NENUTEC - THỤY SỸ &lt;300x300</t>
        </is>
      </c>
      <c r="E85" t="inlineStr">
        <is>
          <t>cái</t>
        </is>
      </c>
      <c r="F85" t="inlineStr"/>
      <c r="G85" t="inlineStr">
        <is>
          <t>Vat tu tôn!R26C33</t>
        </is>
      </c>
    </row>
    <row r="86">
      <c r="A86" t="n">
        <v>85</v>
      </c>
      <c r="B86" t="inlineStr">
        <is>
          <t>MAT-DAMPER-MOTOR-NENUTEC-THUY-SY-300X300</t>
        </is>
      </c>
      <c r="C86" t="inlineStr">
        <is>
          <t>PHỤ_KIỆN_VAN</t>
        </is>
      </c>
      <c r="D86" t="inlineStr">
        <is>
          <t>Motor NENUTEC - THỤY SỸ &gt;300x300</t>
        </is>
      </c>
      <c r="E86" t="inlineStr">
        <is>
          <t>cái</t>
        </is>
      </c>
      <c r="F86" t="inlineStr"/>
      <c r="G86" t="inlineStr">
        <is>
          <t>Vat tu tôn!R27C33</t>
        </is>
      </c>
    </row>
    <row r="87">
      <c r="A87" t="n">
        <v>86</v>
      </c>
      <c r="B87" t="inlineStr">
        <is>
          <t>MAT-DAMPER-MOTOR-NENUTEC-THUY-SY-1M2</t>
        </is>
      </c>
      <c r="C87" t="inlineStr">
        <is>
          <t>PHỤ_KIỆN_VAN</t>
        </is>
      </c>
      <c r="D87" t="inlineStr">
        <is>
          <t>Motor NENUTEC - THỤY SỸ &gt;1m2</t>
        </is>
      </c>
      <c r="E87" t="inlineStr">
        <is>
          <t>cái</t>
        </is>
      </c>
      <c r="F87" t="inlineStr"/>
      <c r="G87" t="inlineStr">
        <is>
          <t>Vat tu tôn!R28C33</t>
        </is>
      </c>
    </row>
    <row r="88">
      <c r="A88" t="n">
        <v>87</v>
      </c>
      <c r="B88" t="inlineStr">
        <is>
          <t>MAT-DAMPER-MOTOR-VAN-DAP-LUA-CAM-BIEN</t>
        </is>
      </c>
      <c r="C88" t="inlineStr">
        <is>
          <t>PHỤ_KIỆN_VAN</t>
        </is>
      </c>
      <c r="D88" t="inlineStr">
        <is>
          <t>Motor van dập lửa + cảm biến</t>
        </is>
      </c>
      <c r="E88" t="inlineStr">
        <is>
          <t>Cái</t>
        </is>
      </c>
      <c r="F88" t="inlineStr"/>
      <c r="G88" t="inlineStr">
        <is>
          <t>Vat tu tôn!R29C33</t>
        </is>
      </c>
    </row>
    <row r="89">
      <c r="A89" t="n">
        <v>88</v>
      </c>
      <c r="B89" t="inlineStr">
        <is>
          <t>MAT-DAMPER-MOTOR-VAN-AP-SUAT</t>
        </is>
      </c>
      <c r="C89" t="inlineStr">
        <is>
          <t>PHỤ_KIỆN_VAN</t>
        </is>
      </c>
      <c r="D89" t="inlineStr">
        <is>
          <t>Motor van áp suất</t>
        </is>
      </c>
      <c r="E89" t="inlineStr">
        <is>
          <t>Cái</t>
        </is>
      </c>
      <c r="F89" t="inlineStr"/>
      <c r="G89" t="inlineStr">
        <is>
          <t>Vat tu tôn!R30C33</t>
        </is>
      </c>
    </row>
    <row r="90">
      <c r="A90" t="n">
        <v>89</v>
      </c>
      <c r="B90" t="inlineStr">
        <is>
          <t>MAT-DAMPER-CAU-CHI-TRUNG-QUOC</t>
        </is>
      </c>
      <c r="C90" t="inlineStr">
        <is>
          <t>PHỤ_KIỆN_VAN</t>
        </is>
      </c>
      <c r="D90" t="inlineStr">
        <is>
          <t>Cầu chì Trung Quốc</t>
        </is>
      </c>
      <c r="E90" t="inlineStr">
        <is>
          <t>Cái</t>
        </is>
      </c>
      <c r="F90" t="inlineStr"/>
      <c r="G90" t="inlineStr">
        <is>
          <t>Vat tu tôn!R31C33</t>
        </is>
      </c>
    </row>
    <row r="91">
      <c r="A91" t="n">
        <v>90</v>
      </c>
      <c r="B91" t="inlineStr">
        <is>
          <t>MAT-DAMPER-CAU-CHI-USA-1-400X400</t>
        </is>
      </c>
      <c r="C91" t="inlineStr">
        <is>
          <t>PHỤ_KIỆN_VAN</t>
        </is>
      </c>
      <c r="D91" t="inlineStr">
        <is>
          <t>Cầu chì USA -1 (&lt;400x400)</t>
        </is>
      </c>
      <c r="E91" t="inlineStr">
        <is>
          <t>Cái</t>
        </is>
      </c>
      <c r="F91" t="inlineStr"/>
      <c r="G91" t="inlineStr">
        <is>
          <t>Vat tu tôn!R32C33</t>
        </is>
      </c>
    </row>
    <row r="92">
      <c r="A92" t="n">
        <v>91</v>
      </c>
      <c r="B92" t="inlineStr">
        <is>
          <t>MAT-DAMPER-CAU-CHI-USA-2-400X400</t>
        </is>
      </c>
      <c r="C92" t="inlineStr">
        <is>
          <t>PHỤ_KIỆN_VAN</t>
        </is>
      </c>
      <c r="D92" t="inlineStr">
        <is>
          <t>Cầu chì USA-2 (&gt;400x400)</t>
        </is>
      </c>
      <c r="E92" t="inlineStr">
        <is>
          <t>Cái</t>
        </is>
      </c>
      <c r="F92" t="inlineStr"/>
      <c r="G92" t="inlineStr">
        <is>
          <t>Vat tu tôn!R33C33</t>
        </is>
      </c>
    </row>
    <row r="93">
      <c r="A93" t="n">
        <v>92</v>
      </c>
      <c r="B93" t="inlineStr">
        <is>
          <t>MAT-FLANGE-L-30X30X2-CT38-L-6-M</t>
        </is>
      </c>
      <c r="C93" t="inlineStr">
        <is>
          <t>THÉP_BÍCH_GÓC</t>
        </is>
      </c>
      <c r="D93" t="inlineStr">
        <is>
          <t>L 30x30x2 CT38 L = 6 m</t>
        </is>
      </c>
      <c r="E93" t="inlineStr">
        <is>
          <t>m</t>
        </is>
      </c>
      <c r="F93" t="inlineStr"/>
      <c r="G93" t="inlineStr">
        <is>
          <t>Vat tu tôn!R13C37</t>
        </is>
      </c>
    </row>
    <row r="94">
      <c r="A94" t="n">
        <v>93</v>
      </c>
      <c r="B94" t="inlineStr">
        <is>
          <t>MAT-FLANGE-L-30X30X3-CT38-L-6-M</t>
        </is>
      </c>
      <c r="C94" t="inlineStr">
        <is>
          <t>THÉP_BÍCH_GÓC</t>
        </is>
      </c>
      <c r="D94" t="inlineStr">
        <is>
          <t>L 30x30x3 CT38 L = 6 m</t>
        </is>
      </c>
      <c r="E94" t="inlineStr">
        <is>
          <t>m</t>
        </is>
      </c>
      <c r="F94" t="inlineStr"/>
      <c r="G94" t="inlineStr">
        <is>
          <t>Vat tu tôn!R14C37</t>
        </is>
      </c>
    </row>
    <row r="95">
      <c r="A95" t="n">
        <v>94</v>
      </c>
      <c r="B95" t="inlineStr">
        <is>
          <t>MAT-FLANGE-L-40X40X4-CT39-L-6-M</t>
        </is>
      </c>
      <c r="C95" t="inlineStr">
        <is>
          <t>THÉP_BÍCH_GÓC</t>
        </is>
      </c>
      <c r="D95" t="inlineStr">
        <is>
          <t>L 40x40x4 CT39 L = 6 m</t>
        </is>
      </c>
      <c r="E95" t="inlineStr">
        <is>
          <t>m</t>
        </is>
      </c>
      <c r="F95" t="inlineStr"/>
      <c r="G95" t="inlineStr">
        <is>
          <t>Vat tu tôn!R15C37</t>
        </is>
      </c>
    </row>
    <row r="96">
      <c r="A96" t="n">
        <v>95</v>
      </c>
      <c r="B96" t="inlineStr">
        <is>
          <t>MAT-FLANGE-L-50X50X4-CT40-L-6-M</t>
        </is>
      </c>
      <c r="C96" t="inlineStr">
        <is>
          <t>THÉP_BÍCH_GÓC</t>
        </is>
      </c>
      <c r="D96" t="inlineStr">
        <is>
          <t>L 50x50x4 CT40 L = 6 m</t>
        </is>
      </c>
      <c r="E96" t="inlineStr">
        <is>
          <t>m</t>
        </is>
      </c>
      <c r="F96" t="inlineStr"/>
      <c r="G96" t="inlineStr">
        <is>
          <t>Vat tu tôn!R16C37</t>
        </is>
      </c>
    </row>
    <row r="97">
      <c r="A97" t="n">
        <v>96</v>
      </c>
      <c r="B97" t="inlineStr">
        <is>
          <t>MAT-INSUL-LUOI-NHUA</t>
        </is>
      </c>
      <c r="C97" t="inlineStr">
        <is>
          <t>VẬT_LIỆU_TIÊU_ÂM</t>
        </is>
      </c>
      <c r="D97" t="inlineStr">
        <is>
          <t>Lưới nhựa</t>
        </is>
      </c>
      <c r="E97" t="inlineStr">
        <is>
          <t>m2</t>
        </is>
      </c>
      <c r="F97" t="inlineStr"/>
      <c r="G97" t="inlineStr">
        <is>
          <t>Vat tu tôn!R5C41</t>
        </is>
      </c>
    </row>
    <row r="98">
      <c r="A98" t="n">
        <v>97</v>
      </c>
      <c r="B98" t="inlineStr">
        <is>
          <t>MAT-INSUL-MOTOR-NENUTEC-THUY-SY-300X300</t>
        </is>
      </c>
      <c r="C98" t="inlineStr">
        <is>
          <t>VẬT_LIỆU_TIÊU_ÂM</t>
        </is>
      </c>
      <c r="D98" t="inlineStr">
        <is>
          <t>Motor NENUTEC - THỤY SỸ &lt;300x300</t>
        </is>
      </c>
      <c r="E98" t="inlineStr">
        <is>
          <t>cái</t>
        </is>
      </c>
      <c r="F98" t="inlineStr"/>
      <c r="G98" t="inlineStr">
        <is>
          <t>Vat tu tôn!R6C41</t>
        </is>
      </c>
    </row>
    <row r="99">
      <c r="A99" t="n">
        <v>98</v>
      </c>
      <c r="B99" t="inlineStr">
        <is>
          <t>MAT-INSUL-MOTOR-NENUTEC-THUY-SY-300X300</t>
        </is>
      </c>
      <c r="C99" t="inlineStr">
        <is>
          <t>VẬT_LIỆU_TIÊU_ÂM</t>
        </is>
      </c>
      <c r="D99" t="inlineStr">
        <is>
          <t>Motor NENUTEC - THỤY SỸ &gt;300x300</t>
        </is>
      </c>
      <c r="E99" t="inlineStr">
        <is>
          <t>cái</t>
        </is>
      </c>
      <c r="F99" t="inlineStr"/>
      <c r="G99" t="inlineStr">
        <is>
          <t>Vat tu tôn!R7C41</t>
        </is>
      </c>
    </row>
    <row r="100">
      <c r="A100" t="n">
        <v>99</v>
      </c>
      <c r="B100" t="inlineStr">
        <is>
          <t>MAT-INSUL-MOTOR-NENUTEC-THUY-SY-1M2</t>
        </is>
      </c>
      <c r="C100" t="inlineStr">
        <is>
          <t>VẬT_LIỆU_TIÊU_ÂM</t>
        </is>
      </c>
      <c r="D100" t="inlineStr">
        <is>
          <t>Motor NENUTEC - THỤY SỸ &gt;1m2</t>
        </is>
      </c>
      <c r="E100" t="inlineStr">
        <is>
          <t>cái</t>
        </is>
      </c>
      <c r="F100" t="inlineStr"/>
      <c r="G100" t="inlineStr">
        <is>
          <t>Vat tu tôn!R8C41</t>
        </is>
      </c>
    </row>
    <row r="101">
      <c r="A101" t="n">
        <v>100</v>
      </c>
      <c r="B101" t="inlineStr">
        <is>
          <t>MAT-INSUL-MOTOR-VAN-DAP-LUA-CAM-BIEN</t>
        </is>
      </c>
      <c r="C101" t="inlineStr">
        <is>
          <t>VẬT_LIỆU_TIÊU_ÂM</t>
        </is>
      </c>
      <c r="D101" t="inlineStr">
        <is>
          <t>Motor van dập lửa + cảm biến</t>
        </is>
      </c>
      <c r="E101" t="inlineStr">
        <is>
          <t>m2</t>
        </is>
      </c>
      <c r="F101" t="inlineStr"/>
      <c r="G101" t="inlineStr">
        <is>
          <t>Vat tu tôn!R9C41</t>
        </is>
      </c>
    </row>
    <row r="102">
      <c r="A102" t="n">
        <v>101</v>
      </c>
      <c r="B102" t="inlineStr">
        <is>
          <t>MAT-INSUL-MOTOR-VAN-AP-SUAT</t>
        </is>
      </c>
      <c r="C102" t="inlineStr">
        <is>
          <t>VẬT_LIỆU_TIÊU_ÂM</t>
        </is>
      </c>
      <c r="D102" t="inlineStr">
        <is>
          <t>Motor van áp suất</t>
        </is>
      </c>
      <c r="E102" t="inlineStr">
        <is>
          <t>m2</t>
        </is>
      </c>
      <c r="F102" t="inlineStr"/>
      <c r="G102" t="inlineStr">
        <is>
          <t>Vat tu tôn!R10C41</t>
        </is>
      </c>
    </row>
    <row r="103">
      <c r="A103" t="n">
        <v>102</v>
      </c>
      <c r="B103" t="inlineStr">
        <is>
          <t>MAT-ALU-NAN-BD</t>
        </is>
      </c>
      <c r="C103" t="inlineStr">
        <is>
          <t>NHÔM_ĐỊNH_HÌNH</t>
        </is>
      </c>
      <c r="D103" t="inlineStr">
        <is>
          <t>Nhôm định hình NAN BD</t>
        </is>
      </c>
      <c r="E103" t="inlineStr">
        <is>
          <t>kg</t>
        </is>
      </c>
      <c r="F103" t="inlineStr">
        <is>
          <t>0.058 kg/m</t>
        </is>
      </c>
      <c r="G103" t="inlineStr">
        <is>
          <t>BG Cửa  (rút gọn)!R3C2</t>
        </is>
      </c>
    </row>
    <row r="104">
      <c r="A104" t="n">
        <v>103</v>
      </c>
      <c r="B104" t="inlineStr">
        <is>
          <t>MAT-ALU-NAN-T</t>
        </is>
      </c>
      <c r="C104" t="inlineStr">
        <is>
          <t>NHÔM_ĐỊNH_HÌNH</t>
        </is>
      </c>
      <c r="D104" t="inlineStr">
        <is>
          <t>Nhôm định hình NAN T</t>
        </is>
      </c>
      <c r="E104" t="inlineStr">
        <is>
          <t>kg</t>
        </is>
      </c>
      <c r="F104" t="inlineStr">
        <is>
          <t>0.078 kg/m</t>
        </is>
      </c>
      <c r="G104" t="inlineStr">
        <is>
          <t>BG Cửa  (rút gọn)!R4C2</t>
        </is>
      </c>
    </row>
    <row r="105">
      <c r="A105" t="n">
        <v>104</v>
      </c>
      <c r="B105" t="inlineStr">
        <is>
          <t>MAT-ALU-KHUNG-BD</t>
        </is>
      </c>
      <c r="C105" t="inlineStr">
        <is>
          <t>NHÔM_ĐỊNH_HÌNH</t>
        </is>
      </c>
      <c r="D105" t="inlineStr">
        <is>
          <t>Nhôm định hình KHUNG BD</t>
        </is>
      </c>
      <c r="E105" t="inlineStr">
        <is>
          <t>kg</t>
        </is>
      </c>
      <c r="F105" t="inlineStr">
        <is>
          <t>0.2 kg/m</t>
        </is>
      </c>
      <c r="G105" t="inlineStr">
        <is>
          <t>BG Cửa  (rút gọn)!R5C2</t>
        </is>
      </c>
    </row>
    <row r="106">
      <c r="A106" t="n">
        <v>105</v>
      </c>
      <c r="B106" t="inlineStr">
        <is>
          <t>MAT-ALU-KHUNG-BD-Z-MONG</t>
        </is>
      </c>
      <c r="C106" t="inlineStr">
        <is>
          <t>NHÔM_ĐỊNH_HÌNH</t>
        </is>
      </c>
      <c r="D106" t="inlineStr">
        <is>
          <t>Nhôm định hình KHUNG BD+ Z MỎNG</t>
        </is>
      </c>
      <c r="E106" t="inlineStr">
        <is>
          <t>kg</t>
        </is>
      </c>
      <c r="F106" t="inlineStr">
        <is>
          <t>0.173 kg/m</t>
        </is>
      </c>
      <c r="G106" t="inlineStr">
        <is>
          <t>BG Cửa  (rút gọn)!R6C2</t>
        </is>
      </c>
    </row>
    <row r="107">
      <c r="A107" t="n">
        <v>106</v>
      </c>
      <c r="B107" t="inlineStr">
        <is>
          <t>MAT-ALU-NAN-Z-DAY</t>
        </is>
      </c>
      <c r="C107" t="inlineStr">
        <is>
          <t>NHÔM_ĐỊNH_HÌNH</t>
        </is>
      </c>
      <c r="D107" t="inlineStr">
        <is>
          <t>Nhôm định hình NAN Z DÀY</t>
        </is>
      </c>
      <c r="E107" t="inlineStr">
        <is>
          <t>kg</t>
        </is>
      </c>
      <c r="F107" t="inlineStr">
        <is>
          <t>0.217 kg/m</t>
        </is>
      </c>
      <c r="G107" t="inlineStr">
        <is>
          <t>BG Cửa  (rút gọn)!R7C2</t>
        </is>
      </c>
    </row>
    <row r="108">
      <c r="A108" t="n">
        <v>107</v>
      </c>
      <c r="B108" t="inlineStr">
        <is>
          <t>MAT-ALU-NAN-Z-MONG</t>
        </is>
      </c>
      <c r="C108" t="inlineStr">
        <is>
          <t>NHÔM_ĐỊNH_HÌNH</t>
        </is>
      </c>
      <c r="D108" t="inlineStr">
        <is>
          <t>Nhôm định hình NAN Z MỎNG</t>
        </is>
      </c>
      <c r="E108" t="inlineStr">
        <is>
          <t>kg</t>
        </is>
      </c>
      <c r="F108" t="inlineStr">
        <is>
          <t>0.16 kg/m</t>
        </is>
      </c>
      <c r="G108" t="inlineStr">
        <is>
          <t>BG Cửa  (rút gọn)!R8C2</t>
        </is>
      </c>
    </row>
    <row r="109">
      <c r="A109" t="n">
        <v>108</v>
      </c>
      <c r="B109" t="inlineStr">
        <is>
          <t>MAT-ALU-KHUNG-Z-2-LOP</t>
        </is>
      </c>
      <c r="C109" t="inlineStr">
        <is>
          <t>NHÔM_ĐỊNH_HÌNH</t>
        </is>
      </c>
      <c r="D109" t="inlineStr">
        <is>
          <t>Nhôm định hình KHUNG Z+2 LỚP</t>
        </is>
      </c>
      <c r="E109" t="inlineStr">
        <is>
          <t>kg</t>
        </is>
      </c>
      <c r="F109" t="inlineStr">
        <is>
          <t>0.227 kg/m</t>
        </is>
      </c>
      <c r="G109" t="inlineStr">
        <is>
          <t>BG Cửa  (rút gọn)!R9C2</t>
        </is>
      </c>
    </row>
    <row r="110">
      <c r="A110" t="n">
        <v>109</v>
      </c>
      <c r="B110" t="inlineStr">
        <is>
          <t>MAT-ALU-NAN-OBD</t>
        </is>
      </c>
      <c r="C110" t="inlineStr">
        <is>
          <t>NHÔM_ĐỊNH_HÌNH</t>
        </is>
      </c>
      <c r="D110" t="inlineStr">
        <is>
          <t>Nhôm định hình NAN OBD</t>
        </is>
      </c>
      <c r="E110" t="inlineStr">
        <is>
          <t>kg</t>
        </is>
      </c>
      <c r="F110" t="inlineStr">
        <is>
          <t>0.11 kg/m</t>
        </is>
      </c>
      <c r="G110" t="inlineStr">
        <is>
          <t>BG Cửa  (rút gọn)!R10C2</t>
        </is>
      </c>
    </row>
    <row r="111">
      <c r="A111" t="n">
        <v>110</v>
      </c>
      <c r="B111" t="inlineStr">
        <is>
          <t>MAT-ALU-KHUNG-OBD</t>
        </is>
      </c>
      <c r="C111" t="inlineStr">
        <is>
          <t>NHÔM_ĐỊNH_HÌNH</t>
        </is>
      </c>
      <c r="D111" t="inlineStr">
        <is>
          <t>Nhôm định hình KHUNG OBD</t>
        </is>
      </c>
      <c r="E111" t="inlineStr">
        <is>
          <t>kg</t>
        </is>
      </c>
      <c r="F111" t="inlineStr">
        <is>
          <t>0.158 kg/m</t>
        </is>
      </c>
      <c r="G111" t="inlineStr">
        <is>
          <t>BG Cửa  (rút gọn)!R11C2</t>
        </is>
      </c>
    </row>
    <row r="112">
      <c r="A112" t="n">
        <v>111</v>
      </c>
      <c r="B112" t="inlineStr">
        <is>
          <t>MAT-ALU-NAN-BD-EUS02</t>
        </is>
      </c>
      <c r="C112" t="inlineStr">
        <is>
          <t>NHÔM_ĐỊNH_HÌNH</t>
        </is>
      </c>
      <c r="D112" t="inlineStr">
        <is>
          <t>Nhôm định hình NAN BD EUS 02</t>
        </is>
      </c>
      <c r="E112" t="inlineStr">
        <is>
          <t>kg</t>
        </is>
      </c>
      <c r="F112" t="inlineStr">
        <is>
          <t>0.071 kg/m</t>
        </is>
      </c>
      <c r="G112" t="inlineStr">
        <is>
          <t>BG Cửa  (rút gọn)!R14C2</t>
        </is>
      </c>
    </row>
    <row r="113">
      <c r="A113" t="n">
        <v>112</v>
      </c>
      <c r="B113" t="inlineStr">
        <is>
          <t>MAT-ALU-KHUNG-BD-EUS01</t>
        </is>
      </c>
      <c r="C113" t="inlineStr">
        <is>
          <t>NHÔM_ĐỊNH_HÌNH</t>
        </is>
      </c>
      <c r="D113" t="inlineStr">
        <is>
          <t>Nhôm định hình KHUNG BD EUS 01</t>
        </is>
      </c>
      <c r="E113" t="inlineStr">
        <is>
          <t>kg</t>
        </is>
      </c>
      <c r="F113" t="inlineStr">
        <is>
          <t>0.206 kg/m</t>
        </is>
      </c>
      <c r="G113" t="inlineStr">
        <is>
          <t>BG Cửa  (rút gọn)!R15C2</t>
        </is>
      </c>
    </row>
    <row r="114">
      <c r="A114" t="n">
        <v>113</v>
      </c>
      <c r="B114" t="inlineStr">
        <is>
          <t>MAT-ALU-NAN-Z-EUS05</t>
        </is>
      </c>
      <c r="C114" t="inlineStr">
        <is>
          <t>NHÔM_ĐỊNH_HÌNH</t>
        </is>
      </c>
      <c r="D114" t="inlineStr">
        <is>
          <t>Nhôm định hình NAN Z EUS 05</t>
        </is>
      </c>
      <c r="E114" t="inlineStr">
        <is>
          <t>kg</t>
        </is>
      </c>
      <c r="F114" t="inlineStr">
        <is>
          <t>0.162 kg/m</t>
        </is>
      </c>
      <c r="G114" t="inlineStr">
        <is>
          <t>BG Cửa  (rút gọn)!R16C2</t>
        </is>
      </c>
    </row>
    <row r="115">
      <c r="A115" t="n">
        <v>114</v>
      </c>
      <c r="B115" t="inlineStr">
        <is>
          <t>MAT-ALU-KHUNG-Z-EUS03</t>
        </is>
      </c>
      <c r="C115" t="inlineStr">
        <is>
          <t>NHÔM_ĐỊNH_HÌNH</t>
        </is>
      </c>
      <c r="D115" t="inlineStr">
        <is>
          <t>Nhôm định hình KHUNG Z EUS 03</t>
        </is>
      </c>
      <c r="E115" t="inlineStr">
        <is>
          <t>kg</t>
        </is>
      </c>
      <c r="F115" t="inlineStr">
        <is>
          <t>0.247 kg/m</t>
        </is>
      </c>
      <c r="G115" t="inlineStr">
        <is>
          <t>BG Cửa  (rút gọn)!R17C2</t>
        </is>
      </c>
    </row>
    <row r="116">
      <c r="A116" t="n">
        <v>115</v>
      </c>
      <c r="B116" t="inlineStr">
        <is>
          <t>MAT-ALU-NAN-OBD-EUS20</t>
        </is>
      </c>
      <c r="C116" t="inlineStr">
        <is>
          <t>NHÔM_ĐỊNH_HÌNH</t>
        </is>
      </c>
      <c r="D116" t="inlineStr">
        <is>
          <t>Nhôm định hình NAN OBD EUS 20</t>
        </is>
      </c>
      <c r="E116" t="inlineStr">
        <is>
          <t>kg</t>
        </is>
      </c>
      <c r="F116" t="inlineStr">
        <is>
          <t>0.094 kg/m</t>
        </is>
      </c>
      <c r="G116" t="inlineStr">
        <is>
          <t>BG Cửa  (rút gọn)!R18C2</t>
        </is>
      </c>
    </row>
    <row r="117">
      <c r="A117" t="n">
        <v>116</v>
      </c>
      <c r="B117" t="inlineStr">
        <is>
          <t>MAT-ALU-KHUNG-OBD-EUS10</t>
        </is>
      </c>
      <c r="C117" t="inlineStr">
        <is>
          <t>NHÔM_ĐỊNH_HÌNH</t>
        </is>
      </c>
      <c r="D117" t="inlineStr">
        <is>
          <t>Nhôm định hình KHUNG OBD EUS 10</t>
        </is>
      </c>
      <c r="E117" t="inlineStr">
        <is>
          <t>kg</t>
        </is>
      </c>
      <c r="F117" t="inlineStr">
        <is>
          <t>0.141 kg/m</t>
        </is>
      </c>
      <c r="G117" t="inlineStr">
        <is>
          <t>BG Cửa  (rút gọn)!R19C2</t>
        </is>
      </c>
    </row>
    <row r="118">
      <c r="A118" t="n">
        <v>117</v>
      </c>
      <c r="B118" t="inlineStr">
        <is>
          <t>MAT-PAINT-POWDER</t>
        </is>
      </c>
      <c r="C118" t="inlineStr">
        <is>
          <t>SƠN_TĨNH_ĐIỆN</t>
        </is>
      </c>
      <c r="D118" t="inlineStr">
        <is>
          <t>Sơn tĩnh điện tiêu chuẩn Polyester</t>
        </is>
      </c>
      <c r="E118" t="inlineStr">
        <is>
          <t>m2</t>
        </is>
      </c>
      <c r="F118" t="inlineStr"/>
      <c r="G118" t="inlineStr">
        <is>
          <t>BG Cửa  (rút gọn)!R32C21</t>
        </is>
      </c>
    </row>
    <row r="119">
      <c r="A119" t="n">
        <v>118</v>
      </c>
      <c r="B119" t="inlineStr">
        <is>
          <t>MAT-DOOR-ACCESSORY</t>
        </is>
      </c>
      <c r="C119" t="inlineStr">
        <is>
          <t>PHỤ_KIỆN_CỬA</t>
        </is>
      </c>
      <c r="D119" t="inlineStr">
        <is>
          <t>Phụ kiện lắp ghép / Ke góc cửa gió</t>
        </is>
      </c>
      <c r="E119" t="inlineStr">
        <is>
          <t>Bộ</t>
        </is>
      </c>
      <c r="F119" t="inlineStr"/>
      <c r="G119" t="inlineStr">
        <is>
          <t>BG Cửa  (rút gọn)!R34C20</t>
        </is>
      </c>
    </row>
    <row r="120">
      <c r="A120" t="n">
        <v>119</v>
      </c>
      <c r="B120" t="inlineStr">
        <is>
          <t>MAT-ACTUATOR-NACA-2-05</t>
        </is>
      </c>
      <c r="C120" t="inlineStr">
        <is>
          <t>ĐỘNG_CƠ_VÀ_CẢM_BIẾN</t>
        </is>
      </c>
      <c r="D120" t="inlineStr">
        <is>
          <t>Model: NACA 2-05  ( 220VAC, On/Off )</t>
        </is>
      </c>
      <c r="E120" t="inlineStr">
        <is>
          <t>Cái</t>
        </is>
      </c>
      <c r="F120" t="inlineStr"/>
      <c r="G120" t="inlineStr">
        <is>
          <t>VT van!R16C3</t>
        </is>
      </c>
    </row>
    <row r="121">
      <c r="A121" t="n">
        <v>120</v>
      </c>
      <c r="B121" t="inlineStr">
        <is>
          <t>MAT-ACTUATOR-NACA-2-10</t>
        </is>
      </c>
      <c r="C121" t="inlineStr">
        <is>
          <t>ĐỘNG_CƠ_VÀ_CẢM_BIẾN</t>
        </is>
      </c>
      <c r="D121" t="inlineStr">
        <is>
          <t>Model: NACA 2-10   ( 220VAC, On/Off )</t>
        </is>
      </c>
      <c r="E121" t="inlineStr">
        <is>
          <t>Cái</t>
        </is>
      </c>
      <c r="F121" t="inlineStr"/>
      <c r="G121" t="inlineStr">
        <is>
          <t>VT van!R17C3</t>
        </is>
      </c>
    </row>
    <row r="122">
      <c r="A122" t="n">
        <v>121</v>
      </c>
      <c r="B122" t="inlineStr">
        <is>
          <t>MAT-ACTUATOR-NACA-2-20</t>
        </is>
      </c>
      <c r="C122" t="inlineStr">
        <is>
          <t>ĐỘNG_CƠ_VÀ_CẢM_BIẾN</t>
        </is>
      </c>
      <c r="D122" t="inlineStr">
        <is>
          <t>Model: NACA 2-20   ( 220VAC, On/Off )</t>
        </is>
      </c>
      <c r="E122" t="inlineStr">
        <is>
          <t>Cái</t>
        </is>
      </c>
      <c r="F122" t="inlineStr"/>
      <c r="G122" t="inlineStr">
        <is>
          <t>VT van!R18C3</t>
        </is>
      </c>
    </row>
    <row r="123">
      <c r="A123" t="n">
        <v>122</v>
      </c>
      <c r="B123" t="inlineStr">
        <is>
          <t>MAT-ACTUATOR-NACA-2-40</t>
        </is>
      </c>
      <c r="C123" t="inlineStr">
        <is>
          <t>ĐỘNG_CƠ_VÀ_CẢM_BIẾN</t>
        </is>
      </c>
      <c r="D123" t="inlineStr">
        <is>
          <t>Model: NACA 2-40   ( 220VAC, On/Off )</t>
        </is>
      </c>
      <c r="E123" t="inlineStr">
        <is>
          <t>Cái</t>
        </is>
      </c>
      <c r="F123" t="inlineStr"/>
      <c r="G123" t="inlineStr">
        <is>
          <t>VT van!R19C3</t>
        </is>
      </c>
    </row>
    <row r="124">
      <c r="A124" t="n">
        <v>123</v>
      </c>
      <c r="B124" t="inlineStr">
        <is>
          <t>MAT-ACTUATOR-NTC-831</t>
        </is>
      </c>
      <c r="C124" t="inlineStr">
        <is>
          <t>ĐỘNG_CƠ_VÀ_CẢM_BIẾN</t>
        </is>
      </c>
      <c r="D124" t="inlineStr">
        <is>
          <t>Model: NTC 831</t>
        </is>
      </c>
      <c r="E124" t="inlineStr">
        <is>
          <t>Cái</t>
        </is>
      </c>
      <c r="F124" t="inlineStr"/>
      <c r="G124" t="inlineStr">
        <is>
          <t>VT van!R21C3</t>
        </is>
      </c>
    </row>
    <row r="125">
      <c r="A125" t="n">
        <v>124</v>
      </c>
      <c r="B125" t="inlineStr">
        <is>
          <t>MAT-ACTUATOR-NACM-1-2-05</t>
        </is>
      </c>
      <c r="C125" t="inlineStr">
        <is>
          <t>ĐỘNG_CƠ_VÀ_CẢM_BIẾN</t>
        </is>
      </c>
      <c r="D125" t="inlineStr">
        <is>
          <t>Model: NACM 1.2-05  ( Modulating )</t>
        </is>
      </c>
      <c r="E125" t="inlineStr">
        <is>
          <t>Cái</t>
        </is>
      </c>
      <c r="F125" t="inlineStr"/>
      <c r="G125" t="inlineStr">
        <is>
          <t>VT van!R23C3</t>
        </is>
      </c>
    </row>
    <row r="126">
      <c r="A126" t="n">
        <v>125</v>
      </c>
      <c r="B126" t="inlineStr">
        <is>
          <t>MAT-ACTUATOR-NACM-1-1-10</t>
        </is>
      </c>
      <c r="C126" t="inlineStr">
        <is>
          <t>ĐỘNG_CƠ_VÀ_CẢM_BIẾN</t>
        </is>
      </c>
      <c r="D126" t="inlineStr">
        <is>
          <t>Model: NACM 1.1-10  ( Modulating )</t>
        </is>
      </c>
      <c r="E126" t="inlineStr">
        <is>
          <t>Cái</t>
        </is>
      </c>
      <c r="F126" t="inlineStr"/>
      <c r="G126" t="inlineStr">
        <is>
          <t>VT van!R24C3</t>
        </is>
      </c>
    </row>
    <row r="127">
      <c r="A127" t="n">
        <v>126</v>
      </c>
      <c r="B127" t="inlineStr">
        <is>
          <t>MAT-ACTUATOR-NACM-1-1-20</t>
        </is>
      </c>
      <c r="C127" t="inlineStr">
        <is>
          <t>ĐỘNG_CƠ_VÀ_CẢM_BIẾN</t>
        </is>
      </c>
      <c r="D127" t="inlineStr">
        <is>
          <t>Model: NACM 1.1-20  ( Modulating )</t>
        </is>
      </c>
      <c r="E127" t="inlineStr">
        <is>
          <t>Cái</t>
        </is>
      </c>
      <c r="F127" t="inlineStr"/>
      <c r="G127" t="inlineStr">
        <is>
          <t>VT van!R25C3</t>
        </is>
      </c>
    </row>
    <row r="128">
      <c r="A128" t="n">
        <v>127</v>
      </c>
      <c r="B128" t="inlineStr">
        <is>
          <t>MAT-ACTUATOR-NACM-1-1-40</t>
        </is>
      </c>
      <c r="C128" t="inlineStr">
        <is>
          <t>ĐỘNG_CƠ_VÀ_CẢM_BIẾN</t>
        </is>
      </c>
      <c r="D128" t="inlineStr">
        <is>
          <t>Model: NACM 1.1-40  ( Modulating )</t>
        </is>
      </c>
      <c r="E128" t="inlineStr">
        <is>
          <t>Cái</t>
        </is>
      </c>
      <c r="F128" t="inlineStr"/>
      <c r="G128" t="inlineStr">
        <is>
          <t>VT van!R26C3</t>
        </is>
      </c>
    </row>
    <row r="129">
      <c r="A129" t="n">
        <v>128</v>
      </c>
      <c r="B129" t="inlineStr">
        <is>
          <t>MAT-ACTUATOR-MODEL-NPG-1-DIEU-KHI</t>
        </is>
      </c>
      <c r="C129" t="inlineStr">
        <is>
          <t>ĐỘNG_CƠ_VÀ_CẢM_BIẾN</t>
        </is>
      </c>
      <c r="D129" t="inlineStr">
        <is>
          <t>Model: NPG-1 ( Điều khiển cửa gió theo % đóng mở )</t>
        </is>
      </c>
      <c r="E129" t="inlineStr">
        <is>
          <t>Cái</t>
        </is>
      </c>
      <c r="F129" t="inlineStr"/>
      <c r="G129" t="inlineStr">
        <is>
          <t>VT van!R28C3</t>
        </is>
      </c>
    </row>
    <row r="130">
      <c r="A130" t="n">
        <v>129</v>
      </c>
      <c r="B130" t="inlineStr">
        <is>
          <t>MAT-ACTUATOR-MODEL-NTC-843-DIEU-K</t>
        </is>
      </c>
      <c r="C130" t="inlineStr">
        <is>
          <t>ĐỘNG_CƠ_VÀ_CẢM_BIẾN</t>
        </is>
      </c>
      <c r="D130" t="inlineStr">
        <is>
          <t>Model: NTC-843 ( Điều khiển cửa gió theo nhiệt độ phòng )</t>
        </is>
      </c>
      <c r="E130" t="inlineStr">
        <is>
          <t>Cái</t>
        </is>
      </c>
      <c r="F130" t="inlineStr"/>
      <c r="G130" t="inlineStr">
        <is>
          <t>VT van!R29C3</t>
        </is>
      </c>
    </row>
    <row r="131">
      <c r="A131" t="n">
        <v>130</v>
      </c>
      <c r="B131" t="inlineStr">
        <is>
          <t>MAT-ACTUATOR-SAFA-1-05S</t>
        </is>
      </c>
      <c r="C131" t="inlineStr">
        <is>
          <t>ĐỘNG_CƠ_VÀ_CẢM_BIẾN</t>
        </is>
      </c>
      <c r="D131" t="inlineStr">
        <is>
          <t>SAFA - 1 - 05S ( 24VAC/DC ) - Không có cảm biến</t>
        </is>
      </c>
      <c r="E131" t="inlineStr">
        <is>
          <t>Cái</t>
        </is>
      </c>
      <c r="F131" t="inlineStr"/>
      <c r="G131" t="inlineStr">
        <is>
          <t>VT van!R31C3</t>
        </is>
      </c>
    </row>
    <row r="132">
      <c r="A132" t="n">
        <v>131</v>
      </c>
      <c r="B132" t="inlineStr">
        <is>
          <t>MAT-ACTUATOR-SAFA-1-08S</t>
        </is>
      </c>
      <c r="C132" t="inlineStr">
        <is>
          <t>ĐỘNG_CƠ_VÀ_CẢM_BIẾN</t>
        </is>
      </c>
      <c r="D132" t="inlineStr">
        <is>
          <t>SAFA - 1 - 08S ( 24VAC/DC )  - Không có cảm biến</t>
        </is>
      </c>
      <c r="E132" t="inlineStr">
        <is>
          <t>Cái</t>
        </is>
      </c>
      <c r="F132" t="inlineStr"/>
      <c r="G132" t="inlineStr">
        <is>
          <t>VT van!R32C3</t>
        </is>
      </c>
    </row>
    <row r="133">
      <c r="A133" t="n">
        <v>132</v>
      </c>
      <c r="B133" t="inlineStr">
        <is>
          <t>MAT-ACTUATOR-SAFA-2-05S</t>
        </is>
      </c>
      <c r="C133" t="inlineStr">
        <is>
          <t>ĐỘNG_CƠ_VÀ_CẢM_BIẾN</t>
        </is>
      </c>
      <c r="D133" t="inlineStr">
        <is>
          <t>SAFA - 2 - 05S ( 220VAC  )  - Không có cảm biến</t>
        </is>
      </c>
      <c r="E133" t="inlineStr">
        <is>
          <t>Cái</t>
        </is>
      </c>
      <c r="F133" t="inlineStr"/>
      <c r="G133" t="inlineStr">
        <is>
          <t>VT van!R33C3</t>
        </is>
      </c>
    </row>
    <row r="134">
      <c r="A134" t="n">
        <v>133</v>
      </c>
      <c r="B134" t="inlineStr">
        <is>
          <t>MAT-ACTUATOR-SAFA-2-08S</t>
        </is>
      </c>
      <c r="C134" t="inlineStr">
        <is>
          <t>ĐỘNG_CƠ_VÀ_CẢM_BIẾN</t>
        </is>
      </c>
      <c r="D134" t="inlineStr">
        <is>
          <t>SAFA - 2 - 08S ( 220VAC  )  - Không có cảm biến</t>
        </is>
      </c>
      <c r="E134" t="inlineStr">
        <is>
          <t>Cái</t>
        </is>
      </c>
      <c r="F134" t="inlineStr"/>
      <c r="G134" t="inlineStr">
        <is>
          <t>VT van!R34C3</t>
        </is>
      </c>
    </row>
    <row r="135">
      <c r="A135" t="n">
        <v>134</v>
      </c>
      <c r="B135" t="inlineStr">
        <is>
          <t>MAT-ACTUATOR-CAM-BIEN-NHIET-BANG-</t>
        </is>
      </c>
      <c r="C135" t="inlineStr">
        <is>
          <t>ĐỘNG_CƠ_VÀ_CẢM_BIẾN</t>
        </is>
      </c>
      <c r="D135" t="inlineStr">
        <is>
          <t>Cảm biến nhiệt bằng điện gắn với Motor dùng cho fire damper</t>
        </is>
      </c>
      <c r="E135" t="inlineStr">
        <is>
          <t>Cái</t>
        </is>
      </c>
      <c r="F135" t="inlineStr"/>
      <c r="G135" t="inlineStr">
        <is>
          <t>VT van!R35C3</t>
        </is>
      </c>
    </row>
    <row r="136">
      <c r="A136" t="n">
        <v>135</v>
      </c>
      <c r="B136" t="inlineStr">
        <is>
          <t>MAT-ACTUATOR-MODEL-B</t>
        </is>
      </c>
      <c r="C136" t="inlineStr">
        <is>
          <t>ĐỘNG_CƠ_VÀ_CẢM_BIẾN</t>
        </is>
      </c>
      <c r="D136" t="inlineStr">
        <is>
          <t>Model: B (165ºF) ( Loại nhỏ )</t>
        </is>
      </c>
      <c r="E136" t="inlineStr">
        <is>
          <t>Cái</t>
        </is>
      </c>
      <c r="F136" t="inlineStr"/>
      <c r="G136" t="inlineStr">
        <is>
          <t>VT van!R37C3</t>
        </is>
      </c>
    </row>
    <row r="137">
      <c r="A137" t="n">
        <v>136</v>
      </c>
      <c r="B137" t="inlineStr">
        <is>
          <t>MAT-ACTUATOR-MODEL-A</t>
        </is>
      </c>
      <c r="C137" t="inlineStr">
        <is>
          <t>ĐỘNG_CƠ_VÀ_CẢM_BIẾN</t>
        </is>
      </c>
      <c r="D137" t="inlineStr">
        <is>
          <t>Model: A (165ºF) ( Loại lớn )</t>
        </is>
      </c>
      <c r="E137" t="inlineStr">
        <is>
          <t>Cái</t>
        </is>
      </c>
      <c r="F137" t="inlineStr"/>
      <c r="G137" t="inlineStr">
        <is>
          <t>VT van!R38C3</t>
        </is>
      </c>
    </row>
    <row r="138">
      <c r="A138" t="n">
        <v>137</v>
      </c>
      <c r="B138" t="inlineStr">
        <is>
          <t>MAT-INSUL-BONG-THUY-TINH-KHONG-MAT-12</t>
        </is>
      </c>
      <c r="C138" t="inlineStr">
        <is>
          <t>VẬT_LIỆU_TIÊU_ÂM</t>
        </is>
      </c>
      <c r="D138" t="inlineStr">
        <is>
          <t>Bông thuỷ tinh không mặt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âm!R12C2</t>
        </is>
      </c>
    </row>
    <row r="139">
      <c r="A139" t="n">
        <v>138</v>
      </c>
      <c r="B139" t="inlineStr">
        <is>
          <t>MAT-INSUL-BONG-THUY-TINH-CO-BAC-T12-13</t>
        </is>
      </c>
      <c r="C139" t="inlineStr">
        <is>
          <t>VẬT_LIỆU_TIÊU_ÂM</t>
        </is>
      </c>
      <c r="D139" t="inlineStr">
        <is>
          <t>Bông thuỷ tinh có bạc T12 D50 - Chiều dày 50mm, khổ rộng 1,2m dài 30m. Tổng 36m2/cuộn. Tỷ trọng 12kg/m3</t>
        </is>
      </c>
      <c r="E139" t="inlineStr">
        <is>
          <t>m2</t>
        </is>
      </c>
      <c r="F139" t="inlineStr"/>
      <c r="G139" t="inlineStr">
        <is>
          <t>VT tiêu âm!R13C2</t>
        </is>
      </c>
    </row>
    <row r="140">
      <c r="A140" t="n">
        <v>139</v>
      </c>
      <c r="B140" t="inlineStr">
        <is>
          <t>MAT-INSUL-BONG-THUY-TINH-KHONG-MAT-14</t>
        </is>
      </c>
      <c r="C140" t="inlineStr">
        <is>
          <t>VẬT_LIỆU_TIÊU_ÂM</t>
        </is>
      </c>
      <c r="D140" t="inlineStr">
        <is>
          <t>Bông thuỷ tinh không mặt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âm!R14C2</t>
        </is>
      </c>
    </row>
    <row r="141">
      <c r="A141" t="n">
        <v>140</v>
      </c>
      <c r="B141" t="inlineStr">
        <is>
          <t>MAT-INSUL-BONG-THUY-TINH-CO-BAC-T24-15</t>
        </is>
      </c>
      <c r="C141" t="inlineStr">
        <is>
          <t>VẬT_LIỆU_TIÊU_ÂM</t>
        </is>
      </c>
      <c r="D141" t="inlineStr">
        <is>
          <t>Bông thuỷ tinh có bạc T24 D50 - Chiều dày 50mm, khổ rộng 1,2m dài 20m. Tổng 24m2/cuộn. Tỷ trọng 24kg/m3</t>
        </is>
      </c>
      <c r="E141" t="inlineStr">
        <is>
          <t>m2</t>
        </is>
      </c>
      <c r="F141" t="inlineStr"/>
      <c r="G141" t="inlineStr">
        <is>
          <t>VT tiêu âm!R15C2</t>
        </is>
      </c>
    </row>
    <row r="142">
      <c r="A142" t="n">
        <v>141</v>
      </c>
      <c r="B142" t="inlineStr">
        <is>
          <t>MAT-INSUL-BONG-THUY-TINH-KHONG-MAT-16</t>
        </is>
      </c>
      <c r="C142" t="inlineStr">
        <is>
          <t>VẬT_LIỆU_TIÊU_ÂM</t>
        </is>
      </c>
      <c r="D142" t="inlineStr">
        <is>
          <t>Bông thuỷ tinh không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âm!R16C2</t>
        </is>
      </c>
    </row>
    <row r="143">
      <c r="A143" t="n">
        <v>142</v>
      </c>
      <c r="B143" t="inlineStr">
        <is>
          <t>MAT-INSUL-BONG-THUY-TINH-CO-MAT-BAC-17</t>
        </is>
      </c>
      <c r="C143" t="inlineStr">
        <is>
          <t>VẬT_LIỆU_TIÊU_ÂM</t>
        </is>
      </c>
      <c r="D143" t="inlineStr">
        <is>
          <t>Bông thuỷ tinh có mặt bạc T32 D50 - Chiều dày 50mm, khổ rộng 1,2m dài 15m. Tổng 18m2/cuộn. Tỷ trọng 32kg/m3</t>
        </is>
      </c>
      <c r="E143" t="inlineStr">
        <is>
          <t>m2</t>
        </is>
      </c>
      <c r="F143" t="inlineStr"/>
      <c r="G143" t="inlineStr">
        <is>
          <t>VT tiêu âm!R17C2</t>
        </is>
      </c>
    </row>
    <row r="144">
      <c r="A144" t="n">
        <v>143</v>
      </c>
      <c r="B144" t="inlineStr">
        <is>
          <t>MAT-INSUL-BONG-KHOANG-TAM-T40-19</t>
        </is>
      </c>
      <c r="C144" t="inlineStr">
        <is>
          <t>VẬT_LIỆU_TIÊU_ÂM</t>
        </is>
      </c>
      <c r="D144" t="inlineStr">
        <is>
          <t>Bông khoáng tấm T40 - Kích thước tấm: 50 x 600 x 1200mm - 1 Kiện gồm 06 tấm, tỷ trọng 40kg/m3</t>
        </is>
      </c>
      <c r="E144" t="inlineStr">
        <is>
          <t>kiện</t>
        </is>
      </c>
      <c r="F144" t="inlineStr"/>
      <c r="G144" t="inlineStr">
        <is>
          <t>VT tiêu âm!R19C2</t>
        </is>
      </c>
    </row>
    <row r="145">
      <c r="A145" t="n">
        <v>144</v>
      </c>
      <c r="B145" t="inlineStr">
        <is>
          <t>MAT-INSUL-BONG-KHOANG-TAM-T50-20</t>
        </is>
      </c>
      <c r="C145" t="inlineStr">
        <is>
          <t>VẬT_LIỆU_TIÊU_ÂM</t>
        </is>
      </c>
      <c r="D145" t="inlineStr">
        <is>
          <t>Bông khoáng tấm T50 - Kích thước tấm: 50 x 600 x 1200mm - 1 Kiện gồm 06 tấm, tỷ trọng 50kg/m3</t>
        </is>
      </c>
      <c r="E145" t="inlineStr">
        <is>
          <t>kiện</t>
        </is>
      </c>
      <c r="F145" t="inlineStr"/>
      <c r="G145" t="inlineStr">
        <is>
          <t>VT tiêu âm!R20C2</t>
        </is>
      </c>
    </row>
    <row r="146">
      <c r="A146" t="n">
        <v>145</v>
      </c>
      <c r="B146" t="inlineStr">
        <is>
          <t>MAT-INSUL-BONG-KHOANG-T60-D50-21</t>
        </is>
      </c>
      <c r="C146" t="inlineStr">
        <is>
          <t>VẬT_LIỆU_TIÊU_ÂM</t>
        </is>
      </c>
      <c r="D146" t="inlineStr">
        <is>
          <t>Bông khoáng T60 D50 - Kích thước tấm: 50 x 600 x 1200mm - 1 Kiện gồm 06 tấm, tỷ trọng 60kg/m3</t>
        </is>
      </c>
      <c r="E146" t="inlineStr">
        <is>
          <t>kiện</t>
        </is>
      </c>
      <c r="F146" t="inlineStr"/>
      <c r="G146" t="inlineStr">
        <is>
          <t>VT tiêu âm!R21C2</t>
        </is>
      </c>
    </row>
    <row r="147">
      <c r="A147" t="n">
        <v>146</v>
      </c>
      <c r="B147" t="inlineStr">
        <is>
          <t>MAT-INSUL-BONG-KHOANG-T80-D50-22</t>
        </is>
      </c>
      <c r="C147" t="inlineStr">
        <is>
          <t>VẬT_LIỆU_TIÊU_ÂM</t>
        </is>
      </c>
      <c r="D147" t="inlineStr">
        <is>
          <t>Bông khoáng T80 D50 - Kích thước tấm: 50 x 600 x 1200mm - 1 Kiện gồm 06 tấm, tỷ trọng 80kg/m3</t>
        </is>
      </c>
      <c r="E147" t="inlineStr">
        <is>
          <t>kiện</t>
        </is>
      </c>
      <c r="F147" t="inlineStr"/>
      <c r="G147" t="inlineStr">
        <is>
          <t>VT tiêu âm!R22C2</t>
        </is>
      </c>
    </row>
    <row r="148">
      <c r="A148" t="n">
        <v>147</v>
      </c>
      <c r="B148" t="inlineStr">
        <is>
          <t>MAT-INSUL-BONG-KHOANG-T100-D50-23</t>
        </is>
      </c>
      <c r="C148" t="inlineStr">
        <is>
          <t>VẬT_LIỆU_TIÊU_ÂM</t>
        </is>
      </c>
      <c r="D148" t="inlineStr">
        <is>
          <t>Bông khoáng T100 D50 - Kích thước tấm: 100 x 600 x 1200mm - 1 Kiện gồm 03 tấm, tỷ trọng 100kg/m3</t>
        </is>
      </c>
      <c r="E148" t="inlineStr">
        <is>
          <t>kiện</t>
        </is>
      </c>
      <c r="F148" t="inlineStr"/>
      <c r="G148" t="inlineStr">
        <is>
          <t>VT tiêu âm!R23C2</t>
        </is>
      </c>
    </row>
    <row r="149">
      <c r="A149" t="n">
        <v>148</v>
      </c>
      <c r="B149" t="inlineStr">
        <is>
          <t>MAT-INSUL-BONG-GOM-BAO-610-X7200-X-25</t>
        </is>
      </c>
      <c r="C149" t="inlineStr">
        <is>
          <t>VẬT_LIỆU_TIÊU_ÂM</t>
        </is>
      </c>
      <c r="D149" t="inlineStr">
        <is>
          <t>Bông gốm bao 610 x7200 x 25mm - Bông gốm dạng bao dài 7,2m, rộng 0,61 dày 25mm , chịu nhiệt 1000 độ</t>
        </is>
      </c>
      <c r="E149" t="inlineStr">
        <is>
          <t>bao</t>
        </is>
      </c>
      <c r="F149" t="inlineStr"/>
      <c r="G149" t="inlineStr">
        <is>
          <t>VT tiêu âm!R25C2</t>
        </is>
      </c>
    </row>
    <row r="150">
      <c r="A150" t="n">
        <v>149</v>
      </c>
      <c r="B150" t="inlineStr">
        <is>
          <t>MAT-INSUL-BONG-GOM-HOP-610-X7200-X-26</t>
        </is>
      </c>
      <c r="C150" t="inlineStr">
        <is>
          <t>VẬT_LIỆU_TIÊU_ÂM</t>
        </is>
      </c>
      <c r="D150" t="inlineStr">
        <is>
          <t>Bông gốm hộp  610 x7200 x 25mm T96 - Bông gốm dạng bao dài 7,2m, rộng 0,61 dày 25mm , chịu nhiệt 1260 độ . 6P</t>
        </is>
      </c>
      <c r="E150" t="inlineStr">
        <is>
          <t>hộp</t>
        </is>
      </c>
      <c r="F150" t="inlineStr"/>
      <c r="G150" t="inlineStr">
        <is>
          <t>VT tiêu âm!R26C2</t>
        </is>
      </c>
    </row>
    <row r="151">
      <c r="A151" t="n">
        <v>150</v>
      </c>
      <c r="B151" t="inlineStr">
        <is>
          <t>MAT-INSUL-BONG-GOM-HOP-610-X7200-X-27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1260 độ . 8P</t>
        </is>
      </c>
      <c r="E151" t="inlineStr">
        <is>
          <t>hộp</t>
        </is>
      </c>
      <c r="F151" t="inlineStr"/>
      <c r="G151" t="inlineStr">
        <is>
          <t>VT tiêu âm!R27C2</t>
        </is>
      </c>
    </row>
    <row r="152">
      <c r="A152" t="n">
        <v>151</v>
      </c>
      <c r="B152" t="inlineStr">
        <is>
          <t>MAT-INSUL-BONG-GOM-HOP-610-X7200-X-28</t>
        </is>
      </c>
      <c r="C152" t="inlineStr">
        <is>
          <t>VẬT_LIỆU_TIÊU_ÂM</t>
        </is>
      </c>
      <c r="D152" t="inlineStr">
        <is>
          <t>Bông gốm hộp  610 x7200 x 25mm T128 - Bông gốm dạng bao dài 7,2m, rộng 0,61 dày 25mm , chịu nhiệt 1430 độ</t>
        </is>
      </c>
      <c r="E152" t="inlineStr">
        <is>
          <t>hộp</t>
        </is>
      </c>
      <c r="F152" t="inlineStr"/>
      <c r="G152" t="inlineStr">
        <is>
          <t>VT tiêu âm!R28C2</t>
        </is>
      </c>
    </row>
    <row r="153">
      <c r="A153" t="n">
        <v>152</v>
      </c>
      <c r="B153" t="inlineStr">
        <is>
          <t>MAT-INSUL-BONG-GOM-DANG-TAM-600-X-9-29</t>
        </is>
      </c>
      <c r="C153" t="inlineStr">
        <is>
          <t>VẬT_LIỆU_TIÊU_ÂM</t>
        </is>
      </c>
      <c r="D153" t="inlineStr">
        <is>
          <t>Bông gốm dạng tấm 600 x 900 T340 - Hộp D25 = 4 tấm  - Hộp D50 = 2 tấm</t>
        </is>
      </c>
      <c r="E153" t="inlineStr">
        <is>
          <t>hộp</t>
        </is>
      </c>
      <c r="F153" t="inlineStr"/>
      <c r="G153" t="inlineStr">
        <is>
          <t>VT tiêu âm!R29C2</t>
        </is>
      </c>
    </row>
    <row r="154">
      <c r="A154" t="n">
        <v>153</v>
      </c>
      <c r="B154" t="inlineStr">
        <is>
          <t>MAT-INSUL-BONG-GOM-DANG-ROI-30</t>
        </is>
      </c>
      <c r="C154" t="inlineStr">
        <is>
          <t>VẬT_LIỆU_TIÊU_ÂM</t>
        </is>
      </c>
      <c r="D154" t="inlineStr">
        <is>
          <t>Bông gốm dạng rời</t>
        </is>
      </c>
      <c r="E154" t="inlineStr">
        <is>
          <t>hộp</t>
        </is>
      </c>
      <c r="F154" t="inlineStr"/>
      <c r="G154" t="inlineStr">
        <is>
          <t>VT tiêu âm!R30C2</t>
        </is>
      </c>
    </row>
    <row r="155">
      <c r="A155" t="n">
        <v>154</v>
      </c>
      <c r="B155" t="inlineStr">
        <is>
          <t>MAT-INSUL-MUT-TRUNG-3CM-KICH-THUOC-32</t>
        </is>
      </c>
      <c r="C155" t="inlineStr">
        <is>
          <t>VẬT_LIỆU_TIÊU_ÂM</t>
        </is>
      </c>
      <c r="D155" t="inlineStr">
        <is>
          <t>Mút trứng 3cm , kích thước tấm 1,6 x 2m</t>
        </is>
      </c>
      <c r="E155" t="inlineStr">
        <is>
          <t>tấm</t>
        </is>
      </c>
      <c r="F155" t="inlineStr"/>
      <c r="G155" t="inlineStr">
        <is>
          <t>VT tiêu âm!R32C2</t>
        </is>
      </c>
    </row>
    <row r="156">
      <c r="A156" t="n">
        <v>155</v>
      </c>
      <c r="B156" t="inlineStr">
        <is>
          <t>MAT-INSUL-MUT-TRUNG-5CM-KICH-THUOC-33</t>
        </is>
      </c>
      <c r="C156" t="inlineStr">
        <is>
          <t>VẬT_LIỆU_TIÊU_ÂM</t>
        </is>
      </c>
      <c r="D156" t="inlineStr">
        <is>
          <t>Mút trứng 5cm , kích thước tấm 1,6 x 2m</t>
        </is>
      </c>
      <c r="E156" t="inlineStr">
        <is>
          <t>tấm</t>
        </is>
      </c>
      <c r="F156" t="inlineStr"/>
      <c r="G156" t="inlineStr">
        <is>
          <t>VT tiêu âm!R33C2</t>
        </is>
      </c>
    </row>
    <row r="157">
      <c r="A157" t="n">
        <v>156</v>
      </c>
      <c r="B157" t="inlineStr">
        <is>
          <t>MAT-INSUL-MUT-GAI-5CM-KICH-THUOC-TA-34</t>
        </is>
      </c>
      <c r="C157" t="inlineStr">
        <is>
          <t>VẬT_LIỆU_TIÊU_ÂM</t>
        </is>
      </c>
      <c r="D157" t="inlineStr">
        <is>
          <t>Mút gai 5cm , kích thước tấm 1 x 1m</t>
        </is>
      </c>
      <c r="E157" t="inlineStr">
        <is>
          <t>tấm</t>
        </is>
      </c>
      <c r="F157" t="inlineStr"/>
      <c r="G157" t="inlineStr">
        <is>
          <t>VT tiêu âm!R34C2</t>
        </is>
      </c>
    </row>
    <row r="158">
      <c r="A158" t="n">
        <v>157</v>
      </c>
      <c r="B158" t="inlineStr">
        <is>
          <t>MAT-INSUL-XOP-XPS-DAY-25MM-KICH-THU-35</t>
        </is>
      </c>
      <c r="C158" t="inlineStr">
        <is>
          <t>VẬT_LIỆU_TIÊU_ÂM</t>
        </is>
      </c>
      <c r="D158" t="inlineStr">
        <is>
          <t>Xốp XPS . Dày 25mm kích thước tấm 600 x 1800</t>
        </is>
      </c>
      <c r="E158" t="inlineStr">
        <is>
          <t>m2</t>
        </is>
      </c>
      <c r="F158" t="inlineStr"/>
      <c r="G158" t="inlineStr">
        <is>
          <t>VT tiêu âm!R35C2</t>
        </is>
      </c>
    </row>
    <row r="159">
      <c r="A159" t="n">
        <v>158</v>
      </c>
      <c r="B159" t="inlineStr">
        <is>
          <t>MAT-INSUL-VAI-THUY-TINH-36</t>
        </is>
      </c>
      <c r="C159" t="inlineStr">
        <is>
          <t>VẬT_LIỆU_TIÊU_ÂM</t>
        </is>
      </c>
      <c r="D159" t="inlineStr">
        <is>
          <t>Vải thủy tinh</t>
        </is>
      </c>
      <c r="E159" t="inlineStr">
        <is>
          <t>kg</t>
        </is>
      </c>
      <c r="F159" t="inlineStr"/>
      <c r="G159" t="inlineStr">
        <is>
          <t>VT tiêu âm!R36C2</t>
        </is>
      </c>
    </row>
    <row r="160">
      <c r="A160" t="n">
        <v>159</v>
      </c>
      <c r="B160" t="inlineStr">
        <is>
          <t>MAT-INSUL-TON-LO-D6-38</t>
        </is>
      </c>
      <c r="C160" t="inlineStr">
        <is>
          <t>VẬT_LIỆU_TIÊU_ÂM</t>
        </is>
      </c>
      <c r="D160" t="inlineStr">
        <is>
          <t>Tôn lỗ D6</t>
        </is>
      </c>
      <c r="E160" t="inlineStr">
        <is>
          <t>tấm</t>
        </is>
      </c>
      <c r="F160" t="inlineStr"/>
      <c r="G160" t="inlineStr">
        <is>
          <t>VT tiêu âm!R38C2</t>
        </is>
      </c>
    </row>
    <row r="161">
      <c r="A161" t="n">
        <v>160</v>
      </c>
      <c r="B161" t="inlineStr">
        <is>
          <t>MAT-INSUL-TON-LO-D10-40</t>
        </is>
      </c>
      <c r="C161" t="inlineStr">
        <is>
          <t>VẬT_LIỆU_TIÊU_ÂM</t>
        </is>
      </c>
      <c r="D161" t="inlineStr">
        <is>
          <t>Tôn lỗ D10</t>
        </is>
      </c>
      <c r="E161" t="inlineStr">
        <is>
          <t>tấm</t>
        </is>
      </c>
      <c r="F161" t="inlineStr"/>
      <c r="G161" t="inlineStr">
        <is>
          <t>VT tiêu âm!R40C2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5" customWidth="1" min="3" max="3"/>
  </cols>
  <sheetData>
    <row r="1" ht="28" customHeight="1">
      <c r="A1" s="1" t="inlineStr">
        <is>
          <t>STT</t>
        </is>
      </c>
      <c r="B1" s="1" t="inlineStr">
        <is>
          <t>MAT_ID</t>
        </is>
      </c>
      <c r="C1" s="1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s="2" t="n">
        <v>26000</v>
      </c>
    </row>
    <row r="3">
      <c r="A3" t="n">
        <v>2</v>
      </c>
      <c r="B3" t="inlineStr">
        <is>
          <t>MAT-STEEL-DONGBU-0.60</t>
        </is>
      </c>
      <c r="C3" s="2" t="n">
        <v>26000</v>
      </c>
    </row>
    <row r="4">
      <c r="A4" t="n">
        <v>3</v>
      </c>
      <c r="B4" t="inlineStr">
        <is>
          <t>MAT-STEEL-DONGBU-0.80</t>
        </is>
      </c>
      <c r="C4" s="2" t="n">
        <v>26000</v>
      </c>
    </row>
    <row r="5">
      <c r="A5" t="n">
        <v>4</v>
      </c>
      <c r="B5" t="inlineStr">
        <is>
          <t>MAT-STEEL-DONGBU-1.00</t>
        </is>
      </c>
      <c r="C5" s="2" t="n">
        <v>26000</v>
      </c>
    </row>
    <row r="6">
      <c r="A6" t="n">
        <v>5</v>
      </c>
      <c r="B6" t="inlineStr">
        <is>
          <t>MAT-STEEL-DONGBU-1.20</t>
        </is>
      </c>
      <c r="C6" s="2" t="n">
        <v>26000</v>
      </c>
    </row>
    <row r="7">
      <c r="A7" t="n">
        <v>6</v>
      </c>
      <c r="B7" t="inlineStr">
        <is>
          <t>MAT-STEEL-DONGBU-1.50</t>
        </is>
      </c>
      <c r="C7" s="2" t="n">
        <v>26000</v>
      </c>
    </row>
    <row r="8">
      <c r="A8" t="n">
        <v>7</v>
      </c>
      <c r="B8" t="inlineStr">
        <is>
          <t>MAT-STEEL-DONGBU-2.00</t>
        </is>
      </c>
      <c r="C8" s="2" t="n">
        <v>26000</v>
      </c>
    </row>
    <row r="9">
      <c r="A9" t="n">
        <v>8</v>
      </c>
      <c r="B9" t="inlineStr">
        <is>
          <t>MAT-STEEL-VNSTEEL-0.35</t>
        </is>
      </c>
      <c r="C9" s="2" t="n">
        <v>23800</v>
      </c>
    </row>
    <row r="10">
      <c r="A10" t="n">
        <v>9</v>
      </c>
      <c r="B10" t="inlineStr">
        <is>
          <t>MAT-STEEL-VNSTEEL-0.40</t>
        </is>
      </c>
      <c r="C10" s="2" t="n">
        <v>23550</v>
      </c>
    </row>
    <row r="11">
      <c r="A11" t="n">
        <v>10</v>
      </c>
      <c r="B11" t="inlineStr">
        <is>
          <t>MAT-STEEL-VNSTEEL-0.42</t>
        </is>
      </c>
      <c r="C11" s="2" t="n">
        <v>23400</v>
      </c>
    </row>
    <row r="12">
      <c r="A12" t="n">
        <v>11</v>
      </c>
      <c r="B12" t="inlineStr">
        <is>
          <t>MAT-STEEL-VNSTEEL-0.47</t>
        </is>
      </c>
      <c r="C12" s="2" t="n">
        <v>23200</v>
      </c>
    </row>
    <row r="13">
      <c r="A13" t="n">
        <v>12</v>
      </c>
      <c r="B13" t="inlineStr">
        <is>
          <t>MAT-STEEL-VNSTEEL-0.50</t>
        </is>
      </c>
      <c r="C13" s="2" t="n">
        <v>23200</v>
      </c>
    </row>
    <row r="14">
      <c r="A14" t="n">
        <v>13</v>
      </c>
      <c r="B14" t="inlineStr">
        <is>
          <t>MAT-STEEL-VNSTEEL-0.55</t>
        </is>
      </c>
      <c r="C14" s="2" t="n">
        <v>23000</v>
      </c>
    </row>
    <row r="15">
      <c r="A15" t="n">
        <v>14</v>
      </c>
      <c r="B15" t="inlineStr">
        <is>
          <t>MAT-STEEL-VNSTEEL-0.58</t>
        </is>
      </c>
      <c r="C15" s="2" t="n">
        <v>23000</v>
      </c>
    </row>
    <row r="16">
      <c r="A16" t="n">
        <v>15</v>
      </c>
      <c r="B16" t="inlineStr">
        <is>
          <t>MAT-STEEL-VNSTEEL-0.60</t>
        </is>
      </c>
      <c r="C16" s="2" t="n">
        <v>22850</v>
      </c>
    </row>
    <row r="17">
      <c r="A17" t="n">
        <v>16</v>
      </c>
      <c r="B17" t="inlineStr">
        <is>
          <t>MAT-STEEL-VNSTEEL-0.64</t>
        </is>
      </c>
      <c r="C17" s="2" t="n">
        <v>22800</v>
      </c>
    </row>
    <row r="18">
      <c r="A18" t="n">
        <v>17</v>
      </c>
      <c r="B18" t="inlineStr">
        <is>
          <t>MAT-STEEL-VNSTEEL-0.70</t>
        </is>
      </c>
      <c r="C18" s="2" t="n">
        <v>22700</v>
      </c>
    </row>
    <row r="19">
      <c r="A19" t="n">
        <v>18</v>
      </c>
      <c r="B19" t="inlineStr">
        <is>
          <t>MAT-STEEL-VNSTEEL-0.75</t>
        </is>
      </c>
      <c r="C19" s="2" t="n">
        <v>22600</v>
      </c>
    </row>
    <row r="20">
      <c r="A20" t="n">
        <v>19</v>
      </c>
      <c r="B20" t="inlineStr">
        <is>
          <t>MAT-STEEL-VNSTEEL-0.95</t>
        </is>
      </c>
      <c r="C20" s="2" t="n">
        <v>22500</v>
      </c>
    </row>
    <row r="21">
      <c r="A21" t="n">
        <v>20</v>
      </c>
      <c r="B21" t="inlineStr">
        <is>
          <t>MAT-STEEL-VNSTEEL-1.15</t>
        </is>
      </c>
      <c r="C21" s="2" t="n">
        <v>22400</v>
      </c>
    </row>
    <row r="22">
      <c r="A22" t="n">
        <v>21</v>
      </c>
      <c r="B22" t="inlineStr">
        <is>
          <t>MAT-STEEL-VNSTEEL-1.20</t>
        </is>
      </c>
      <c r="C22" s="2" t="n">
        <v>22400</v>
      </c>
    </row>
    <row r="23">
      <c r="A23" t="n">
        <v>22</v>
      </c>
      <c r="B23" t="inlineStr">
        <is>
          <t>MAT-STEEL-PN-0.48</t>
        </is>
      </c>
      <c r="C23" s="2" t="n">
        <v>23664.19</v>
      </c>
    </row>
    <row r="24">
      <c r="A24" t="n">
        <v>23</v>
      </c>
      <c r="B24" t="inlineStr">
        <is>
          <t>MAT-STEEL-PN-0.58</t>
        </is>
      </c>
      <c r="C24" s="2" t="n">
        <v>21597.48</v>
      </c>
    </row>
    <row r="25">
      <c r="A25" t="n">
        <v>24</v>
      </c>
      <c r="B25" t="inlineStr">
        <is>
          <t>MAT-STEEL-PN-0.75</t>
        </is>
      </c>
      <c r="C25" s="2" t="n">
        <v>21941</v>
      </c>
    </row>
    <row r="26">
      <c r="A26" t="n">
        <v>25</v>
      </c>
      <c r="B26" t="inlineStr">
        <is>
          <t>MAT-STEEL-PN-0.95</t>
        </is>
      </c>
      <c r="C26" s="2" t="n">
        <v>20897.59</v>
      </c>
    </row>
    <row r="27">
      <c r="A27" t="n">
        <v>26</v>
      </c>
      <c r="B27" t="inlineStr">
        <is>
          <t>MAT-STEEL-PN-1.15</t>
        </is>
      </c>
      <c r="C27" s="2" t="n">
        <v>20586.39</v>
      </c>
    </row>
    <row r="28">
      <c r="A28" t="n">
        <v>27</v>
      </c>
      <c r="B28" t="inlineStr">
        <is>
          <t>MAT-STEEL-PN-1.38</t>
        </is>
      </c>
      <c r="C28" s="2" t="n">
        <v>21923.75</v>
      </c>
    </row>
    <row r="29">
      <c r="A29" t="n">
        <v>28</v>
      </c>
      <c r="B29" t="inlineStr">
        <is>
          <t>MAT-STEEL-PN-1.48</t>
        </is>
      </c>
      <c r="C29" s="2" t="n">
        <v>20442.42</v>
      </c>
    </row>
    <row r="30">
      <c r="A30" t="n">
        <v>29</v>
      </c>
      <c r="B30" t="inlineStr">
        <is>
          <t>MAT-STEEL-HOASEN-0.48</t>
        </is>
      </c>
      <c r="C30" s="2" t="n">
        <v>22115.98</v>
      </c>
    </row>
    <row r="31">
      <c r="A31" t="n">
        <v>30</v>
      </c>
      <c r="B31" t="inlineStr">
        <is>
          <t>MAT-STEEL-HOASEN-0.58</t>
        </is>
      </c>
      <c r="C31" s="2" t="n">
        <v>20865.36</v>
      </c>
    </row>
    <row r="32">
      <c r="A32" t="n">
        <v>31</v>
      </c>
      <c r="B32" t="inlineStr">
        <is>
          <t>MAT-STEEL-HOASEN-0.75</t>
        </is>
      </c>
      <c r="C32" s="2" t="n">
        <v>20460.34</v>
      </c>
    </row>
    <row r="33">
      <c r="A33" t="n">
        <v>32</v>
      </c>
      <c r="B33" t="inlineStr">
        <is>
          <t>MAT-STEEL-HOASEN-0.95</t>
        </is>
      </c>
      <c r="C33" s="2" t="n">
        <v>20003.58</v>
      </c>
    </row>
    <row r="34">
      <c r="A34" t="n">
        <v>33</v>
      </c>
      <c r="B34" t="inlineStr">
        <is>
          <t>MAT-STEEL-HOASEN-1.15</t>
        </is>
      </c>
      <c r="C34" s="2" t="n">
        <v>19764.78</v>
      </c>
    </row>
    <row r="35">
      <c r="A35" t="n">
        <v>34</v>
      </c>
      <c r="B35" t="inlineStr">
        <is>
          <t>MAT-STEEL-HOASEN-1.50</t>
        </is>
      </c>
      <c r="C35" s="2" t="n">
        <v>18966.74</v>
      </c>
    </row>
    <row r="36">
      <c r="A36" t="n">
        <v>35</v>
      </c>
      <c r="B36" t="inlineStr">
        <is>
          <t>MAT-STEEL-HOASEN-0.58</t>
        </is>
      </c>
      <c r="C36" s="2" t="n">
        <v>20865.36</v>
      </c>
    </row>
    <row r="37">
      <c r="A37" t="n">
        <v>36</v>
      </c>
      <c r="B37" t="inlineStr">
        <is>
          <t>MAT-STEEL-HOASEN-0.75</t>
        </is>
      </c>
      <c r="C37" s="2" t="n">
        <v>20460.34</v>
      </c>
    </row>
    <row r="38">
      <c r="A38" t="n">
        <v>37</v>
      </c>
      <c r="B38" t="inlineStr">
        <is>
          <t>MAT-STEEL-HOASEN-0.95</t>
        </is>
      </c>
      <c r="C38" s="2" t="n">
        <v>20003.58</v>
      </c>
    </row>
    <row r="39">
      <c r="A39" t="n">
        <v>38</v>
      </c>
      <c r="B39" t="inlineStr">
        <is>
          <t>MAT-STEEL-HOASEN-1.15</t>
        </is>
      </c>
      <c r="C39" s="2" t="n">
        <v>19764.78</v>
      </c>
    </row>
    <row r="40">
      <c r="A40" t="n">
        <v>39</v>
      </c>
      <c r="B40" t="inlineStr">
        <is>
          <t>MAT-STEEL-BLUESCOPE-0.47</t>
        </is>
      </c>
      <c r="C40" s="2" t="n">
        <v>19714.63</v>
      </c>
    </row>
    <row r="41">
      <c r="A41" t="n">
        <v>40</v>
      </c>
      <c r="B41" t="inlineStr">
        <is>
          <t>MAT-STEEL-BLUESCOPE-0.57</t>
        </is>
      </c>
      <c r="C41" s="2" t="n">
        <v>20319.42</v>
      </c>
    </row>
    <row r="42">
      <c r="A42" t="n">
        <v>41</v>
      </c>
      <c r="B42" t="inlineStr">
        <is>
          <t>MAT-STEEL-BLUESCOPE-0.77</t>
        </is>
      </c>
      <c r="C42" s="2" t="n">
        <v>19926.31</v>
      </c>
    </row>
    <row r="43">
      <c r="A43" t="n">
        <v>42</v>
      </c>
      <c r="B43" t="inlineStr">
        <is>
          <t>MAT-STEEL-BLUESCOPE-0.95</t>
        </is>
      </c>
      <c r="C43" s="2" t="n">
        <v>20013.74</v>
      </c>
    </row>
    <row r="44">
      <c r="A44" t="n">
        <v>43</v>
      </c>
      <c r="B44" t="inlineStr">
        <is>
          <t>MAT-STEEL-BLUESCOPE-1.15</t>
        </is>
      </c>
      <c r="C44" s="2" t="n">
        <v>19973.75</v>
      </c>
    </row>
    <row r="45">
      <c r="A45" t="n">
        <v>44</v>
      </c>
      <c r="B45" t="inlineStr">
        <is>
          <t>MAT-INOX-SUS304-0-5</t>
        </is>
      </c>
      <c r="C45" s="2" t="n">
        <v>78000</v>
      </c>
    </row>
    <row r="46">
      <c r="A46" t="n">
        <v>45</v>
      </c>
      <c r="B46" t="inlineStr">
        <is>
          <t>MAT-INOX-SUS304-0-6</t>
        </is>
      </c>
      <c r="C46" s="2" t="n">
        <v>78000</v>
      </c>
    </row>
    <row r="47">
      <c r="A47" t="n">
        <v>46</v>
      </c>
      <c r="B47" t="inlineStr">
        <is>
          <t>MAT-INOX-SUS304-0-7</t>
        </is>
      </c>
      <c r="C47" s="2" t="n">
        <v>78000</v>
      </c>
    </row>
    <row r="48">
      <c r="A48" t="n">
        <v>47</v>
      </c>
      <c r="B48" t="inlineStr">
        <is>
          <t>MAT-INOX-SUS304-0-8</t>
        </is>
      </c>
      <c r="C48" s="2" t="n">
        <v>78000</v>
      </c>
    </row>
    <row r="49">
      <c r="A49" t="n">
        <v>48</v>
      </c>
      <c r="B49" t="inlineStr">
        <is>
          <t>MAT-INOX-SUS304-0-9</t>
        </is>
      </c>
      <c r="C49" s="2" t="n">
        <v>78000</v>
      </c>
    </row>
    <row r="50">
      <c r="A50" t="n">
        <v>49</v>
      </c>
      <c r="B50" t="inlineStr">
        <is>
          <t>MAT-INOX-SUS304-1-0</t>
        </is>
      </c>
      <c r="C50" s="2" t="n">
        <v>78000</v>
      </c>
    </row>
    <row r="51">
      <c r="A51" t="n">
        <v>50</v>
      </c>
      <c r="B51" t="inlineStr">
        <is>
          <t>MAT-INOX-SUS304-1-2</t>
        </is>
      </c>
      <c r="C51" s="2" t="n">
        <v>78000</v>
      </c>
    </row>
    <row r="52">
      <c r="A52" t="n">
        <v>51</v>
      </c>
      <c r="B52" t="inlineStr">
        <is>
          <t>MAT-INOX-SUS430-0-5</t>
        </is>
      </c>
      <c r="C52" s="2" t="n">
        <v>45000</v>
      </c>
    </row>
    <row r="53">
      <c r="A53" t="n">
        <v>52</v>
      </c>
      <c r="B53" t="inlineStr">
        <is>
          <t>MAT-INOX-SUS430-0-6</t>
        </is>
      </c>
      <c r="C53" s="2" t="n">
        <v>45000</v>
      </c>
    </row>
    <row r="54">
      <c r="A54" t="n">
        <v>53</v>
      </c>
      <c r="B54" t="inlineStr">
        <is>
          <t>MAT-INOX-SUS430-0-7</t>
        </is>
      </c>
      <c r="C54" s="2" t="n">
        <v>45000</v>
      </c>
    </row>
    <row r="55">
      <c r="A55" t="n">
        <v>54</v>
      </c>
      <c r="B55" t="inlineStr">
        <is>
          <t>MAT-INOX-SUS430-0-8</t>
        </is>
      </c>
      <c r="C55" s="2" t="n">
        <v>45000</v>
      </c>
    </row>
    <row r="56">
      <c r="A56" t="n">
        <v>55</v>
      </c>
      <c r="B56" t="inlineStr">
        <is>
          <t>MAT-INOX-SUS430-0-9</t>
        </is>
      </c>
      <c r="C56" s="2" t="n">
        <v>45000</v>
      </c>
    </row>
    <row r="57">
      <c r="A57" t="n">
        <v>56</v>
      </c>
      <c r="B57" t="inlineStr">
        <is>
          <t>MAT-INOX-SUS430-1-0</t>
        </is>
      </c>
      <c r="C57" s="2" t="n">
        <v>45000</v>
      </c>
    </row>
    <row r="58">
      <c r="A58" t="n">
        <v>57</v>
      </c>
      <c r="B58" t="inlineStr">
        <is>
          <t>MAT-INOX-SUS430-1-1</t>
        </is>
      </c>
      <c r="C58" s="2" t="n">
        <v>45000</v>
      </c>
    </row>
    <row r="59">
      <c r="A59" t="n">
        <v>58</v>
      </c>
      <c r="B59" t="inlineStr">
        <is>
          <t>MAT-INOX-SUS430-1-2</t>
        </is>
      </c>
      <c r="C59" s="2" t="n">
        <v>45000</v>
      </c>
    </row>
    <row r="60">
      <c r="A60" t="n">
        <v>59</v>
      </c>
      <c r="B60" t="inlineStr">
        <is>
          <t>MAT-INOX-SUS201-0-4</t>
        </is>
      </c>
      <c r="C60" s="2" t="n">
        <v>48000</v>
      </c>
    </row>
    <row r="61">
      <c r="A61" t="n">
        <v>60</v>
      </c>
      <c r="B61" t="inlineStr">
        <is>
          <t>MAT-INOX-SUS201-0-5</t>
        </is>
      </c>
      <c r="C61" s="2" t="n">
        <v>48000</v>
      </c>
    </row>
    <row r="62">
      <c r="A62" t="n">
        <v>61</v>
      </c>
      <c r="B62" t="inlineStr">
        <is>
          <t>MAT-INOX-SUS201-0-6</t>
        </is>
      </c>
      <c r="C62" s="2" t="n">
        <v>48000</v>
      </c>
    </row>
    <row r="63">
      <c r="A63" t="n">
        <v>62</v>
      </c>
      <c r="B63" t="inlineStr">
        <is>
          <t>MAT-INOX-SUS201-0-7</t>
        </is>
      </c>
      <c r="C63" s="2" t="n">
        <v>48000</v>
      </c>
    </row>
    <row r="64">
      <c r="A64" t="n">
        <v>63</v>
      </c>
      <c r="B64" t="inlineStr">
        <is>
          <t>MAT-INOX-SUS201-0-8</t>
        </is>
      </c>
      <c r="C64" s="2" t="n">
        <v>48000</v>
      </c>
    </row>
    <row r="65">
      <c r="A65" t="n">
        <v>64</v>
      </c>
      <c r="B65" t="inlineStr">
        <is>
          <t>MAT-DAMPER-TRUC-SUS-201-D10</t>
        </is>
      </c>
      <c r="C65" s="2" t="n">
        <v>50000</v>
      </c>
    </row>
    <row r="66">
      <c r="A66" t="n">
        <v>65</v>
      </c>
      <c r="B66" t="inlineStr">
        <is>
          <t>MAT-DAMPER-TRUC-SUS-201-D12</t>
        </is>
      </c>
      <c r="C66" s="2" t="n">
        <v>72000</v>
      </c>
    </row>
    <row r="67">
      <c r="A67" t="n">
        <v>66</v>
      </c>
      <c r="B67" t="inlineStr">
        <is>
          <t>MAT-DAMPER-TRUC-SUS-201-D14</t>
        </is>
      </c>
      <c r="C67" s="2" t="n">
        <v>98000</v>
      </c>
    </row>
    <row r="68">
      <c r="A68" t="n">
        <v>67</v>
      </c>
      <c r="B68" t="inlineStr">
        <is>
          <t>MAT-DAMPER-BAC-DONG-D10</t>
        </is>
      </c>
      <c r="C68" s="2" t="n">
        <v>6000</v>
      </c>
    </row>
    <row r="69">
      <c r="A69" t="n">
        <v>68</v>
      </c>
      <c r="B69" t="inlineStr">
        <is>
          <t>MAT-DAMPER-BAC-DONG-D12</t>
        </is>
      </c>
      <c r="C69" s="2" t="n">
        <v>8000</v>
      </c>
    </row>
    <row r="70">
      <c r="A70" t="n">
        <v>69</v>
      </c>
      <c r="B70" t="inlineStr">
        <is>
          <t>MAT-DAMPER-BAC-DONG-D14</t>
        </is>
      </c>
      <c r="C70" s="2" t="n">
        <v>10000</v>
      </c>
    </row>
    <row r="71">
      <c r="A71" t="n">
        <v>70</v>
      </c>
      <c r="B71" t="inlineStr">
        <is>
          <t>MAT-DAMPER-TAY-GAT-1-1M2</t>
        </is>
      </c>
      <c r="C71" s="2" t="n">
        <v>100000</v>
      </c>
    </row>
    <row r="72">
      <c r="A72" t="n">
        <v>71</v>
      </c>
      <c r="B72" t="inlineStr">
        <is>
          <t>MAT-DAMPER-GIANG-TAY-GAT-1</t>
        </is>
      </c>
      <c r="C72" s="2" t="n">
        <v>20000</v>
      </c>
    </row>
    <row r="73">
      <c r="A73" t="n">
        <v>72</v>
      </c>
      <c r="B73" t="inlineStr">
        <is>
          <t>MAT-DAMPER-GIANG-TAY-GAT-2</t>
        </is>
      </c>
      <c r="C73" s="2" t="n">
        <v>25000</v>
      </c>
    </row>
    <row r="74">
      <c r="A74" t="n">
        <v>73</v>
      </c>
      <c r="B74" t="inlineStr">
        <is>
          <t>MAT-DAMPER-CAU-CHI-1-400X400</t>
        </is>
      </c>
      <c r="C74" s="2" t="n">
        <v>220000</v>
      </c>
    </row>
    <row r="75">
      <c r="A75" t="n">
        <v>74</v>
      </c>
      <c r="B75" t="inlineStr">
        <is>
          <t>MAT-DAMPER-CAU-CHI-2-400X400</t>
        </is>
      </c>
      <c r="C75" s="2" t="n">
        <v>300000</v>
      </c>
    </row>
    <row r="76">
      <c r="A76" t="n">
        <v>75</v>
      </c>
      <c r="B76" t="inlineStr">
        <is>
          <t>MAT-DAMPER-TRUC-VIT-1</t>
        </is>
      </c>
      <c r="C76" s="2" t="n">
        <v>100000</v>
      </c>
    </row>
    <row r="77">
      <c r="A77" t="n">
        <v>76</v>
      </c>
      <c r="B77" t="inlineStr">
        <is>
          <t>MAT-DAMPER-BAC-DONG-8</t>
        </is>
      </c>
      <c r="C77" s="2" t="n">
        <v>4000</v>
      </c>
    </row>
    <row r="78">
      <c r="A78" t="n">
        <v>77</v>
      </c>
      <c r="B78" t="inlineStr">
        <is>
          <t>MAT-DAMPER-BANH-RANG-VAN-NHOM</t>
        </is>
      </c>
      <c r="C78" s="2" t="n">
        <v>35000</v>
      </c>
    </row>
    <row r="79">
      <c r="A79" t="n">
        <v>78</v>
      </c>
      <c r="B79" t="inlineStr">
        <is>
          <t>MAT-DAMPER-TAY-VAN-NHUA-1M2</t>
        </is>
      </c>
      <c r="C79" s="2" t="n">
        <v>165000</v>
      </c>
    </row>
    <row r="80">
      <c r="A80" t="n">
        <v>79</v>
      </c>
      <c r="B80" t="inlineStr">
        <is>
          <t>MAT-DAMPER-TAY-VAN-INOX-1M2</t>
        </is>
      </c>
      <c r="C80" s="2" t="n">
        <v>195000</v>
      </c>
    </row>
    <row r="81">
      <c r="A81" t="n">
        <v>80</v>
      </c>
      <c r="B81" t="inlineStr">
        <is>
          <t>MAT-DAMPER-TAY-VAN-NHOM</t>
        </is>
      </c>
      <c r="C81" s="2" t="n">
        <v>260000</v>
      </c>
    </row>
    <row r="82">
      <c r="A82" t="n">
        <v>81</v>
      </c>
      <c r="B82" t="inlineStr">
        <is>
          <t>MAT-DAMPER-GIOANG-CAO-SU-VAN-NHOM</t>
        </is>
      </c>
      <c r="C82" s="2" t="n">
        <v>6500</v>
      </c>
    </row>
    <row r="83">
      <c r="A83" t="n">
        <v>82</v>
      </c>
      <c r="B83" t="inlineStr">
        <is>
          <t>MAT-DAMPER-TAY-GAT-NHO</t>
        </is>
      </c>
      <c r="C83" s="2" t="n">
        <v>50000</v>
      </c>
    </row>
    <row r="84">
      <c r="A84" t="n">
        <v>83</v>
      </c>
      <c r="B84" t="inlineStr">
        <is>
          <t>MAT-DAMPER-TAY-GAT-TRUNG-BINH</t>
        </is>
      </c>
      <c r="C84" s="2" t="n">
        <v>75000</v>
      </c>
    </row>
    <row r="85">
      <c r="A85" t="n">
        <v>84</v>
      </c>
      <c r="B85" t="inlineStr">
        <is>
          <t>MAT-DAMPER-MOTOR-NENUTEC-THUY-SY-300X300</t>
        </is>
      </c>
      <c r="C85" s="2" t="n">
        <v>1750000</v>
      </c>
    </row>
    <row r="86">
      <c r="A86" t="n">
        <v>85</v>
      </c>
      <c r="B86" t="inlineStr">
        <is>
          <t>MAT-DAMPER-MOTOR-NENUTEC-THUY-SY-300X300</t>
        </is>
      </c>
      <c r="C86" s="2" t="n">
        <v>1950000</v>
      </c>
    </row>
    <row r="87">
      <c r="A87" t="n">
        <v>86</v>
      </c>
      <c r="B87" t="inlineStr">
        <is>
          <t>MAT-DAMPER-MOTOR-NENUTEC-THUY-SY-1M2</t>
        </is>
      </c>
      <c r="C87" s="2" t="n">
        <v>2200000</v>
      </c>
    </row>
    <row r="88">
      <c r="A88" t="n">
        <v>87</v>
      </c>
      <c r="B88" t="inlineStr">
        <is>
          <t>MAT-DAMPER-MOTOR-VAN-DAP-LUA-CAM-BIEN</t>
        </is>
      </c>
      <c r="C88" s="2" t="n">
        <v>4200000</v>
      </c>
    </row>
    <row r="89">
      <c r="A89" t="n">
        <v>88</v>
      </c>
      <c r="B89" t="inlineStr">
        <is>
          <t>MAT-DAMPER-MOTOR-VAN-AP-SUAT</t>
        </is>
      </c>
      <c r="C89" s="2" t="n">
        <v>4200000</v>
      </c>
    </row>
    <row r="90">
      <c r="A90" t="n">
        <v>89</v>
      </c>
      <c r="B90" t="inlineStr">
        <is>
          <t>MAT-DAMPER-CAU-CHI-TRUNG-QUOC</t>
        </is>
      </c>
      <c r="C90" s="2" t="n">
        <v>65000</v>
      </c>
    </row>
    <row r="91">
      <c r="A91" t="n">
        <v>90</v>
      </c>
      <c r="B91" t="inlineStr">
        <is>
          <t>MAT-DAMPER-CAU-CHI-USA-1-400X400</t>
        </is>
      </c>
      <c r="C91" s="2" t="n">
        <v>105000</v>
      </c>
    </row>
    <row r="92">
      <c r="A92" t="n">
        <v>91</v>
      </c>
      <c r="B92" t="inlineStr">
        <is>
          <t>MAT-DAMPER-CAU-CHI-USA-2-400X400</t>
        </is>
      </c>
      <c r="C92" s="2" t="n">
        <v>126000</v>
      </c>
    </row>
    <row r="93">
      <c r="A93" t="n">
        <v>92</v>
      </c>
      <c r="B93" t="inlineStr">
        <is>
          <t>MAT-FLANGE-L-30X30X2-CT38-L-6-M</t>
        </is>
      </c>
      <c r="C93" s="2" t="n">
        <v>30000</v>
      </c>
    </row>
    <row r="94">
      <c r="A94" t="n">
        <v>93</v>
      </c>
      <c r="B94" t="inlineStr">
        <is>
          <t>MAT-FLANGE-L-30X30X3-CT38-L-6-M</t>
        </is>
      </c>
      <c r="C94" s="2" t="n">
        <v>35000</v>
      </c>
    </row>
    <row r="95">
      <c r="A95" t="n">
        <v>94</v>
      </c>
      <c r="B95" t="inlineStr">
        <is>
          <t>MAT-FLANGE-L-40X40X4-CT39-L-6-M</t>
        </is>
      </c>
      <c r="C95" s="2" t="n">
        <v>45000</v>
      </c>
    </row>
    <row r="96">
      <c r="A96" t="n">
        <v>95</v>
      </c>
      <c r="B96" t="inlineStr">
        <is>
          <t>MAT-FLANGE-L-50X50X4-CT40-L-6-M</t>
        </is>
      </c>
      <c r="C96" s="2" t="n">
        <v>55000</v>
      </c>
    </row>
    <row r="97">
      <c r="A97" t="n">
        <v>96</v>
      </c>
      <c r="B97" t="inlineStr">
        <is>
          <t>MAT-INSUL-LUOI-NHUA</t>
        </is>
      </c>
      <c r="C97" s="2" t="n">
        <v>25000</v>
      </c>
    </row>
    <row r="98">
      <c r="A98" t="n">
        <v>97</v>
      </c>
      <c r="B98" t="inlineStr">
        <is>
          <t>MAT-INSUL-MOTOR-NENUTEC-THUY-SY-300X300</t>
        </is>
      </c>
      <c r="C98" s="2" t="n">
        <v>1750000</v>
      </c>
    </row>
    <row r="99">
      <c r="A99" t="n">
        <v>98</v>
      </c>
      <c r="B99" t="inlineStr">
        <is>
          <t>MAT-INSUL-MOTOR-NENUTEC-THUY-SY-300X300</t>
        </is>
      </c>
      <c r="C99" s="2" t="n">
        <v>1950000</v>
      </c>
    </row>
    <row r="100">
      <c r="A100" t="n">
        <v>99</v>
      </c>
      <c r="B100" t="inlineStr">
        <is>
          <t>MAT-INSUL-MOTOR-NENUTEC-THUY-SY-1M2</t>
        </is>
      </c>
      <c r="C100" s="2" t="n">
        <v>2200000</v>
      </c>
    </row>
    <row r="101">
      <c r="A101" t="n">
        <v>100</v>
      </c>
      <c r="B101" t="inlineStr">
        <is>
          <t>MAT-INSUL-MOTOR-VAN-DAP-LUA-CAM-BIEN</t>
        </is>
      </c>
      <c r="C101" s="2" t="n">
        <v>4200000</v>
      </c>
    </row>
    <row r="102">
      <c r="A102" t="n">
        <v>101</v>
      </c>
      <c r="B102" t="inlineStr">
        <is>
          <t>MAT-INSUL-MOTOR-VAN-AP-SUAT</t>
        </is>
      </c>
      <c r="C102" s="2" t="n">
        <v>4200000</v>
      </c>
    </row>
    <row r="103">
      <c r="A103" t="n">
        <v>102</v>
      </c>
      <c r="B103" t="inlineStr">
        <is>
          <t>MAT-ALU-NAN-BD</t>
        </is>
      </c>
      <c r="C103" s="2" t="n">
        <v>126000</v>
      </c>
    </row>
    <row r="104">
      <c r="A104" t="n">
        <v>103</v>
      </c>
      <c r="B104" t="inlineStr">
        <is>
          <t>MAT-ALU-NAN-T</t>
        </is>
      </c>
      <c r="C104" s="2" t="n">
        <v>126000</v>
      </c>
    </row>
    <row r="105">
      <c r="A105" t="n">
        <v>104</v>
      </c>
      <c r="B105" t="inlineStr">
        <is>
          <t>MAT-ALU-KHUNG-BD</t>
        </is>
      </c>
      <c r="C105" s="2" t="n">
        <v>126000</v>
      </c>
    </row>
    <row r="106">
      <c r="A106" t="n">
        <v>105</v>
      </c>
      <c r="B106" t="inlineStr">
        <is>
          <t>MAT-ALU-KHUNG-BD-Z-MONG</t>
        </is>
      </c>
      <c r="C106" s="2" t="n">
        <v>126000</v>
      </c>
    </row>
    <row r="107">
      <c r="A107" t="n">
        <v>106</v>
      </c>
      <c r="B107" t="inlineStr">
        <is>
          <t>MAT-ALU-NAN-Z-DAY</t>
        </is>
      </c>
      <c r="C107" s="2" t="n">
        <v>126000</v>
      </c>
    </row>
    <row r="108">
      <c r="A108" t="n">
        <v>107</v>
      </c>
      <c r="B108" t="inlineStr">
        <is>
          <t>MAT-ALU-NAN-Z-MONG</t>
        </is>
      </c>
      <c r="C108" s="2" t="n">
        <v>126000</v>
      </c>
    </row>
    <row r="109">
      <c r="A109" t="n">
        <v>108</v>
      </c>
      <c r="B109" t="inlineStr">
        <is>
          <t>MAT-ALU-KHUNG-Z-2-LOP</t>
        </is>
      </c>
      <c r="C109" s="2" t="n">
        <v>126000</v>
      </c>
    </row>
    <row r="110">
      <c r="A110" t="n">
        <v>109</v>
      </c>
      <c r="B110" t="inlineStr">
        <is>
          <t>MAT-ALU-NAN-OBD</t>
        </is>
      </c>
      <c r="C110" s="2" t="n">
        <v>133000</v>
      </c>
    </row>
    <row r="111">
      <c r="A111" t="n">
        <v>110</v>
      </c>
      <c r="B111" t="inlineStr">
        <is>
          <t>MAT-ALU-KHUNG-OBD</t>
        </is>
      </c>
      <c r="C111" s="2" t="n">
        <v>133000</v>
      </c>
    </row>
    <row r="112">
      <c r="A112" t="n">
        <v>111</v>
      </c>
      <c r="B112" t="inlineStr">
        <is>
          <t>MAT-ALU-NAN-BD-EUS02</t>
        </is>
      </c>
      <c r="C112" s="2" t="n">
        <v>120000</v>
      </c>
    </row>
    <row r="113">
      <c r="A113" t="n">
        <v>112</v>
      </c>
      <c r="B113" t="inlineStr">
        <is>
          <t>MAT-ALU-KHUNG-BD-EUS01</t>
        </is>
      </c>
      <c r="C113" s="2" t="n">
        <v>120000</v>
      </c>
    </row>
    <row r="114">
      <c r="A114" t="n">
        <v>113</v>
      </c>
      <c r="B114" t="inlineStr">
        <is>
          <t>MAT-ALU-NAN-Z-EUS05</t>
        </is>
      </c>
      <c r="C114" s="2" t="n">
        <v>120000</v>
      </c>
    </row>
    <row r="115">
      <c r="A115" t="n">
        <v>114</v>
      </c>
      <c r="B115" t="inlineStr">
        <is>
          <t>MAT-ALU-KHUNG-Z-EUS03</t>
        </is>
      </c>
      <c r="C115" s="2" t="n">
        <v>120000</v>
      </c>
    </row>
    <row r="116">
      <c r="A116" t="n">
        <v>115</v>
      </c>
      <c r="B116" t="inlineStr">
        <is>
          <t>MAT-ALU-NAN-OBD-EUS20</t>
        </is>
      </c>
      <c r="C116" s="2" t="n">
        <v>130000</v>
      </c>
    </row>
    <row r="117">
      <c r="A117" t="n">
        <v>116</v>
      </c>
      <c r="B117" t="inlineStr">
        <is>
          <t>MAT-ALU-KHUNG-OBD-EUS10</t>
        </is>
      </c>
      <c r="C117" s="2" t="n">
        <v>130000</v>
      </c>
    </row>
    <row r="118">
      <c r="A118" t="n">
        <v>117</v>
      </c>
      <c r="B118" t="inlineStr">
        <is>
          <t>MAT-PAINT-POWDER</t>
        </is>
      </c>
      <c r="C118" s="2" t="n">
        <v>75000</v>
      </c>
    </row>
    <row r="119">
      <c r="A119" t="n">
        <v>118</v>
      </c>
      <c r="B119" t="inlineStr">
        <is>
          <t>MAT-DOOR-ACCESSORY</t>
        </is>
      </c>
      <c r="C119" s="2" t="n">
        <v>15000</v>
      </c>
    </row>
    <row r="120">
      <c r="A120" t="n">
        <v>119</v>
      </c>
      <c r="B120" t="inlineStr">
        <is>
          <t>MAT-ACTUATOR-NACA-2-05</t>
        </is>
      </c>
      <c r="C120" s="2" t="n">
        <v>1250000</v>
      </c>
    </row>
    <row r="121">
      <c r="A121" t="n">
        <v>120</v>
      </c>
      <c r="B121" t="inlineStr">
        <is>
          <t>MAT-ACTUATOR-NACA-2-10</t>
        </is>
      </c>
      <c r="C121" s="2" t="n">
        <v>1732500</v>
      </c>
    </row>
    <row r="122">
      <c r="A122" t="n">
        <v>121</v>
      </c>
      <c r="B122" t="inlineStr">
        <is>
          <t>MAT-ACTUATOR-NACA-2-20</t>
        </is>
      </c>
      <c r="C122" s="2" t="n">
        <v>2016000</v>
      </c>
    </row>
    <row r="123">
      <c r="A123" t="n">
        <v>122</v>
      </c>
      <c r="B123" t="inlineStr">
        <is>
          <t>MAT-ACTUATOR-NACA-2-40</t>
        </is>
      </c>
      <c r="C123" s="2" t="n">
        <v>3549000</v>
      </c>
    </row>
    <row r="124">
      <c r="A124" t="n">
        <v>123</v>
      </c>
      <c r="B124" t="inlineStr">
        <is>
          <t>MAT-ACTUATOR-NTC-831</t>
        </is>
      </c>
      <c r="C124" s="2" t="n">
        <v>800000</v>
      </c>
    </row>
    <row r="125">
      <c r="A125" t="n">
        <v>124</v>
      </c>
      <c r="B125" t="inlineStr">
        <is>
          <t>MAT-ACTUATOR-NACM-1-2-05</t>
        </is>
      </c>
      <c r="C125" s="2" t="n">
        <v>1785000</v>
      </c>
    </row>
    <row r="126">
      <c r="A126" t="n">
        <v>125</v>
      </c>
      <c r="B126" t="inlineStr">
        <is>
          <t>MAT-ACTUATOR-NACM-1-1-10</t>
        </is>
      </c>
      <c r="C126" s="2" t="n">
        <v>2226000</v>
      </c>
    </row>
    <row r="127">
      <c r="A127" t="n">
        <v>126</v>
      </c>
      <c r="B127" t="inlineStr">
        <is>
          <t>MAT-ACTUATOR-NACM-1-1-20</t>
        </is>
      </c>
      <c r="C127" s="2" t="n">
        <v>3087000</v>
      </c>
    </row>
    <row r="128">
      <c r="A128" t="n">
        <v>127</v>
      </c>
      <c r="B128" t="inlineStr">
        <is>
          <t>MAT-ACTUATOR-NACM-1-1-40</t>
        </is>
      </c>
      <c r="C128" s="2" t="n">
        <v>4515000</v>
      </c>
    </row>
    <row r="129">
      <c r="A129" t="n">
        <v>128</v>
      </c>
      <c r="B129" t="inlineStr">
        <is>
          <t>MAT-ACTUATOR-MODEL-NPG-1-DIEU-KHI</t>
        </is>
      </c>
      <c r="C129" s="2" t="n">
        <v>1260000</v>
      </c>
    </row>
    <row r="130">
      <c r="A130" t="n">
        <v>129</v>
      </c>
      <c r="B130" t="inlineStr">
        <is>
          <t>MAT-ACTUATOR-MODEL-NTC-843-DIEU-K</t>
        </is>
      </c>
      <c r="C130" s="2" t="n">
        <v>1512000</v>
      </c>
    </row>
    <row r="131">
      <c r="A131" t="n">
        <v>130</v>
      </c>
      <c r="B131" t="inlineStr">
        <is>
          <t>MAT-ACTUATOR-SAFA-1-05S</t>
        </is>
      </c>
      <c r="C131" s="2" t="n">
        <v>3108000</v>
      </c>
    </row>
    <row r="132">
      <c r="A132" t="n">
        <v>131</v>
      </c>
      <c r="B132" t="inlineStr">
        <is>
          <t>MAT-ACTUATOR-SAFA-1-08S</t>
        </is>
      </c>
      <c r="C132" s="2" t="n">
        <v>3507000</v>
      </c>
    </row>
    <row r="133">
      <c r="A133" t="n">
        <v>132</v>
      </c>
      <c r="B133" t="inlineStr">
        <is>
          <t>MAT-ACTUATOR-SAFA-2-05S</t>
        </is>
      </c>
      <c r="C133" s="2" t="n">
        <v>3255000</v>
      </c>
    </row>
    <row r="134">
      <c r="A134" t="n">
        <v>133</v>
      </c>
      <c r="B134" t="inlineStr">
        <is>
          <t>MAT-ACTUATOR-SAFA-2-08S</t>
        </is>
      </c>
      <c r="C134" s="2" t="n">
        <v>3696000</v>
      </c>
    </row>
    <row r="135">
      <c r="A135" t="n">
        <v>134</v>
      </c>
      <c r="B135" t="inlineStr">
        <is>
          <t>MAT-ACTUATOR-CAM-BIEN-NHIET-BANG-</t>
        </is>
      </c>
      <c r="C135" s="2" t="n">
        <v>300000</v>
      </c>
    </row>
    <row r="136">
      <c r="A136" t="n">
        <v>135</v>
      </c>
      <c r="B136" t="inlineStr">
        <is>
          <t>MAT-ACTUATOR-MODEL-B</t>
        </is>
      </c>
      <c r="C136" s="2" t="n">
        <v>70000</v>
      </c>
    </row>
    <row r="137">
      <c r="A137" t="n">
        <v>136</v>
      </c>
      <c r="B137" t="inlineStr">
        <is>
          <t>MAT-ACTUATOR-MODEL-A</t>
        </is>
      </c>
      <c r="C137" s="2" t="n">
        <v>80000</v>
      </c>
    </row>
    <row r="138">
      <c r="A138" t="n">
        <v>137</v>
      </c>
      <c r="B138" t="inlineStr">
        <is>
          <t>MAT-INSUL-BONG-THUY-TINH-KHONG-MAT-12</t>
        </is>
      </c>
      <c r="C138" s="2" t="n">
        <v>13000</v>
      </c>
    </row>
    <row r="139">
      <c r="A139" t="n">
        <v>138</v>
      </c>
      <c r="B139" t="inlineStr">
        <is>
          <t>MAT-INSUL-BONG-THUY-TINH-CO-BAC-T12-13</t>
        </is>
      </c>
      <c r="C139" s="2" t="n">
        <v>18500</v>
      </c>
    </row>
    <row r="140">
      <c r="A140" t="n">
        <v>139</v>
      </c>
      <c r="B140" t="inlineStr">
        <is>
          <t>MAT-INSUL-BONG-THUY-TINH-KHONG-MAT-14</t>
        </is>
      </c>
      <c r="C140" s="2" t="n">
        <v>24000</v>
      </c>
    </row>
    <row r="141">
      <c r="A141" t="n">
        <v>140</v>
      </c>
      <c r="B141" t="inlineStr">
        <is>
          <t>MAT-INSUL-BONG-THUY-TINH-CO-BAC-T24-15</t>
        </is>
      </c>
      <c r="C141" s="2" t="n">
        <v>28000</v>
      </c>
    </row>
    <row r="142">
      <c r="A142" t="n">
        <v>141</v>
      </c>
      <c r="B142" t="inlineStr">
        <is>
          <t>MAT-INSUL-BONG-THUY-TINH-KHONG-MAT-16</t>
        </is>
      </c>
      <c r="C142" s="2" t="n">
        <v>32000</v>
      </c>
    </row>
    <row r="143">
      <c r="A143" t="n">
        <v>142</v>
      </c>
      <c r="B143" t="inlineStr">
        <is>
          <t>MAT-INSUL-BONG-THUY-TINH-CO-MAT-BAC-17</t>
        </is>
      </c>
      <c r="C143" s="2" t="n">
        <v>37000</v>
      </c>
    </row>
    <row r="144">
      <c r="A144" t="n">
        <v>143</v>
      </c>
      <c r="B144" t="inlineStr">
        <is>
          <t>MAT-INSUL-BONG-KHOANG-TAM-T40-19</t>
        </is>
      </c>
      <c r="C144" s="2" t="n">
        <v>215000</v>
      </c>
    </row>
    <row r="145">
      <c r="A145" t="n">
        <v>144</v>
      </c>
      <c r="B145" t="inlineStr">
        <is>
          <t>MAT-INSUL-BONG-KHOANG-TAM-T50-20</t>
        </is>
      </c>
      <c r="C145" s="2" t="n">
        <v>240000</v>
      </c>
    </row>
    <row r="146">
      <c r="A146" t="n">
        <v>145</v>
      </c>
      <c r="B146" t="inlineStr">
        <is>
          <t>MAT-INSUL-BONG-KHOANG-T60-D50-21</t>
        </is>
      </c>
      <c r="C146" s="2" t="n">
        <v>260000</v>
      </c>
    </row>
    <row r="147">
      <c r="A147" t="n">
        <v>146</v>
      </c>
      <c r="B147" t="inlineStr">
        <is>
          <t>MAT-INSUL-BONG-KHOANG-T80-D50-22</t>
        </is>
      </c>
      <c r="C147" s="2" t="n">
        <v>340000</v>
      </c>
    </row>
    <row r="148">
      <c r="A148" t="n">
        <v>147</v>
      </c>
      <c r="B148" t="inlineStr">
        <is>
          <t>MAT-INSUL-BONG-KHOANG-T100-D50-23</t>
        </is>
      </c>
      <c r="C148" s="2" t="n">
        <v>378000</v>
      </c>
    </row>
    <row r="149">
      <c r="A149" t="n">
        <v>148</v>
      </c>
      <c r="B149" t="inlineStr">
        <is>
          <t>MAT-INSUL-BONG-GOM-BAO-610-X7200-X-25</t>
        </is>
      </c>
      <c r="C149" s="2" t="n">
        <v>280000</v>
      </c>
    </row>
    <row r="150">
      <c r="A150" t="n">
        <v>149</v>
      </c>
      <c r="B150" t="inlineStr">
        <is>
          <t>MAT-INSUL-BONG-GOM-HOP-610-X7200-X-26</t>
        </is>
      </c>
      <c r="C150" s="2" t="n">
        <v>360000</v>
      </c>
    </row>
    <row r="151">
      <c r="A151" t="n">
        <v>150</v>
      </c>
      <c r="B151" t="inlineStr">
        <is>
          <t>MAT-INSUL-BONG-GOM-HOP-610-X7200-X-27</t>
        </is>
      </c>
      <c r="C151" s="2" t="n">
        <v>465000</v>
      </c>
    </row>
    <row r="152">
      <c r="A152" t="n">
        <v>151</v>
      </c>
      <c r="B152" t="inlineStr">
        <is>
          <t>MAT-INSUL-BONG-GOM-HOP-610-X7200-X-28</t>
        </is>
      </c>
      <c r="C152" s="2" t="n">
        <v>970000</v>
      </c>
    </row>
    <row r="153">
      <c r="A153" t="n">
        <v>152</v>
      </c>
      <c r="B153" t="inlineStr">
        <is>
          <t>MAT-INSUL-BONG-GOM-DANG-TAM-600-X-9-29</t>
        </is>
      </c>
      <c r="C153" s="2" t="n">
        <v>720000</v>
      </c>
    </row>
    <row r="154">
      <c r="A154" t="n">
        <v>153</v>
      </c>
      <c r="B154" t="inlineStr">
        <is>
          <t>MAT-INSUL-BONG-GOM-DANG-ROI-30</t>
        </is>
      </c>
      <c r="C154" s="2" t="n">
        <v>370000</v>
      </c>
    </row>
    <row r="155">
      <c r="A155" t="n">
        <v>154</v>
      </c>
      <c r="B155" t="inlineStr">
        <is>
          <t>MAT-INSUL-MUT-TRUNG-3CM-KICH-THUOC-32</t>
        </is>
      </c>
      <c r="C155" s="2" t="n">
        <v>260000</v>
      </c>
    </row>
    <row r="156">
      <c r="A156" t="n">
        <v>155</v>
      </c>
      <c r="B156" t="inlineStr">
        <is>
          <t>MAT-INSUL-MUT-TRUNG-5CM-KICH-THUOC-33</t>
        </is>
      </c>
      <c r="C156" s="2" t="n">
        <v>360000</v>
      </c>
    </row>
    <row r="157">
      <c r="A157" t="n">
        <v>156</v>
      </c>
      <c r="B157" t="inlineStr">
        <is>
          <t>MAT-INSUL-MUT-GAI-5CM-KICH-THUOC-TA-34</t>
        </is>
      </c>
      <c r="C157" s="2" t="n">
        <v>330000</v>
      </c>
    </row>
    <row r="158">
      <c r="A158" t="n">
        <v>157</v>
      </c>
      <c r="B158" t="inlineStr">
        <is>
          <t>MAT-INSUL-XOP-XPS-DAY-25MM-KICH-THU-35</t>
        </is>
      </c>
      <c r="C158" s="2" t="n">
        <v>72000</v>
      </c>
    </row>
    <row r="159">
      <c r="A159" t="n">
        <v>158</v>
      </c>
      <c r="B159" t="inlineStr">
        <is>
          <t>MAT-INSUL-VAI-THUY-TINH-36</t>
        </is>
      </c>
      <c r="C159" s="2" t="n">
        <v>85000</v>
      </c>
    </row>
    <row r="160">
      <c r="A160" t="n">
        <v>159</v>
      </c>
      <c r="B160" t="inlineStr">
        <is>
          <t>MAT-INSUL-TON-LO-D6-38</t>
        </is>
      </c>
      <c r="C160" s="2" t="n">
        <v>130000</v>
      </c>
    </row>
    <row r="161">
      <c r="A161" t="n">
        <v>160</v>
      </c>
      <c r="B161" t="inlineStr">
        <is>
          <t>MAT-INSUL-TON-LO-D10-40</t>
        </is>
      </c>
      <c r="C161" s="2" t="n">
        <v>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2026-10-10T09:14:00Z</dcterms:created>
  <dcterms:modified xmlns:dcterms="http://purl.org/dc/terms/" xmlns:xsi="http://www.w3.org/2001/XMLSchema-instance" xsi:type="dcterms:W3CDTF">2026-10-10T09:14:02Z</dcterms:modified>
</cp:coreProperties>
</file>
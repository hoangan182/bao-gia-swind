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TONG_HOP_BAO_GIA" sheetId="1" state="visible" r:id="rId1"/>
    <sheet name="01_BOC_TACH_ONG" sheetId="2" state="visible" r:id="rId2"/>
    <sheet name="02_BOC_TACH_CUA" sheetId="3" state="visible" r:id="rId3"/>
    <sheet name="03_BOC_TACH_VAN" sheetId="4" state="visible" r:id="rId4"/>
    <sheet name="04_BOM_MUA_HANG" sheetId="5" state="visible" r:id="rId5"/>
    <sheet name="05_MASTER_DATA_GIA_GO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STT</t>
        </is>
      </c>
      <c r="B1" s="1" t="inlineStr">
        <is>
          <t>ITEM_ID</t>
        </is>
      </c>
      <c r="C1" s="1" t="inlineStr">
        <is>
          <t>PHÂN NHÓM</t>
        </is>
      </c>
      <c r="D1" s="1" t="inlineStr">
        <is>
          <t>TÊN SẢN PHẨM</t>
        </is>
      </c>
      <c r="E1" s="1" t="inlineStr">
        <is>
          <t>KÍCH THƯỚC</t>
        </is>
      </c>
      <c r="F1" s="1" t="inlineStr">
        <is>
          <t>ĐVT</t>
        </is>
      </c>
      <c r="G1" s="1" t="inlineStr">
        <is>
          <t>SỐ LƯỢNG</t>
        </is>
      </c>
      <c r="H1" s="1" t="inlineStr">
        <is>
          <t>CP ỐNG/TIÊU ÂM</t>
        </is>
      </c>
      <c r="I1" s="1" t="inlineStr">
        <is>
          <t>CP CỬA GIÓ</t>
        </is>
      </c>
      <c r="J1" s="1" t="inlineStr">
        <is>
          <t>CP VAN GIÓ</t>
        </is>
      </c>
      <c r="K1" s="1" t="inlineStr">
        <is>
          <t>TỔNG CP VẬT TƯ</t>
        </is>
      </c>
      <c r="L1" s="1" t="inlineStr">
        <is>
          <t>NHÂN CÔNG</t>
        </is>
      </c>
      <c r="M1" s="1" t="inlineStr">
        <is>
          <t>CP XƯỞNG</t>
        </is>
      </c>
      <c r="N1" s="1" t="inlineStr">
        <is>
          <t>GIÁ VỐN</t>
        </is>
      </c>
      <c r="O1" s="1" t="inlineStr">
        <is>
          <t>MARGIN (%)</t>
        </is>
      </c>
      <c r="P1" s="1" t="inlineStr">
        <is>
          <t>ĐƠN GIÁ BÁN</t>
        </is>
      </c>
      <c r="Q1" s="1" t="inlineStr">
        <is>
          <t>THÀNH TIỀN</t>
        </is>
      </c>
    </row>
    <row r="2">
      <c r="A2" t="n">
        <v>1</v>
      </c>
      <c r="B2" t="inlineStr">
        <is>
          <t>SW-BNH-DUCT-001</t>
        </is>
      </c>
      <c r="C2" t="inlineStr">
        <is>
          <t>ỐNG GIÓ</t>
        </is>
      </c>
      <c r="D2" t="inlineStr">
        <is>
          <t>Tole tráng kẽm dày 0.58mm (dùng cho ống gió có a, b &lt;400mm)</t>
        </is>
      </c>
      <c r="E2" t="inlineStr">
        <is>
          <t>-</t>
        </is>
      </c>
      <c r="F2" t="inlineStr">
        <is>
          <t>m2</t>
        </is>
      </c>
      <c r="G2" t="n">
        <v>5757.003</v>
      </c>
      <c r="H2">
        <f>SUMIF('01_BOC_TACH_ONG'!B:B, B3, '01_BOC_TACH_ONG'!I:I)</f>
        <v/>
      </c>
      <c r="I2">
        <f>SUMIF('02_BOC_TACH_CUA'!B:B, B3, '02_BOC_TACH_CUA'!I:I)</f>
        <v/>
      </c>
      <c r="J2">
        <f>SUMIF('03_BOC_TACH_VAN'!B:B, B3, '03_BOC_TACH_VAN'!I:I)</f>
        <v/>
      </c>
      <c r="K2">
        <f>SUM(H3:J3)</f>
        <v/>
      </c>
      <c r="L2" t="n">
        <v>50000</v>
      </c>
      <c r="M2" t="n">
        <v>20000</v>
      </c>
      <c r="N2">
        <f>K3+L3+M3</f>
        <v/>
      </c>
      <c r="O2" t="n">
        <v>0.2</v>
      </c>
      <c r="P2">
        <f>N3*(1+O3)</f>
        <v/>
      </c>
      <c r="Q2">
        <f>G3*P3</f>
        <v/>
      </c>
    </row>
    <row r="3">
      <c r="A3" t="n">
        <v>2</v>
      </c>
      <c r="B3" t="inlineStr">
        <is>
          <t>SW-BNH-DUCT-002</t>
        </is>
      </c>
      <c r="C3" t="inlineStr">
        <is>
          <t>ỐNG GIÓ</t>
        </is>
      </c>
      <c r="D3" t="inlineStr">
        <is>
          <t>Tole tráng kẽm dày 0.75mm  (dùng cho ống gió có 600&lt;a, b&lt;=1000mm)</t>
        </is>
      </c>
      <c r="E3" t="inlineStr">
        <is>
          <t>-</t>
        </is>
      </c>
      <c r="F3" t="inlineStr">
        <is>
          <t>m2</t>
        </is>
      </c>
      <c r="G3" t="n">
        <v>2103.60675</v>
      </c>
      <c r="H3">
        <f>SUMIF('01_BOC_TACH_ONG'!B:B, B4, '01_BOC_TACH_ONG'!I:I)</f>
        <v/>
      </c>
      <c r="I3">
        <f>SUMIF('02_BOC_TACH_CUA'!B:B, B4, '02_BOC_TACH_CUA'!I:I)</f>
        <v/>
      </c>
      <c r="J3">
        <f>SUMIF('03_BOC_TACH_VAN'!B:B, B4, '03_BOC_TACH_VAN'!I:I)</f>
        <v/>
      </c>
      <c r="K3">
        <f>SUM(H4:J4)</f>
        <v/>
      </c>
      <c r="L3" t="n">
        <v>50000</v>
      </c>
      <c r="M3" t="n">
        <v>20000</v>
      </c>
      <c r="N3">
        <f>K4+L4+M4</f>
        <v/>
      </c>
      <c r="O3" t="n">
        <v>0.2</v>
      </c>
      <c r="P3">
        <f>N4*(1+O4)</f>
        <v/>
      </c>
      <c r="Q3">
        <f>G4*P4</f>
        <v/>
      </c>
    </row>
    <row r="4">
      <c r="A4" t="n">
        <v>3</v>
      </c>
      <c r="B4" t="inlineStr">
        <is>
          <t>SW-BNH-DUCT-003</t>
        </is>
      </c>
      <c r="C4" t="inlineStr">
        <is>
          <t>ỐNG GIÓ</t>
        </is>
      </c>
      <c r="D4" t="inlineStr">
        <is>
          <t>Tole tráng kẽm dày 0.95mm (dùng cho ống gió có 1000&lt;a, b&lt;=2000mm)</t>
        </is>
      </c>
      <c r="E4" t="inlineStr">
        <is>
          <t>-</t>
        </is>
      </c>
      <c r="F4" t="inlineStr">
        <is>
          <t>m2</t>
        </is>
      </c>
      <c r="G4" t="n">
        <v>1568.0175</v>
      </c>
      <c r="H4">
        <f>SUMIF('01_BOC_TACH_ONG'!B:B, B5, '01_BOC_TACH_ONG'!I:I)</f>
        <v/>
      </c>
      <c r="I4">
        <f>SUMIF('02_BOC_TACH_CUA'!B:B, B5, '02_BOC_TACH_CUA'!I:I)</f>
        <v/>
      </c>
      <c r="J4">
        <f>SUMIF('03_BOC_TACH_VAN'!B:B, B5, '03_BOC_TACH_VAN'!I:I)</f>
        <v/>
      </c>
      <c r="K4">
        <f>SUM(H5:J5)</f>
        <v/>
      </c>
      <c r="L4" t="n">
        <v>50000</v>
      </c>
      <c r="M4" t="n">
        <v>20000</v>
      </c>
      <c r="N4">
        <f>K5+L5+M5</f>
        <v/>
      </c>
      <c r="O4" t="n">
        <v>0.2</v>
      </c>
      <c r="P4">
        <f>N5*(1+O5)</f>
        <v/>
      </c>
      <c r="Q4">
        <f>G5*P5</f>
        <v/>
      </c>
    </row>
    <row r="5">
      <c r="A5" t="n">
        <v>4</v>
      </c>
      <c r="B5" t="inlineStr">
        <is>
          <t>SW-BNH-DAMP-004</t>
        </is>
      </c>
      <c r="C5" t="inlineStr">
        <is>
          <t>VAN GIÓ</t>
        </is>
      </c>
      <c r="D5" t="inlineStr">
        <is>
          <t>Van điều chỉnh lưu lượng VCD - Kích thước 100x100</t>
        </is>
      </c>
      <c r="E5" t="inlineStr">
        <is>
          <t>100x100</t>
        </is>
      </c>
      <c r="F5" t="inlineStr">
        <is>
          <t>Cái</t>
        </is>
      </c>
      <c r="G5" t="n">
        <v>111</v>
      </c>
      <c r="H5">
        <f>SUMIF('01_BOC_TACH_ONG'!B:B, B6, '01_BOC_TACH_ONG'!I:I)</f>
        <v/>
      </c>
      <c r="I5">
        <f>SUMIF('02_BOC_TACH_CUA'!B:B, B6, '02_BOC_TACH_CUA'!I:I)</f>
        <v/>
      </c>
      <c r="J5">
        <f>SUMIF('03_BOC_TACH_VAN'!B:B, B6, '03_BOC_TACH_VAN'!I:I)</f>
        <v/>
      </c>
      <c r="K5">
        <f>SUM(H6:J6)</f>
        <v/>
      </c>
      <c r="L5" t="n">
        <v>50000</v>
      </c>
      <c r="M5" t="n">
        <v>20000</v>
      </c>
      <c r="N5">
        <f>K6+L6+M6</f>
        <v/>
      </c>
      <c r="O5" t="n">
        <v>0.2</v>
      </c>
      <c r="P5">
        <f>N6*(1+O6)</f>
        <v/>
      </c>
      <c r="Q5">
        <f>G6*P6</f>
        <v/>
      </c>
    </row>
    <row r="6">
      <c r="A6" t="n">
        <v>5</v>
      </c>
      <c r="B6" t="inlineStr">
        <is>
          <t>SW-BNH-DAMP-005</t>
        </is>
      </c>
      <c r="C6" t="inlineStr">
        <is>
          <t>VAN GIÓ</t>
        </is>
      </c>
      <c r="D6" t="inlineStr">
        <is>
          <t>Van điều chỉnh lưu lượng VCD - Kích thước 150x100</t>
        </is>
      </c>
      <c r="E6" t="inlineStr">
        <is>
          <t>150x100</t>
        </is>
      </c>
      <c r="F6" t="inlineStr">
        <is>
          <t>Cái</t>
        </is>
      </c>
      <c r="G6" t="n">
        <v>23</v>
      </c>
      <c r="H6">
        <f>SUMIF('01_BOC_TACH_ONG'!B:B, B7, '01_BOC_TACH_ONG'!I:I)</f>
        <v/>
      </c>
      <c r="I6">
        <f>SUMIF('02_BOC_TACH_CUA'!B:B, B7, '02_BOC_TACH_CUA'!I:I)</f>
        <v/>
      </c>
      <c r="J6">
        <f>SUMIF('03_BOC_TACH_VAN'!B:B, B7, '03_BOC_TACH_VAN'!I:I)</f>
        <v/>
      </c>
      <c r="K6">
        <f>SUM(H7:J7)</f>
        <v/>
      </c>
      <c r="L6" t="n">
        <v>50000</v>
      </c>
      <c r="M6" t="n">
        <v>20000</v>
      </c>
      <c r="N6">
        <f>K7+L7+M7</f>
        <v/>
      </c>
      <c r="O6" t="n">
        <v>0.2</v>
      </c>
      <c r="P6">
        <f>N7*(1+O7)</f>
        <v/>
      </c>
      <c r="Q6">
        <f>G7*P7</f>
        <v/>
      </c>
    </row>
    <row r="7">
      <c r="A7" t="n">
        <v>6</v>
      </c>
      <c r="B7" t="inlineStr">
        <is>
          <t>SW-BNH-DAMP-006</t>
        </is>
      </c>
      <c r="C7" t="inlineStr">
        <is>
          <t>VAN GIÓ</t>
        </is>
      </c>
      <c r="D7" t="inlineStr">
        <is>
          <t>Van điều chỉnh lưu lượng VCD - Kích thước 150x150</t>
        </is>
      </c>
      <c r="E7" t="inlineStr">
        <is>
          <t>150x150</t>
        </is>
      </c>
      <c r="F7" t="inlineStr">
        <is>
          <t>Cái</t>
        </is>
      </c>
      <c r="G7" t="n">
        <v>23</v>
      </c>
      <c r="H7">
        <f>SUMIF('01_BOC_TACH_ONG'!B:B, B8, '01_BOC_TACH_ONG'!I:I)</f>
        <v/>
      </c>
      <c r="I7">
        <f>SUMIF('02_BOC_TACH_CUA'!B:B, B8, '02_BOC_TACH_CUA'!I:I)</f>
        <v/>
      </c>
      <c r="J7">
        <f>SUMIF('03_BOC_TACH_VAN'!B:B, B8, '03_BOC_TACH_VAN'!I:I)</f>
        <v/>
      </c>
      <c r="K7">
        <f>SUM(H8:J8)</f>
        <v/>
      </c>
      <c r="L7" t="n">
        <v>50000</v>
      </c>
      <c r="M7" t="n">
        <v>20000</v>
      </c>
      <c r="N7">
        <f>K8+L8+M8</f>
        <v/>
      </c>
      <c r="O7" t="n">
        <v>0.2</v>
      </c>
      <c r="P7">
        <f>N8*(1+O8)</f>
        <v/>
      </c>
      <c r="Q7">
        <f>G8*P8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SUB_KEY</t>
        </is>
      </c>
      <c r="B1" s="1" t="inlineStr">
        <is>
          <t>PARENT_ITEM_ID</t>
        </is>
      </c>
      <c r="C1" s="1" t="inlineStr">
        <is>
          <t>TÊN CẤU KIỆN</t>
        </is>
      </c>
      <c r="D1" s="1" t="inlineStr">
        <is>
          <t>QUY CÁCH VẬT LIỆU</t>
        </is>
      </c>
      <c r="E1" s="1" t="inlineStr">
        <is>
          <t>DIỆN TÍCH PHÔI (M2)</t>
        </is>
      </c>
      <c r="F1" s="1" t="inlineStr">
        <is>
          <t>HAO HỤT</t>
        </is>
      </c>
      <c r="G1" s="1" t="inlineStr">
        <is>
          <t>TRỌNG LƯỢNG (KG)</t>
        </is>
      </c>
      <c r="H1" s="1" t="inlineStr">
        <is>
          <t>ĐƠN GIÁ</t>
        </is>
      </c>
      <c r="I1" s="1" t="inlineStr">
        <is>
          <t>THÀNH TIỀN</t>
        </is>
      </c>
    </row>
    <row r="2">
      <c r="A2" t="inlineStr">
        <is>
          <t>SW-BNH-DUCT-001-BODY</t>
        </is>
      </c>
      <c r="B2" t="inlineStr">
        <is>
          <t>SW-BNH-DUCT-001</t>
        </is>
      </c>
      <c r="C2" t="inlineStr">
        <is>
          <t>Thân ống gió</t>
        </is>
      </c>
      <c r="D2" t="inlineStr">
        <is>
          <t>MAT-STEEL-0.58-PN</t>
        </is>
      </c>
      <c r="E2" t="n">
        <v>5757.003</v>
      </c>
      <c r="F2" t="n">
        <v>1.1</v>
      </c>
      <c r="G2" t="n">
        <v>28832.7981249</v>
      </c>
      <c r="H2">
        <f>XLOOKUP("MAT-STEEL-0.58-PN", '05_MASTER_DATA_GIA_GOC'!A:A, '05_MASTER_DATA_GIA_GOC'!D:D, 0)</f>
        <v/>
      </c>
      <c r="I2">
        <f>G2*H2</f>
        <v/>
      </c>
    </row>
    <row r="3">
      <c r="A3" t="inlineStr">
        <is>
          <t>SW-BNH-DUCT-002-BODY</t>
        </is>
      </c>
      <c r="B3" t="inlineStr">
        <is>
          <t>SW-BNH-DUCT-002</t>
        </is>
      </c>
      <c r="C3" t="inlineStr">
        <is>
          <t>Thân ống gió</t>
        </is>
      </c>
      <c r="D3" t="inlineStr">
        <is>
          <t>MAT-STEEL-0.75-PN</t>
        </is>
      </c>
      <c r="E3" t="n">
        <v>2103.60675</v>
      </c>
      <c r="F3" t="n">
        <v>1.1</v>
      </c>
      <c r="G3" t="n">
        <v>13623.4832146875</v>
      </c>
      <c r="H3">
        <f>XLOOKUP("MAT-STEEL-0.75-PN", '05_MASTER_DATA_GIA_GOC'!A:A, '05_MASTER_DATA_GIA_GOC'!D:D, 0)</f>
        <v/>
      </c>
      <c r="I3">
        <f>G3*H3</f>
        <v/>
      </c>
    </row>
    <row r="4">
      <c r="A4" t="inlineStr">
        <is>
          <t>SW-BNH-DUCT-003-BODY</t>
        </is>
      </c>
      <c r="B4" t="inlineStr">
        <is>
          <t>SW-BNH-DUCT-003</t>
        </is>
      </c>
      <c r="C4" t="inlineStr">
        <is>
          <t>Thân ống gió</t>
        </is>
      </c>
      <c r="D4" t="inlineStr">
        <is>
          <t>MAT-STEEL-0.95-PN</t>
        </is>
      </c>
      <c r="E4" t="n">
        <v>1568.0175</v>
      </c>
      <c r="F4" t="n">
        <v>1.1</v>
      </c>
      <c r="G4" t="n">
        <v>12862.839556875</v>
      </c>
      <c r="H4">
        <f>XLOOKUP("MAT-STEEL-0.95-PN", '05_MASTER_DATA_GIA_GOC'!A:A, '05_MASTER_DATA_GIA_GOC'!D:D, 0)</f>
        <v/>
      </c>
      <c r="I4">
        <f>G4*H4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SUB_KEY</t>
        </is>
      </c>
      <c r="B1" s="1" t="inlineStr">
        <is>
          <t>PARENT_ITEM_ID</t>
        </is>
      </c>
      <c r="C1" s="1" t="inlineStr">
        <is>
          <t>CHI TIẾT CẤU THÀNH</t>
        </is>
      </c>
      <c r="D1" s="1" t="inlineStr">
        <is>
          <t>KÍCH THƯỚC</t>
        </is>
      </c>
      <c r="E1" s="1" t="inlineStr">
        <is>
          <t>SỐ LƯỢNG (M/CÁI)</t>
        </is>
      </c>
      <c r="F1" s="1" t="inlineStr">
        <is>
          <t>TRỌNG LƯỢNG (KG)</t>
        </is>
      </c>
      <c r="G1" s="1" t="inlineStr">
        <is>
          <t>DIỆN TÍCH SƠN</t>
        </is>
      </c>
      <c r="H1" s="1" t="inlineStr">
        <is>
          <t>ĐƠN GIÁ</t>
        </is>
      </c>
      <c r="I1" s="1" t="inlineStr">
        <is>
          <t>THÀNH TIỀN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SUB_KEY</t>
        </is>
      </c>
      <c r="B1" s="1" t="inlineStr">
        <is>
          <t>PARENT_ITEM_ID</t>
        </is>
      </c>
      <c r="C1" s="1" t="inlineStr">
        <is>
          <t>CHỦNG LOẠI VAN</t>
        </is>
      </c>
      <c r="D1" s="1" t="inlineStr">
        <is>
          <t>CHI TIẾT CƠ KHÍ</t>
        </is>
      </c>
      <c r="E1" s="1" t="inlineStr">
        <is>
          <t>SỐ LƯỢNG (CÁI/BỘ)</t>
        </is>
      </c>
      <c r="F1" s="1" t="inlineStr">
        <is>
          <t>KHỐI LƯỢNG TÔN (KG)</t>
        </is>
      </c>
      <c r="G1" s="1" t="inlineStr">
        <is>
          <t>MAT_ID</t>
        </is>
      </c>
      <c r="H1" s="1" t="inlineStr">
        <is>
          <t>ĐƠN GIÁ</t>
        </is>
      </c>
      <c r="I1" s="1" t="inlineStr">
        <is>
          <t>THÀNH TIỀN</t>
        </is>
      </c>
    </row>
    <row r="2">
      <c r="A2" t="inlineStr">
        <is>
          <t>SW-BNH-DAMP-004-BODY</t>
        </is>
      </c>
      <c r="B2" t="inlineStr">
        <is>
          <t>SW-BNH-DAMP-004</t>
        </is>
      </c>
      <c r="C2" t="inlineStr">
        <is>
          <t>Van VCD</t>
        </is>
      </c>
      <c r="D2" t="inlineStr">
        <is>
          <t>Thân vỏ van VCD</t>
        </is>
      </c>
      <c r="E2" t="n">
        <v>111</v>
      </c>
      <c r="F2" t="n">
        <v>52.281</v>
      </c>
      <c r="G2" t="inlineStr">
        <is>
          <t>MAT-STEEL-0.75-PN</t>
        </is>
      </c>
      <c r="H2">
        <f>XLOOKUP(G2, '05_MASTER_DATA_GIA_GOC'!A:A, '05_MASTER_DATA_GIA_GOC'!D:D, 0)</f>
        <v/>
      </c>
      <c r="I2">
        <f>E2*H2</f>
        <v/>
      </c>
    </row>
    <row r="3">
      <c r="A3" t="inlineStr">
        <is>
          <t>SW-BNH-DAMP-004-BLADE</t>
        </is>
      </c>
      <c r="B3" t="inlineStr">
        <is>
          <t>SW-BNH-DAMP-004</t>
        </is>
      </c>
      <c r="C3" t="inlineStr">
        <is>
          <t>Van VCD</t>
        </is>
      </c>
      <c r="D3" t="inlineStr">
        <is>
          <t>Cánh van</t>
        </is>
      </c>
      <c r="E3" t="n">
        <v>111</v>
      </c>
      <c r="F3" t="n">
        <v>6.535125</v>
      </c>
      <c r="G3" t="inlineStr">
        <is>
          <t>MAT-STEEL-0.75-PN</t>
        </is>
      </c>
      <c r="H3">
        <f>XLOOKUP(G3, '05_MASTER_DATA_GIA_GOC'!A:A, '05_MASTER_DATA_GIA_GOC'!D:D, 0)</f>
        <v/>
      </c>
      <c r="I3">
        <f>E3*H3</f>
        <v/>
      </c>
    </row>
    <row r="4">
      <c r="A4" t="inlineStr">
        <is>
          <t>SW-BNH-DAMP-004-AXLE</t>
        </is>
      </c>
      <c r="B4" t="inlineStr">
        <is>
          <t>SW-BNH-DAMP-004</t>
        </is>
      </c>
      <c r="C4" t="inlineStr">
        <is>
          <t>Van VCD</t>
        </is>
      </c>
      <c r="D4" t="inlineStr">
        <is>
          <t>Trục ty thép D10</t>
        </is>
      </c>
      <c r="E4" t="n">
        <v>111</v>
      </c>
      <c r="F4" t="n">
        <v>0</v>
      </c>
      <c r="G4" t="inlineStr">
        <is>
          <t>MAT-AXLE-D10</t>
        </is>
      </c>
      <c r="H4">
        <f>XLOOKUP(G4, '05_MASTER_DATA_GIA_GOC'!A:A, '05_MASTER_DATA_GIA_GOC'!D:D, 0)</f>
        <v/>
      </c>
      <c r="I4">
        <f>E4*H4</f>
        <v/>
      </c>
    </row>
    <row r="5">
      <c r="A5" t="inlineStr">
        <is>
          <t>SW-BNH-DAMP-004-GEAR</t>
        </is>
      </c>
      <c r="B5" t="inlineStr">
        <is>
          <t>SW-BNH-DAMP-004</t>
        </is>
      </c>
      <c r="C5" t="inlineStr">
        <is>
          <t>Van VCD</t>
        </is>
      </c>
      <c r="D5" t="inlineStr">
        <is>
          <t>Cặp bánh răng liên động</t>
        </is>
      </c>
      <c r="E5" t="n">
        <v>111</v>
      </c>
      <c r="F5" t="n">
        <v>0</v>
      </c>
      <c r="G5" t="inlineStr">
        <is>
          <t>MAT-GEAR-ALU</t>
        </is>
      </c>
      <c r="H5">
        <f>XLOOKUP(G5, '05_MASTER_DATA_GIA_GOC'!A:A, '05_MASTER_DATA_GIA_GOC'!D:D, 0)</f>
        <v/>
      </c>
      <c r="I5">
        <f>E5*H5</f>
        <v/>
      </c>
    </row>
    <row r="6">
      <c r="A6" t="inlineStr">
        <is>
          <t>SW-BNH-DAMP-005-BODY</t>
        </is>
      </c>
      <c r="B6" t="inlineStr">
        <is>
          <t>SW-BNH-DAMP-005</t>
        </is>
      </c>
      <c r="C6" t="inlineStr">
        <is>
          <t>Van VCD</t>
        </is>
      </c>
      <c r="D6" t="inlineStr">
        <is>
          <t>Thân vỏ van VCD</t>
        </is>
      </c>
      <c r="E6" t="n">
        <v>23</v>
      </c>
      <c r="F6" t="n">
        <v>13.54125</v>
      </c>
      <c r="G6" t="inlineStr">
        <is>
          <t>MAT-STEEL-0.75-PN</t>
        </is>
      </c>
      <c r="H6">
        <f>XLOOKUP(G6, '05_MASTER_DATA_GIA_GOC'!A:A, '05_MASTER_DATA_GIA_GOC'!D:D, 0)</f>
        <v/>
      </c>
      <c r="I6">
        <f>E6*H6</f>
        <v/>
      </c>
    </row>
    <row r="7">
      <c r="A7" t="inlineStr">
        <is>
          <t>SW-BNH-DAMP-005-BLADE</t>
        </is>
      </c>
      <c r="B7" t="inlineStr">
        <is>
          <t>SW-BNH-DAMP-005</t>
        </is>
      </c>
      <c r="C7" t="inlineStr">
        <is>
          <t>Van VCD</t>
        </is>
      </c>
      <c r="D7" t="inlineStr">
        <is>
          <t>Cánh van</t>
        </is>
      </c>
      <c r="E7" t="n">
        <v>23</v>
      </c>
      <c r="F7" t="n">
        <v>2.0311875</v>
      </c>
      <c r="G7" t="inlineStr">
        <is>
          <t>MAT-STEEL-0.75-PN</t>
        </is>
      </c>
      <c r="H7">
        <f>XLOOKUP(G7, '05_MASTER_DATA_GIA_GOC'!A:A, '05_MASTER_DATA_GIA_GOC'!D:D, 0)</f>
        <v/>
      </c>
      <c r="I7">
        <f>E7*H7</f>
        <v/>
      </c>
    </row>
    <row r="8">
      <c r="A8" t="inlineStr">
        <is>
          <t>SW-BNH-DAMP-005-AXLE</t>
        </is>
      </c>
      <c r="B8" t="inlineStr">
        <is>
          <t>SW-BNH-DAMP-005</t>
        </is>
      </c>
      <c r="C8" t="inlineStr">
        <is>
          <t>Van VCD</t>
        </is>
      </c>
      <c r="D8" t="inlineStr">
        <is>
          <t>Trục ty thép D10</t>
        </is>
      </c>
      <c r="E8" t="n">
        <v>23</v>
      </c>
      <c r="F8" t="n">
        <v>0</v>
      </c>
      <c r="G8" t="inlineStr">
        <is>
          <t>MAT-AXLE-D10</t>
        </is>
      </c>
      <c r="H8">
        <f>XLOOKUP(G8, '05_MASTER_DATA_GIA_GOC'!A:A, '05_MASTER_DATA_GIA_GOC'!D:D, 0)</f>
        <v/>
      </c>
      <c r="I8">
        <f>E8*H8</f>
        <v/>
      </c>
    </row>
    <row r="9">
      <c r="A9" t="inlineStr">
        <is>
          <t>SW-BNH-DAMP-005-GEAR</t>
        </is>
      </c>
      <c r="B9" t="inlineStr">
        <is>
          <t>SW-BNH-DAMP-005</t>
        </is>
      </c>
      <c r="C9" t="inlineStr">
        <is>
          <t>Van VCD</t>
        </is>
      </c>
      <c r="D9" t="inlineStr">
        <is>
          <t>Cặp bánh răng liên động</t>
        </is>
      </c>
      <c r="E9" t="n">
        <v>23</v>
      </c>
      <c r="F9" t="n">
        <v>0</v>
      </c>
      <c r="G9" t="inlineStr">
        <is>
          <t>MAT-GEAR-ALU</t>
        </is>
      </c>
      <c r="H9">
        <f>XLOOKUP(G9, '05_MASTER_DATA_GIA_GOC'!A:A, '05_MASTER_DATA_GIA_GOC'!D:D, 0)</f>
        <v/>
      </c>
      <c r="I9">
        <f>E9*H9</f>
        <v/>
      </c>
    </row>
    <row r="10">
      <c r="A10" t="inlineStr">
        <is>
          <t>SW-BNH-DAMP-006-BODY</t>
        </is>
      </c>
      <c r="B10" t="inlineStr">
        <is>
          <t>SW-BNH-DAMP-006</t>
        </is>
      </c>
      <c r="C10" t="inlineStr">
        <is>
          <t>Van VCD</t>
        </is>
      </c>
      <c r="D10" t="inlineStr">
        <is>
          <t>Thân vỏ van VCD</t>
        </is>
      </c>
      <c r="E10" t="n">
        <v>23</v>
      </c>
      <c r="F10" t="n">
        <v>16.2495</v>
      </c>
      <c r="G10" t="inlineStr">
        <is>
          <t>MAT-STEEL-0.75-PN</t>
        </is>
      </c>
      <c r="H10">
        <f>XLOOKUP(G10, '05_MASTER_DATA_GIA_GOC'!A:A, '05_MASTER_DATA_GIA_GOC'!D:D, 0)</f>
        <v/>
      </c>
      <c r="I10">
        <f>E10*H10</f>
        <v/>
      </c>
    </row>
    <row r="11">
      <c r="A11" t="inlineStr">
        <is>
          <t>SW-BNH-DAMP-006-BLADE</t>
        </is>
      </c>
      <c r="B11" t="inlineStr">
        <is>
          <t>SW-BNH-DAMP-006</t>
        </is>
      </c>
      <c r="C11" t="inlineStr">
        <is>
          <t>Van VCD</t>
        </is>
      </c>
      <c r="D11" t="inlineStr">
        <is>
          <t>Cánh van</t>
        </is>
      </c>
      <c r="E11" t="n">
        <v>23</v>
      </c>
      <c r="F11" t="n">
        <v>3.046781249999999</v>
      </c>
      <c r="G11" t="inlineStr">
        <is>
          <t>MAT-STEEL-0.75-PN</t>
        </is>
      </c>
      <c r="H11">
        <f>XLOOKUP(G11, '05_MASTER_DATA_GIA_GOC'!A:A, '05_MASTER_DATA_GIA_GOC'!D:D, 0)</f>
        <v/>
      </c>
      <c r="I11">
        <f>E11*H11</f>
        <v/>
      </c>
    </row>
    <row r="12">
      <c r="A12" t="inlineStr">
        <is>
          <t>SW-BNH-DAMP-006-AXLE</t>
        </is>
      </c>
      <c r="B12" t="inlineStr">
        <is>
          <t>SW-BNH-DAMP-006</t>
        </is>
      </c>
      <c r="C12" t="inlineStr">
        <is>
          <t>Van VCD</t>
        </is>
      </c>
      <c r="D12" t="inlineStr">
        <is>
          <t>Trục ty thép D10</t>
        </is>
      </c>
      <c r="E12" t="n">
        <v>23</v>
      </c>
      <c r="F12" t="n">
        <v>0</v>
      </c>
      <c r="G12" t="inlineStr">
        <is>
          <t>MAT-AXLE-D10</t>
        </is>
      </c>
      <c r="H12">
        <f>XLOOKUP(G12, '05_MASTER_DATA_GIA_GOC'!A:A, '05_MASTER_DATA_GIA_GOC'!D:D, 0)</f>
        <v/>
      </c>
      <c r="I12">
        <f>E12*H12</f>
        <v/>
      </c>
    </row>
    <row r="13">
      <c r="A13" t="inlineStr">
        <is>
          <t>SW-BNH-DAMP-006-GEAR</t>
        </is>
      </c>
      <c r="B13" t="inlineStr">
        <is>
          <t>SW-BNH-DAMP-006</t>
        </is>
      </c>
      <c r="C13" t="inlineStr">
        <is>
          <t>Van VCD</t>
        </is>
      </c>
      <c r="D13" t="inlineStr">
        <is>
          <t>Cặp bánh răng liên động</t>
        </is>
      </c>
      <c r="E13" t="n">
        <v>23</v>
      </c>
      <c r="F13" t="n">
        <v>0</v>
      </c>
      <c r="G13" t="inlineStr">
        <is>
          <t>MAT-GEAR-ALU</t>
        </is>
      </c>
      <c r="H13">
        <f>XLOOKUP(G13, '05_MASTER_DATA_GIA_GOC'!A:A, '05_MASTER_DATA_GIA_GOC'!D:D, 0)</f>
        <v/>
      </c>
      <c r="I13">
        <f>E13*H13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30" customWidth="1" min="4" max="4"/>
  </cols>
  <sheetData>
    <row r="1">
      <c r="A1" s="1" t="inlineStr">
        <is>
          <t>MAT_ID</t>
        </is>
      </c>
      <c r="B1" s="1" t="inlineStr">
        <is>
          <t>TÊN VẬT TƯ</t>
        </is>
      </c>
      <c r="C1" s="1" t="inlineStr">
        <is>
          <t>ĐVT</t>
        </is>
      </c>
      <c r="D1" s="1" t="inlineStr">
        <is>
          <t>ĐƠN GIÁ GỐC</t>
        </is>
      </c>
    </row>
    <row r="2">
      <c r="A2" t="inlineStr">
        <is>
          <t>MAT-STEEL-0.50-PN</t>
        </is>
      </c>
      <c r="B2" t="inlineStr">
        <is>
          <t>Tôn mạ kẽm Phương Nam 0.50mm</t>
        </is>
      </c>
      <c r="C2" t="inlineStr">
        <is>
          <t>kg</t>
        </is>
      </c>
      <c r="D2" t="n">
        <v>26000</v>
      </c>
    </row>
    <row r="3">
      <c r="A3" t="inlineStr">
        <is>
          <t>MAT-STEEL-0.35-VN</t>
        </is>
      </c>
      <c r="B3" t="inlineStr">
        <is>
          <t>Tôn mạ kẽm VNSteel 0.35mm</t>
        </is>
      </c>
      <c r="C3" t="inlineStr">
        <is>
          <t>kg</t>
        </is>
      </c>
      <c r="D3" t="n">
        <v>23800</v>
      </c>
    </row>
    <row r="4">
      <c r="A4" t="inlineStr">
        <is>
          <t>MAT-STEEL-0.60-PN</t>
        </is>
      </c>
      <c r="B4" t="inlineStr">
        <is>
          <t>Tôn mạ kẽm Phương Nam 0.60mm</t>
        </is>
      </c>
      <c r="C4" t="inlineStr">
        <is>
          <t>kg</t>
        </is>
      </c>
      <c r="D4" t="n">
        <v>26000</v>
      </c>
    </row>
    <row r="5">
      <c r="A5" t="inlineStr">
        <is>
          <t>MAT-STEEL-0.40-VN</t>
        </is>
      </c>
      <c r="B5" t="inlineStr">
        <is>
          <t>Tôn mạ kẽm VNSteel 0.40mm</t>
        </is>
      </c>
      <c r="C5" t="inlineStr">
        <is>
          <t>kg</t>
        </is>
      </c>
      <c r="D5" t="n">
        <v>23550</v>
      </c>
    </row>
    <row r="6">
      <c r="A6" t="inlineStr">
        <is>
          <t>MAT-STEEL-0.80-PN</t>
        </is>
      </c>
      <c r="B6" t="inlineStr">
        <is>
          <t>Tôn mạ kẽm Phương Nam 0.80mm</t>
        </is>
      </c>
      <c r="C6" t="inlineStr">
        <is>
          <t>kg</t>
        </is>
      </c>
      <c r="D6" t="n">
        <v>26000</v>
      </c>
    </row>
    <row r="7">
      <c r="A7" t="inlineStr">
        <is>
          <t>MAT-STEEL-0.42-VN</t>
        </is>
      </c>
      <c r="B7" t="inlineStr">
        <is>
          <t>Tôn mạ kẽm VNSteel 0.42mm</t>
        </is>
      </c>
      <c r="C7" t="inlineStr">
        <is>
          <t>kg</t>
        </is>
      </c>
      <c r="D7" t="n">
        <v>23400</v>
      </c>
    </row>
    <row r="8">
      <c r="A8" t="inlineStr">
        <is>
          <t>MAT-STEEL-1.00-PN</t>
        </is>
      </c>
      <c r="B8" t="inlineStr">
        <is>
          <t>Tôn mạ kẽm Phương Nam 1.00mm</t>
        </is>
      </c>
      <c r="C8" t="inlineStr">
        <is>
          <t>kg</t>
        </is>
      </c>
      <c r="D8" t="n">
        <v>26000</v>
      </c>
    </row>
    <row r="9">
      <c r="A9" t="inlineStr">
        <is>
          <t>MAT-STEEL-0.47-VN</t>
        </is>
      </c>
      <c r="B9" t="inlineStr">
        <is>
          <t>Tôn mạ kẽm VNSteel 0.47mm</t>
        </is>
      </c>
      <c r="C9" t="inlineStr">
        <is>
          <t>kg</t>
        </is>
      </c>
      <c r="D9" t="n">
        <v>23200</v>
      </c>
    </row>
    <row r="10">
      <c r="A10" t="inlineStr">
        <is>
          <t>MAT-STEEL-1.20-PN</t>
        </is>
      </c>
      <c r="B10" t="inlineStr">
        <is>
          <t>Tôn mạ kẽm Phương Nam 1.20mm</t>
        </is>
      </c>
      <c r="C10" t="inlineStr">
        <is>
          <t>kg</t>
        </is>
      </c>
      <c r="D10" t="n">
        <v>26000</v>
      </c>
    </row>
    <row r="11">
      <c r="A11" t="inlineStr">
        <is>
          <t>MAT-STEEL-0.50-VN</t>
        </is>
      </c>
      <c r="B11" t="inlineStr">
        <is>
          <t>Tôn mạ kẽm VNSteel 0.50mm</t>
        </is>
      </c>
      <c r="C11" t="inlineStr">
        <is>
          <t>kg</t>
        </is>
      </c>
      <c r="D11" t="n">
        <v>23200</v>
      </c>
    </row>
    <row r="12">
      <c r="A12" t="inlineStr">
        <is>
          <t>MAT-STEEL-1.50-PN</t>
        </is>
      </c>
      <c r="B12" t="inlineStr">
        <is>
          <t>Tôn mạ kẽm Phương Nam 1.50mm</t>
        </is>
      </c>
      <c r="C12" t="inlineStr">
        <is>
          <t>kg</t>
        </is>
      </c>
      <c r="D12" t="n">
        <v>26000</v>
      </c>
    </row>
    <row r="13">
      <c r="A13" t="inlineStr">
        <is>
          <t>MAT-STEEL-0.55-VN</t>
        </is>
      </c>
      <c r="B13" t="inlineStr">
        <is>
          <t>Tôn mạ kẽm VNSteel 0.55mm</t>
        </is>
      </c>
      <c r="C13" t="inlineStr">
        <is>
          <t>kg</t>
        </is>
      </c>
      <c r="D13" t="n">
        <v>23000</v>
      </c>
    </row>
    <row r="14">
      <c r="A14" t="inlineStr">
        <is>
          <t>MAT-STEEL-2.00-PN</t>
        </is>
      </c>
      <c r="B14" t="inlineStr">
        <is>
          <t>Tôn mạ kẽm Phương Nam 2.00mm</t>
        </is>
      </c>
      <c r="C14" t="inlineStr">
        <is>
          <t>kg</t>
        </is>
      </c>
      <c r="D14" t="n">
        <v>26000</v>
      </c>
    </row>
    <row r="15">
      <c r="A15" t="inlineStr">
        <is>
          <t>MAT-STEEL-0.58-VN</t>
        </is>
      </c>
      <c r="B15" t="inlineStr">
        <is>
          <t>Tôn mạ kẽm VNSteel 0.58mm</t>
        </is>
      </c>
      <c r="C15" t="inlineStr">
        <is>
          <t>kg</t>
        </is>
      </c>
      <c r="D15" t="n">
        <v>23000</v>
      </c>
    </row>
    <row r="16">
      <c r="A16" t="inlineStr">
        <is>
          <t>MAT-STEEL-0.60-VN</t>
        </is>
      </c>
      <c r="B16" t="inlineStr">
        <is>
          <t>Tôn mạ kẽm VNSteel 0.60mm</t>
        </is>
      </c>
      <c r="C16" t="inlineStr">
        <is>
          <t>kg</t>
        </is>
      </c>
      <c r="D16" t="n">
        <v>22850</v>
      </c>
    </row>
    <row r="17">
      <c r="A17" t="inlineStr">
        <is>
          <t>MAT-STEEL-0.64-VN</t>
        </is>
      </c>
      <c r="B17" t="inlineStr">
        <is>
          <t>Tôn mạ kẽm VNSteel 0.64mm</t>
        </is>
      </c>
      <c r="C17" t="inlineStr">
        <is>
          <t>kg</t>
        </is>
      </c>
      <c r="D17" t="n">
        <v>22800</v>
      </c>
    </row>
    <row r="18">
      <c r="A18" t="inlineStr">
        <is>
          <t>MAT-STEEL-0.70-VN</t>
        </is>
      </c>
      <c r="B18" t="inlineStr">
        <is>
          <t>Tôn mạ kẽm VNSteel 0.70mm</t>
        </is>
      </c>
      <c r="C18" t="inlineStr">
        <is>
          <t>kg</t>
        </is>
      </c>
      <c r="D18" t="n">
        <v>22700</v>
      </c>
    </row>
    <row r="19">
      <c r="A19" t="inlineStr">
        <is>
          <t>MAT-STEEL-0.75-VN</t>
        </is>
      </c>
      <c r="B19" t="inlineStr">
        <is>
          <t>Tôn mạ kẽm VNSteel 0.75mm</t>
        </is>
      </c>
      <c r="C19" t="inlineStr">
        <is>
          <t>kg</t>
        </is>
      </c>
      <c r="D19" t="n">
        <v>22600</v>
      </c>
    </row>
    <row r="20">
      <c r="A20" t="inlineStr">
        <is>
          <t>MAT-STEEL-0.95-VN</t>
        </is>
      </c>
      <c r="B20" t="inlineStr">
        <is>
          <t>Tôn mạ kẽm VNSteel 0.95mm</t>
        </is>
      </c>
      <c r="C20" t="inlineStr">
        <is>
          <t>kg</t>
        </is>
      </c>
      <c r="D20" t="n">
        <v>22500</v>
      </c>
    </row>
    <row r="21">
      <c r="A21" t="inlineStr">
        <is>
          <t>MAT-STEEL-1.15-VN</t>
        </is>
      </c>
      <c r="B21" t="inlineStr">
        <is>
          <t>Tôn mạ kẽm VNSteel 1.15mm</t>
        </is>
      </c>
      <c r="C21" t="inlineStr">
        <is>
          <t>kg</t>
        </is>
      </c>
      <c r="D21" t="n">
        <v>22400</v>
      </c>
    </row>
    <row r="22">
      <c r="A22" t="inlineStr">
        <is>
          <t>MAT-STEEL-1.20-VN</t>
        </is>
      </c>
      <c r="B22" t="inlineStr">
        <is>
          <t>Tôn mạ kẽm VNSteel 1.20mm</t>
        </is>
      </c>
      <c r="C22" t="inlineStr">
        <is>
          <t>kg</t>
        </is>
      </c>
      <c r="D22" t="n">
        <v>22400</v>
      </c>
    </row>
    <row r="23">
      <c r="A23" t="inlineStr">
        <is>
          <t>MAT-ROCKWOOL-12KG</t>
        </is>
      </c>
      <c r="B23" t="inlineStr">
        <is>
          <t>Bông thuỷ tinh không mặt bạc T12 D50 Chiều dày 50mm, khổ rộng 1,2m dài 30m. Tổng 36m2/cuộn. Tỷ trọng 12kg/m3</t>
        </is>
      </c>
      <c r="C23" t="inlineStr">
        <is>
          <t>m2</t>
        </is>
      </c>
      <c r="D23" t="n">
        <v>13000</v>
      </c>
    </row>
    <row r="24">
      <c r="A24" t="inlineStr">
        <is>
          <t>MAT-ROCKWOOL-12KG</t>
        </is>
      </c>
      <c r="B24" t="inlineStr">
        <is>
          <t>Bông thuỷ tinh có bạc T12 D50 Chiều dày 50mm, khổ rộng 1,2m dài 30m. Tổng 36m2/cuộn. Tỷ trọng 12kg/m3</t>
        </is>
      </c>
      <c r="C24" t="inlineStr">
        <is>
          <t>m2</t>
        </is>
      </c>
      <c r="D24" t="n">
        <v>18500</v>
      </c>
    </row>
    <row r="25">
      <c r="A25" t="inlineStr">
        <is>
          <t>MAT-ROCKWOOL-24KG</t>
        </is>
      </c>
      <c r="B25" t="inlineStr">
        <is>
          <t>Bông thuỷ tinh không mặt bạc T24 D50 Chiều dày 50mm, khổ rộng 1,2m dài 20m. Tổng 24m2/cuộn. Tỷ trọng 24kg/m3</t>
        </is>
      </c>
      <c r="C25" t="inlineStr">
        <is>
          <t>m2</t>
        </is>
      </c>
      <c r="D25" t="n">
        <v>24000</v>
      </c>
    </row>
    <row r="26">
      <c r="A26" t="inlineStr">
        <is>
          <t>MAT-ROCKWOOL-24KG</t>
        </is>
      </c>
      <c r="B26" t="inlineStr">
        <is>
          <t>Bông thuỷ tinh có bạc T24 D50 Chiều dày 50mm, khổ rộng 1,2m dài 20m. Tổng 24m2/cuộn. Tỷ trọng 24kg/m3</t>
        </is>
      </c>
      <c r="C26" t="inlineStr">
        <is>
          <t>m2</t>
        </is>
      </c>
      <c r="D26" t="n">
        <v>28000</v>
      </c>
    </row>
    <row r="27">
      <c r="A27" t="inlineStr">
        <is>
          <t>MAT-ROCKWOOL-32KG</t>
        </is>
      </c>
      <c r="B27" t="inlineStr">
        <is>
          <t>Bông thuỷ tinh không mặt bạc T32 D50 Chiều dày 50mm, khổ rộng 1,2m dài 15m. Tổng 18m2/cuộn. Tỷ trọng 32kg/m3</t>
        </is>
      </c>
      <c r="C27" t="inlineStr">
        <is>
          <t>m2</t>
        </is>
      </c>
      <c r="D27" t="n">
        <v>32000</v>
      </c>
    </row>
    <row r="28">
      <c r="A28" t="inlineStr">
        <is>
          <t>MAT-ROCKWOOL-32KG</t>
        </is>
      </c>
      <c r="B28" t="inlineStr">
        <is>
          <t>Bông thuỷ tinh có mặt bạc T32 D50 Chiều dày 50mm, khổ rộng 1,2m dài 15m. Tổng 18m2/cuộn. Tỷ trọng 32kg/m3</t>
        </is>
      </c>
      <c r="C28" t="inlineStr">
        <is>
          <t>m2</t>
        </is>
      </c>
      <c r="D28" t="n">
        <v>37000</v>
      </c>
    </row>
    <row r="29">
      <c r="A29" t="inlineStr">
        <is>
          <t>MAT-ROCKWOOL-12KG</t>
        </is>
      </c>
      <c r="B29" t="inlineStr">
        <is>
          <t>Bông khoáng tấm T40 Kích thước tấm: 50 x 600 x 1200mm 1 Kiện gồm 06 tấm, tỷ trọng 40kg/m3</t>
        </is>
      </c>
      <c r="C29" t="inlineStr">
        <is>
          <t>kiện</t>
        </is>
      </c>
      <c r="D29" t="n">
        <v>215000</v>
      </c>
    </row>
    <row r="30">
      <c r="A30" t="inlineStr">
        <is>
          <t>MAT-ROCKWOOL-12KG</t>
        </is>
      </c>
      <c r="B30" t="inlineStr">
        <is>
          <t>Bông khoáng tấm T50 Kích thước tấm: 50 x 600 x 1200mm 1 Kiện gồm 06 tấm, tỷ trọng 50kg/m3</t>
        </is>
      </c>
      <c r="C30" t="inlineStr">
        <is>
          <t>kiện</t>
        </is>
      </c>
      <c r="D30" t="n">
        <v>240000</v>
      </c>
    </row>
    <row r="31">
      <c r="A31" t="inlineStr">
        <is>
          <t>MAT-ROCKWOOL-12KG</t>
        </is>
      </c>
      <c r="B31" t="inlineStr">
        <is>
          <t>Bông khoáng T60 D50 Kích thước tấm: 50 x 600 x 1200mm 1 Kiện gồm 06 tấm, tỷ trọng 60kg/m3</t>
        </is>
      </c>
      <c r="C31" t="inlineStr">
        <is>
          <t>kiện</t>
        </is>
      </c>
      <c r="D31" t="n">
        <v>260000</v>
      </c>
    </row>
    <row r="32">
      <c r="A32" t="inlineStr">
        <is>
          <t>MAT-ROCKWOOL-12KG</t>
        </is>
      </c>
      <c r="B32" t="inlineStr">
        <is>
          <t>Bông khoáng T80 D50 Kích thước tấm: 50 x 600 x 1200mm 1 Kiện gồm 06 tấm, tỷ trọng 80kg/m3</t>
        </is>
      </c>
      <c r="C32" t="inlineStr">
        <is>
          <t>kiện</t>
        </is>
      </c>
      <c r="D32" t="n">
        <v>340000</v>
      </c>
    </row>
    <row r="33">
      <c r="A33" t="inlineStr">
        <is>
          <t>MAT-ROCKWOOL-12KG</t>
        </is>
      </c>
      <c r="B33" t="inlineStr">
        <is>
          <t>Bông khoáng T100 D50 Kích thước tấm: 100 x 600 x 1200mm 1 Kiện gồm 03 tấm, tỷ trọng 100kg/m3</t>
        </is>
      </c>
      <c r="C33" t="inlineStr">
        <is>
          <t>kiện</t>
        </is>
      </c>
      <c r="D33" t="n">
        <v>378000</v>
      </c>
    </row>
    <row r="34">
      <c r="A34" t="inlineStr">
        <is>
          <t>MAT-ROCKWOOL-24</t>
        </is>
      </c>
      <c r="B34" t="inlineStr">
        <is>
          <t>Bông gốm bao 610 x7200 x 25mm Bông gốm dạng bao dài 7,2m, rộng 0,61 dày 25mm , chịu nhiệt 1000 độ</t>
        </is>
      </c>
      <c r="C34" t="inlineStr">
        <is>
          <t>bao</t>
        </is>
      </c>
      <c r="D34" t="n">
        <v>280000</v>
      </c>
    </row>
    <row r="35">
      <c r="A35" t="inlineStr">
        <is>
          <t>MAT-ROCKWOOL-12KG</t>
        </is>
      </c>
      <c r="B35" t="inlineStr">
        <is>
          <t>Bông gốm hộp  610 x7200 x 25mm T96 Bông gốm dạng bao dài 7,2m, rộng 0,61 dày 25mm , chịu nhiệt 1260 độ . 6P</t>
        </is>
      </c>
      <c r="C35" t="inlineStr">
        <is>
          <t>hộp</t>
        </is>
      </c>
      <c r="D35" t="n">
        <v>360000</v>
      </c>
    </row>
    <row r="36">
      <c r="A36" t="inlineStr">
        <is>
          <t>MAT-ROCKWOOL-12KG</t>
        </is>
      </c>
      <c r="B36" t="inlineStr">
        <is>
          <t>Bông gốm hộp  610 x7200 x 25mm T128 Bông gốm dạng bao dài 7,2m, rộng 0,61 dày 25mm , chịu nhiệt 1260 độ . 8P</t>
        </is>
      </c>
      <c r="C36" t="inlineStr">
        <is>
          <t>hộp</t>
        </is>
      </c>
      <c r="D36" t="n">
        <v>465000</v>
      </c>
    </row>
    <row r="37">
      <c r="A37" t="inlineStr">
        <is>
          <t>MAT-ROCKWOOL-12KG</t>
        </is>
      </c>
      <c r="B37" t="inlineStr">
        <is>
          <t>Bông gốm hộp  610 x7200 x 25mm T128 Bông gốm dạng bao dài 7,2m, rộng 0,61 dày 25mm , chịu nhiệt 1430 độ</t>
        </is>
      </c>
      <c r="C37" t="inlineStr">
        <is>
          <t>hộp</t>
        </is>
      </c>
      <c r="D37" t="n">
        <v>970000</v>
      </c>
    </row>
    <row r="38">
      <c r="A38" t="inlineStr">
        <is>
          <t>MAT-ROCKWOOL-28</t>
        </is>
      </c>
      <c r="B38" t="inlineStr">
        <is>
          <t>Bông gốm dạng tấm 600 x 900 T340 Hộp D25 = 4 tấm  Hộp D50 = 2 tấm</t>
        </is>
      </c>
      <c r="C38" t="inlineStr">
        <is>
          <t>hộp</t>
        </is>
      </c>
      <c r="D38" t="n">
        <v>720000</v>
      </c>
    </row>
    <row r="39">
      <c r="A39" t="inlineStr">
        <is>
          <t>MAT-ROCKWOOL-29</t>
        </is>
      </c>
      <c r="B39" t="inlineStr">
        <is>
          <t>Bông gốm dạng rời</t>
        </is>
      </c>
      <c r="C39" t="inlineStr">
        <is>
          <t>hộp</t>
        </is>
      </c>
      <c r="D39" t="n">
        <v>370000</v>
      </c>
    </row>
    <row r="40">
      <c r="A40" t="inlineStr">
        <is>
          <t>MAT-ROCKWOOL-31</t>
        </is>
      </c>
      <c r="B40" t="inlineStr">
        <is>
          <t>Mút trứng 3cm , kích thước tấm 1,6 x 2m</t>
        </is>
      </c>
      <c r="C40" t="inlineStr">
        <is>
          <t>tấm</t>
        </is>
      </c>
      <c r="D40" t="n">
        <v>260000</v>
      </c>
    </row>
    <row r="41">
      <c r="A41" t="inlineStr">
        <is>
          <t>MAT-ROCKWOOL-32</t>
        </is>
      </c>
      <c r="B41" t="inlineStr">
        <is>
          <t>Mút trứng 5cm , kích thước tấm 1,6 x 2m</t>
        </is>
      </c>
      <c r="C41" t="inlineStr">
        <is>
          <t>tấm</t>
        </is>
      </c>
      <c r="D41" t="n">
        <v>360000</v>
      </c>
    </row>
    <row r="42">
      <c r="A42" t="inlineStr">
        <is>
          <t>MAT-ROCKWOOL-33</t>
        </is>
      </c>
      <c r="B42" t="inlineStr">
        <is>
          <t>Mút gai 5cm , kích thước tấm 1 x 1m</t>
        </is>
      </c>
      <c r="C42" t="inlineStr">
        <is>
          <t>tấm</t>
        </is>
      </c>
      <c r="D42" t="n">
        <v>330000</v>
      </c>
    </row>
    <row r="43">
      <c r="A43" t="inlineStr">
        <is>
          <t>MAT-ROCKWOOL-34</t>
        </is>
      </c>
      <c r="B43" t="inlineStr">
        <is>
          <t>Xốp XPS . Dày 25mm kích thước tấm 600 x 1800</t>
        </is>
      </c>
      <c r="C43" t="inlineStr">
        <is>
          <t>m2</t>
        </is>
      </c>
      <c r="D43" t="n">
        <v>72000</v>
      </c>
    </row>
    <row r="44">
      <c r="A44" t="inlineStr">
        <is>
          <t>MAT-ROCKWOOL-35</t>
        </is>
      </c>
      <c r="B44" t="inlineStr">
        <is>
          <t>Vải thủy tinh</t>
        </is>
      </c>
      <c r="C44" t="inlineStr">
        <is>
          <t>kg</t>
        </is>
      </c>
      <c r="D44" t="n">
        <v>85000</v>
      </c>
    </row>
    <row r="45">
      <c r="A45" t="inlineStr">
        <is>
          <t>MAT-ROCKWOOL-37</t>
        </is>
      </c>
      <c r="B45" t="inlineStr">
        <is>
          <t>Tôn lỗ D6</t>
        </is>
      </c>
      <c r="C45" t="inlineStr">
        <is>
          <t>tấm</t>
        </is>
      </c>
      <c r="D45" t="n">
        <v>130000</v>
      </c>
    </row>
    <row r="46">
      <c r="A46" t="inlineStr">
        <is>
          <t>MAT-ROCKWOOL-39</t>
        </is>
      </c>
      <c r="B46" t="inlineStr">
        <is>
          <t>Tôn lỗ D10</t>
        </is>
      </c>
      <c r="C46" t="inlineStr">
        <is>
          <t>tấm</t>
        </is>
      </c>
      <c r="D46" t="n">
        <v>130000</v>
      </c>
    </row>
    <row r="47">
      <c r="A47" t="inlineStr">
        <is>
          <t>MAT-ALU-KHUNG</t>
        </is>
      </c>
      <c r="B47" t="inlineStr">
        <is>
          <t>Nhôm thanh định hình (Khung)</t>
        </is>
      </c>
      <c r="C47" t="inlineStr">
        <is>
          <t>kg</t>
        </is>
      </c>
      <c r="D47" t="n">
        <v>75000</v>
      </c>
    </row>
    <row r="48">
      <c r="A48" t="inlineStr">
        <is>
          <t>MAT-ALU-NAN</t>
        </is>
      </c>
      <c r="B48" t="inlineStr">
        <is>
          <t>Nhôm thanh định hình (Nan)</t>
        </is>
      </c>
      <c r="C48" t="inlineStr">
        <is>
          <t>kg</t>
        </is>
      </c>
      <c r="D48" t="n">
        <v>75000</v>
      </c>
    </row>
    <row r="49">
      <c r="A49" t="inlineStr">
        <is>
          <t>MAT-SON-TINH-DIEN</t>
        </is>
      </c>
      <c r="B49" t="inlineStr">
        <is>
          <t>Sơn tĩnh điện Polyester</t>
        </is>
      </c>
      <c r="C49" t="inlineStr">
        <is>
          <t>m2</t>
        </is>
      </c>
      <c r="D49" t="n">
        <v>45000</v>
      </c>
    </row>
    <row r="50">
      <c r="A50" t="inlineStr">
        <is>
          <t>MAT-KE-GOC</t>
        </is>
      </c>
      <c r="B50" t="inlineStr">
        <is>
          <t>Ke góc nhôm đúc</t>
        </is>
      </c>
      <c r="C50" t="inlineStr">
        <is>
          <t>Cái</t>
        </is>
      </c>
      <c r="D5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2026-10-10T07:50:52Z</dcterms:created>
  <dcterms:modified xsi:type="dcterms:W3CDTF">2026-10-10T07:50:52Z</dcterms:modified>
</cp:coreProperties>
</file>